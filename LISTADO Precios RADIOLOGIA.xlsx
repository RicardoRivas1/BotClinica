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drawings/vmlDrawing36.vml" ContentType="application/vnd.openxmlformats-officedocument.vmlDrawing"/>
  <Override PartName="/xl/comments36.xml" ContentType="application/vnd.openxmlformats-officedocument.spreadsheetml.comments+xml"/>
  <Override PartName="/xl/worksheets/sheet37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240" yWindow="75" windowWidth="18855" windowHeight="11760" firstSheet="29" activeTab="36"/>
  </bookViews>
  <sheets>
    <sheet name="PRECIO 02-04-19" sheetId="1" r:id="rId1"/>
    <sheet name="PRECIOS RADIOLOGIA 21-01-19" sheetId="2" r:id="rId2"/>
    <sheet name="PRECIO RADIOLOGIA 01-11-18" sheetId="3" r:id="rId3"/>
    <sheet name="PRECIO RADIOLOGIA 26-10-18" sheetId="4" r:id="rId4"/>
    <sheet name="PRECIO RADIOLOGIA 28-09-18" sheetId="5" r:id="rId5"/>
    <sheet name="PRECIO RADIOLOGIA 23-08-18" sheetId="6" r:id="rId6"/>
    <sheet name="PRECIO RADIOLOGIA 03-07-18" sheetId="7" r:id="rId7"/>
    <sheet name="PRECIO RADIOLOGIA 07-06-18" sheetId="8" r:id="rId8"/>
    <sheet name="PRECIO RADIOLOGIA 02-05-18" sheetId="9" r:id="rId9"/>
    <sheet name="PRECIO RADIOLOGIA 15-03-18" sheetId="10" r:id="rId10"/>
    <sheet name="ABRIL 2019" sheetId="11" r:id="rId11"/>
    <sheet name="15-08-19" sheetId="12" r:id="rId12"/>
    <sheet name="COPIA 15-08-09" sheetId="13" r:id="rId13"/>
    <sheet name="01-09-19" sheetId="14" r:id="rId14"/>
    <sheet name="01-10-19" sheetId="15" r:id="rId15"/>
    <sheet name="19-11-19" sheetId="16" r:id="rId16"/>
    <sheet name="20-11-19" sheetId="17" r:id="rId17"/>
    <sheet name="01-01-20" sheetId="18" r:id="rId18"/>
    <sheet name="17.03.20" sheetId="19" r:id="rId19"/>
    <sheet name="14-04-20" sheetId="20" r:id="rId20"/>
    <sheet name="05-05-20" sheetId="21" r:id="rId21"/>
    <sheet name="10-07-20" sheetId="22" r:id="rId22"/>
    <sheet name="07-08-20" sheetId="23" r:id="rId23"/>
    <sheet name="04-09-20" sheetId="24" r:id="rId24"/>
    <sheet name="Original 04-09-20" sheetId="25" r:id="rId25"/>
    <sheet name="02-10-20" sheetId="26" r:id="rId26"/>
    <sheet name="03-11-20" sheetId="27" r:id="rId27"/>
    <sheet name="07-12-20" sheetId="28" r:id="rId28"/>
    <sheet name="06-01-20" sheetId="29" r:id="rId29"/>
    <sheet name="10-02-21" sheetId="30" r:id="rId30"/>
    <sheet name="16-04-21" sheetId="31" r:id="rId31"/>
    <sheet name="14-05-21" sheetId="32" r:id="rId32"/>
    <sheet name="21-06-21" sheetId="33" r:id="rId33"/>
    <sheet name="09-08-21" sheetId="34" r:id="rId34"/>
    <sheet name="04-02-22" sheetId="35" r:id="rId35"/>
    <sheet name="15-06-2022" sheetId="36" r:id="rId36"/>
    <sheet name="01-11-22" sheetId="37" r:id="rId37"/>
  </sheets>
  <definedNames>
    <definedName name="_xlnm.Print_Area" localSheetId="13">'01-09-19'!$A$1:$C$264</definedName>
    <definedName name="_xlnm.Print_Area" localSheetId="14">'01-10-19'!$A$1:$G$264</definedName>
    <definedName name="_xlnm.Print_Area" localSheetId="36">'01-11-22'!$A$1:$I$273</definedName>
    <definedName name="_xlnm.Print_Area" localSheetId="26">'03-11-20'!$A$1:$I$270</definedName>
    <definedName name="_xlnm.Print_Area" localSheetId="34">'04-02-22'!$A$1:$I$273</definedName>
    <definedName name="_xlnm.Print_Area" localSheetId="27">'07-12-20'!$A$1:$I$270</definedName>
    <definedName name="_xlnm.Print_Area" localSheetId="33">'09-08-21'!$A$1:$I$272</definedName>
    <definedName name="_xlnm.Print_Area" localSheetId="21">'10-07-20'!$A$1:$I$266</definedName>
    <definedName name="_xlnm.Print_Area" localSheetId="31">'14-05-21'!$A$1:$I$270</definedName>
    <definedName name="_xlnm.Print_Area" localSheetId="35">'15-06-2022'!$A$1:$I$275</definedName>
    <definedName name="_xlnm.Print_Area" localSheetId="11">'15-08-19'!$A$1:$G$266</definedName>
    <definedName name="_xlnm.Print_Area" localSheetId="15">'19-11-19'!$A$1:$G$265</definedName>
    <definedName name="_xlnm.Print_Area" localSheetId="32">'21-06-21'!$A$1:$I$270</definedName>
    <definedName name="_xlnm.Print_Area" localSheetId="2">'PRECIO RADIOLOGIA 01-11-18'!$A$1:$H$281</definedName>
    <definedName name="_xlnm.Print_Area" localSheetId="6">'PRECIO RADIOLOGIA 03-07-18'!$A$1:$G$280</definedName>
    <definedName name="_xlnm.Print_Area" localSheetId="7">'PRECIO RADIOLOGIA 07-06-18'!$A$1:$G$280</definedName>
    <definedName name="_xlnm.Print_Area" localSheetId="5">'PRECIO RADIOLOGIA 23-08-18'!$A$1:$I$280</definedName>
    <definedName name="_xlnm.Print_Area" localSheetId="3">'PRECIO RADIOLOGIA 26-10-18'!$A$1:$H$280</definedName>
    <definedName name="_xlnm.Print_Area" localSheetId="4">'PRECIO RADIOLOGIA 28-09-18'!$A$1:$H$280</definedName>
    <definedName name="_xlnm.Print_Area" localSheetId="1">'PRECIOS RADIOLOGIA 21-01-19'!$A$1:$G$276</definedName>
  </definedNames>
  <calcPr calcId="125725"/>
</workbook>
</file>

<file path=xl/comments36.xml><?xml version="1.0" encoding="utf-8"?>
<comments xmlns="http://schemas.openxmlformats.org/spreadsheetml/2006/main">
  <authors>
    <author>Solange Ochoa</author>
  </authors>
  <commentList>
    <comment ref="C4" authorId="0">
      <text>
        <r>
          <rPr>
            <b/>
            <sz val="9"/>
            <color indexed="81"/>
            <rFont val="Tahoma"/>
            <family val="2"/>
          </rPr>
          <t xml:space="preserve">Solange Ochoa: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<sst xmlns="http://schemas.openxmlformats.org/spreadsheetml/2006/main" uniqueCount="479" count="479">
  <si>
    <t>Examen</t>
  </si>
  <si>
    <t>Tipo Estudio</t>
  </si>
  <si>
    <t>Costo Clinico</t>
  </si>
  <si>
    <t>Costo Honorario</t>
  </si>
  <si>
    <t>Digitalización</t>
  </si>
  <si>
    <t>Soporte Asistencial</t>
  </si>
  <si>
    <t>Costo</t>
  </si>
  <si>
    <t>Densitometría Columna Lumbar + 1 Fémur</t>
  </si>
  <si>
    <t>Densitometría</t>
  </si>
  <si>
    <t>Densitometría Columna Lumbar + Ambos Fémur</t>
  </si>
  <si>
    <t>Densitometría Cuerpo Completo</t>
  </si>
  <si>
    <t>Morfometría</t>
  </si>
  <si>
    <t>Eco Abdominal</t>
  </si>
  <si>
    <t>Ecosonograma</t>
  </si>
  <si>
    <t>Eco Abdominopélvico</t>
  </si>
  <si>
    <t>Eco de Hombro</t>
  </si>
  <si>
    <t>Eco de Rodilla</t>
  </si>
  <si>
    <t>Eco Doppler de Pene + Ampolla Caverjet</t>
  </si>
  <si>
    <t>Eco Doppler de Pene</t>
  </si>
  <si>
    <t>Eco Doppler Aorta Abdominal</t>
  </si>
  <si>
    <t>Eco Doppler Arterial o Venoso De Ms.Ss</t>
  </si>
  <si>
    <t>Eco Doppler Arterial y Venoso de Ms.Ss</t>
  </si>
  <si>
    <t>Eco Doppler Arterial o Venoso De Ms.Is</t>
  </si>
  <si>
    <t>Eco Doppler Arterial y Venoso de Ms.Is</t>
  </si>
  <si>
    <t>Eco Doppler Cadena Iliaca</t>
  </si>
  <si>
    <t>Eco Doppler Carotideo</t>
  </si>
  <si>
    <t>Eco Doppler de Partes Blandas</t>
  </si>
  <si>
    <t>Eco Doppler Obstétrico</t>
  </si>
  <si>
    <t>Eco Doppler Pélvico</t>
  </si>
  <si>
    <t>Eco Doppler Renal</t>
  </si>
  <si>
    <t>Eco Doppler Testicular</t>
  </si>
  <si>
    <t>Eco Doppler Tiroideo</t>
  </si>
  <si>
    <t>Eco Doppler Transrectal de Próstata</t>
  </si>
  <si>
    <t>Eco Doppler Transvaginal</t>
  </si>
  <si>
    <t>Eco Esplenoportal</t>
  </si>
  <si>
    <t>Eco Fast</t>
  </si>
  <si>
    <t>Eco Genético del 1er Trimestre</t>
  </si>
  <si>
    <t>Eco Mamario</t>
  </si>
  <si>
    <t>Eco Musculo-Esquelético</t>
  </si>
  <si>
    <t>Eco Obstétrico</t>
  </si>
  <si>
    <t>Eco Obstétrico 3D</t>
  </si>
  <si>
    <t>Eco Partes Blandas</t>
  </si>
  <si>
    <t>Eco Pélvico</t>
  </si>
  <si>
    <t>Eco Perfil Biofísico Fetal</t>
  </si>
  <si>
    <t>Eco Prostático</t>
  </si>
  <si>
    <t>Eco Punción Guiada Con Aguja Fina en Mama</t>
  </si>
  <si>
    <t>Eco Punción Guiada Con Aguja Fina en Tiroides</t>
  </si>
  <si>
    <t>Eco Punción de Tórax Guiada</t>
  </si>
  <si>
    <t>Eco Punción Guiada en Colecciones</t>
  </si>
  <si>
    <t>Eco Renal</t>
  </si>
  <si>
    <t>Eco Testicular</t>
  </si>
  <si>
    <t>Eco Tiroideo</t>
  </si>
  <si>
    <t>Eco Toráxico</t>
  </si>
  <si>
    <t>Eco Transfontanelar</t>
  </si>
  <si>
    <t>Eco Transrectal de Próstata</t>
  </si>
  <si>
    <t>Eco Transvaginal</t>
  </si>
  <si>
    <t>Eco Vesical con Medición de Residuos Post Miccional</t>
  </si>
  <si>
    <t>Magnificación Bilateral</t>
  </si>
  <si>
    <t>Magnificación Unilateral</t>
  </si>
  <si>
    <t>Mamografía Bilateral</t>
  </si>
  <si>
    <t>Mamografía</t>
  </si>
  <si>
    <t>Mamografía Bilateral con Prótesis</t>
  </si>
  <si>
    <t>Mamografía Unilateral</t>
  </si>
  <si>
    <t>Proyección Axilar Adicional</t>
  </si>
  <si>
    <t>Abdomen 1 Proyección</t>
  </si>
  <si>
    <t>Rayos X</t>
  </si>
  <si>
    <t>Abdomen 2 Proyecciones</t>
  </si>
  <si>
    <t>Antebrazo 1 Proyección</t>
  </si>
  <si>
    <t>Antebrazo 2 Proyecciones</t>
  </si>
  <si>
    <t>Atm (2) 4 Proyecciones</t>
  </si>
  <si>
    <t>Cadera 1 Proyección</t>
  </si>
  <si>
    <t>Cadera 3 Proyecciones</t>
  </si>
  <si>
    <t>Cadera 2 Proyecciones</t>
  </si>
  <si>
    <t>Calcáneo 1 Proyección</t>
  </si>
  <si>
    <t>Calcáneo 2 Proyecciones</t>
  </si>
  <si>
    <t>Calcáneo Ambos 2 Proyección</t>
  </si>
  <si>
    <t>Cara 1 Proyección</t>
  </si>
  <si>
    <t>Cara 2 Proyecciones</t>
  </si>
  <si>
    <t>Cara 3 Proyecciones</t>
  </si>
  <si>
    <t>Cara 4 Proyecciones</t>
  </si>
  <si>
    <t>Clavícula 1 Proyección</t>
  </si>
  <si>
    <t>Clavícula 2 Proyecciones</t>
  </si>
  <si>
    <t>Clavícula Ambas 1 Proyección</t>
  </si>
  <si>
    <t>Clavícula Ambas 2 Proyecciones</t>
  </si>
  <si>
    <t>Codo 2 Proyecciones</t>
  </si>
  <si>
    <t>Codo Ambos 2 Proyecciones</t>
  </si>
  <si>
    <t>Columna Cervical 2 Proyecciones</t>
  </si>
  <si>
    <t>Columna Cervical 3 Proyecciones</t>
  </si>
  <si>
    <t>Columna Cervical 4 Proyecciones</t>
  </si>
  <si>
    <t>Columna Cervical 5 Proyecciones</t>
  </si>
  <si>
    <t>Columna Cervical 6 Proyecciones</t>
  </si>
  <si>
    <t>Columna Cervical 7 Proyecciones</t>
  </si>
  <si>
    <t>Columna Dorsal 1 Proyección</t>
  </si>
  <si>
    <t>Columna Dorsal 2 Proyecciones</t>
  </si>
  <si>
    <t>Columna Dorsal 4 Proyecciones</t>
  </si>
  <si>
    <t>Columna Dorsolumbar 2 Proyecciones</t>
  </si>
  <si>
    <t>Columna Dorsolumbar 4 Proyecciones</t>
  </si>
  <si>
    <t>Columna Lumbo Sacra 1 Proyección</t>
  </si>
  <si>
    <t>Columna Lumbo Sacra 2 Proyecciones</t>
  </si>
  <si>
    <t>Columna Lumbo Sacra 4 Proyecciones</t>
  </si>
  <si>
    <t>Columna Lumbo Sacra 6 Proyecciones</t>
  </si>
  <si>
    <t>Columna Lumbo Sacra 7 Proyecciones</t>
  </si>
  <si>
    <t>Coxis 2 Proyecciones</t>
  </si>
  <si>
    <t>Cráneo 1 Proyección</t>
  </si>
  <si>
    <t>Cráneo 2 Proyecciones</t>
  </si>
  <si>
    <t>Cráneo 3 Proyecciones</t>
  </si>
  <si>
    <t>Cuello 1 Proyección</t>
  </si>
  <si>
    <t>Cuello 2 Proyecciones</t>
  </si>
  <si>
    <t>Dedos 2 Proyecciones</t>
  </si>
  <si>
    <t>Dedos 3 Proyecciones</t>
  </si>
  <si>
    <t>Edad Ósea</t>
  </si>
  <si>
    <t>Escafoides 1 Proyección</t>
  </si>
  <si>
    <t>Escafoides 2 Proyecciones</t>
  </si>
  <si>
    <t>Escafoides 3 Proyecciones</t>
  </si>
  <si>
    <t>Escapula 1 Proyección</t>
  </si>
  <si>
    <t>Escapula 2 Proyecciones</t>
  </si>
  <si>
    <t>Escapula 3 Proyecciones</t>
  </si>
  <si>
    <t>Esternón 2 Proyecciones</t>
  </si>
  <si>
    <t>Fémur 1 Proyección</t>
  </si>
  <si>
    <t>Fémur 2 Proyecciones</t>
  </si>
  <si>
    <t>Fémur Ambos 1 Proyección</t>
  </si>
  <si>
    <t>Fémur Ambos 2 Proyecciones</t>
  </si>
  <si>
    <t>Hombro 1 Proyección</t>
  </si>
  <si>
    <t>Hombro 2 Proyecciones</t>
  </si>
  <si>
    <t>Hombro 3 Proyecciones</t>
  </si>
  <si>
    <t>Hombro 4 Proyecciones</t>
  </si>
  <si>
    <t>Hombro 5 Proyecciones</t>
  </si>
  <si>
    <t>Hombros Ambos 1 Proyección</t>
  </si>
  <si>
    <t>Hombros Ambos 2 Proyecciones</t>
  </si>
  <si>
    <t>Hombros Ambos 3 Proyecciones</t>
  </si>
  <si>
    <t>Hombros Ambos 4 Proyecciones</t>
  </si>
  <si>
    <t>Hombros Ambos 5 Proyecciones</t>
  </si>
  <si>
    <t>Huesos Propios de Nariz 1 Proyección (Waters)</t>
  </si>
  <si>
    <t>Huesos Propios de Nariz 2 Proyecciones</t>
  </si>
  <si>
    <t>Huesos Propios de Nariz 3 Proyecciones</t>
  </si>
  <si>
    <t>Humero 1 Proyección</t>
  </si>
  <si>
    <t>Humero 2 Proyecciones</t>
  </si>
  <si>
    <t>Humero Ambos 1 Proyección</t>
  </si>
  <si>
    <t>Humero Ambos 2 Proyecciones</t>
  </si>
  <si>
    <t>Mano 1 Proyección</t>
  </si>
  <si>
    <t>Mano 2 Proyecciones</t>
  </si>
  <si>
    <t>Mano 3 Proyecciones</t>
  </si>
  <si>
    <t>Manos Ambas 1 Proyección</t>
  </si>
  <si>
    <t>Manos Ambas 2 Proyecciones</t>
  </si>
  <si>
    <t>Manos Ambas 3 Proyecciones</t>
  </si>
  <si>
    <t>Maxilar 1 Proyección</t>
  </si>
  <si>
    <t>Maxilar 2 Proyecciones</t>
  </si>
  <si>
    <t>Maxilar 3 Proyecciones</t>
  </si>
  <si>
    <t>Muñeca 2 Proyecciones</t>
  </si>
  <si>
    <t>Muñeca 3 Proyecciones</t>
  </si>
  <si>
    <t>Muñeca Dinámica 6 Proyecciones</t>
  </si>
  <si>
    <t>Muñecas Ambas 2 Proyecciones</t>
  </si>
  <si>
    <t>Muñecas Ambas 3 Proyecciones</t>
  </si>
  <si>
    <t>Muñecas Ambas Dinámica 6 Proyecciones</t>
  </si>
  <si>
    <t>Oído Medio</t>
  </si>
  <si>
    <t>Orbitas 1 Proyección</t>
  </si>
  <si>
    <t>Orbitas 2 Proyecciones</t>
  </si>
  <si>
    <t>Pelvis 1 Proyección</t>
  </si>
  <si>
    <t>Pelvis 2 Proyecciones</t>
  </si>
  <si>
    <t>Pelvis 3 Proyecciones</t>
  </si>
  <si>
    <t>Pie 2 Proyecciones</t>
  </si>
  <si>
    <t>Pie 3 Proyecciones</t>
  </si>
  <si>
    <t>Pie Ambos 2 Proyecciones</t>
  </si>
  <si>
    <t>Pie Ambos 3 Proyecciones</t>
  </si>
  <si>
    <t>Pies con Apoyo</t>
  </si>
  <si>
    <t>Rinofaringe(Cavum) 2 Proyecciones</t>
  </si>
  <si>
    <t>Rodilla 1 Proyección</t>
  </si>
  <si>
    <t>Rodilla 2 Proyecciones</t>
  </si>
  <si>
    <t>Rodillas Ambas 1 Proyección</t>
  </si>
  <si>
    <t>Rodilla Ambas 2 Proyecciones</t>
  </si>
  <si>
    <t>Rotula 1 Proyección</t>
  </si>
  <si>
    <t>Rotula 2 Proyecciones</t>
  </si>
  <si>
    <t>Rotula 3 Proyecciones</t>
  </si>
  <si>
    <t>Rotulas Ambas 1 Proyección</t>
  </si>
  <si>
    <t>Rotulas Ambas 2 Proyecciones</t>
  </si>
  <si>
    <t>Rotulas Ambas 3 Proyecciones</t>
  </si>
  <si>
    <t>Senos Paranasales</t>
  </si>
  <si>
    <t>Silla Turca 3 Proyecciones</t>
  </si>
  <si>
    <t>Survey Óseo</t>
  </si>
  <si>
    <t>Test de Farril (Medición de Miembros Inferiores)</t>
  </si>
  <si>
    <t>Tibia 2 Proyecciones</t>
  </si>
  <si>
    <t>Tibias Ambas 2 Proyecciones</t>
  </si>
  <si>
    <t>Tobillo 1 Proyección</t>
  </si>
  <si>
    <t>Tobillo 2 Proyecciones</t>
  </si>
  <si>
    <t>Tobillo 3 Proyecciones</t>
  </si>
  <si>
    <t>Tobillo Ambos 1 Proyección</t>
  </si>
  <si>
    <t>Tobillo Ambos 2 Proyecciones</t>
  </si>
  <si>
    <t>Tobillo Ambos 3 Proyecciones</t>
  </si>
  <si>
    <t>Tórax 1 Proyección</t>
  </si>
  <si>
    <t>Tórax 2 Proyecciones</t>
  </si>
  <si>
    <t>Tórax Óseo 1 Proyección</t>
  </si>
  <si>
    <t>Tórax Óseo 2 Proyecciones</t>
  </si>
  <si>
    <t>Tórax Óseo 3 Proyecciones</t>
  </si>
  <si>
    <t>Tórax Rayos Horizontales 1 Proyección</t>
  </si>
  <si>
    <t>Tórax Rayos Horizontales 2 Proyecciones</t>
  </si>
  <si>
    <t>Drenaje de Colección por Tac</t>
  </si>
  <si>
    <t>Tomografía</t>
  </si>
  <si>
    <t>Medición Tomografica de Miembros Inferiores</t>
  </si>
  <si>
    <t>Mielotac o Cisternografica</t>
  </si>
  <si>
    <t>Tac Abdomen</t>
  </si>
  <si>
    <t>Tac Abdominopélvico</t>
  </si>
  <si>
    <t>Tac Antebrazo Bilateral</t>
  </si>
  <si>
    <t>Tac Antebrazo Derecho</t>
  </si>
  <si>
    <t>Tac Antebrazo Izquierdo</t>
  </si>
  <si>
    <t>Tac Articulación Temporo Mandibular</t>
  </si>
  <si>
    <t>Tac Artrografica Izquierda</t>
  </si>
  <si>
    <t>Tac Brazo Bilateral</t>
  </si>
  <si>
    <t>Tac Brazo Derecho</t>
  </si>
  <si>
    <t>Tac Brazo Izquierdo</t>
  </si>
  <si>
    <t>Tac Broncoscopia Virtual</t>
  </si>
  <si>
    <t>Tac Calcio Coronario</t>
  </si>
  <si>
    <t>Tac Cara</t>
  </si>
  <si>
    <t>Tac Columna Sacro Coxis</t>
  </si>
  <si>
    <t>Tac Colonoscopia Virtual</t>
  </si>
  <si>
    <t>Tac Columna Cervical</t>
  </si>
  <si>
    <t>Tac Columna Dorsal con Contraste</t>
  </si>
  <si>
    <t>Tac Columna Dorsal</t>
  </si>
  <si>
    <t>Tac Columna Lumbo Sacra</t>
  </si>
  <si>
    <t>Tac Columna por Segundo</t>
  </si>
  <si>
    <t>Tac Cráneo Ventana Ósea</t>
  </si>
  <si>
    <t>Tac Cráneo</t>
  </si>
  <si>
    <t>Tac Cuello</t>
  </si>
  <si>
    <t>Tac de Abdomen y Pelvis</t>
  </si>
  <si>
    <t>Tac de Codo Bilateral</t>
  </si>
  <si>
    <t>Tac de Codo Derecho</t>
  </si>
  <si>
    <t>Tac de Codo Izquierdo</t>
  </si>
  <si>
    <t>TAC de Rodillas con Contracción del Cuádriceps en 0Â° 15Â° Y 30Â°</t>
  </si>
  <si>
    <t>Tac Drenaje Colecciones</t>
  </si>
  <si>
    <t>Tac Fémur Bilateral</t>
  </si>
  <si>
    <t>Tac Fémur Derecho</t>
  </si>
  <si>
    <t>Tac Fémur Izquierdo</t>
  </si>
  <si>
    <t>Tac Helicoidal</t>
  </si>
  <si>
    <t>Tac Hígado</t>
  </si>
  <si>
    <t>Tac Hombro Artografia Derecho</t>
  </si>
  <si>
    <t>Tac Hombro Bilateral</t>
  </si>
  <si>
    <t>Tac Hombro Derecho</t>
  </si>
  <si>
    <t>Tac Hombro Izquierdo</t>
  </si>
  <si>
    <t>Tac Macizo Facial</t>
  </si>
  <si>
    <t>Tac Mano Bilateral</t>
  </si>
  <si>
    <t>Tac Mano Derecha</t>
  </si>
  <si>
    <t>Tac Mano Izquierda</t>
  </si>
  <si>
    <t>Tac Maxilar</t>
  </si>
  <si>
    <t>Tac Mielo Cervical</t>
  </si>
  <si>
    <t>Tac Mielo Dorsal</t>
  </si>
  <si>
    <t>Tac Mielo Lumbar</t>
  </si>
  <si>
    <t>Tac Miembros Inferiores 3 Proyecciones Bilateral</t>
  </si>
  <si>
    <t>Tac Muñeca Bilateral</t>
  </si>
  <si>
    <t>Tac Muñeca Derecha</t>
  </si>
  <si>
    <t>Tac Muñeca Izquierda</t>
  </si>
  <si>
    <t>Tac Oídos Axiales y Coronales</t>
  </si>
  <si>
    <t>Tac Oídos Para Implante Coclear</t>
  </si>
  <si>
    <t>Tac Orbitas Axiales y Coronales</t>
  </si>
  <si>
    <t>Tac Pelvis Ósea</t>
  </si>
  <si>
    <t>Tac Pelvis</t>
  </si>
  <si>
    <t>Tac Pie Bilateral</t>
  </si>
  <si>
    <t>Tac Pie Derecho</t>
  </si>
  <si>
    <t>Tac Pie Izquierdo</t>
  </si>
  <si>
    <t>Tac Pierna Bilateral</t>
  </si>
  <si>
    <t>Tac Pierna Derecha</t>
  </si>
  <si>
    <t>Tac Pierna Izquierda</t>
  </si>
  <si>
    <t>Tac Protocolo de Litiasis</t>
  </si>
  <si>
    <t>Tac Protocolo Dental</t>
  </si>
  <si>
    <t>Tac Reconstrucción 3D</t>
  </si>
  <si>
    <t>Tac Rodilla Artrografica Derecha</t>
  </si>
  <si>
    <t>Tac Rodilla Bilateral</t>
  </si>
  <si>
    <t>Tac Rodilla Derecha</t>
  </si>
  <si>
    <t>Tac Rodilla Izquierda</t>
  </si>
  <si>
    <t>Tac Rodillas Axiales (Hasta 3 Incid)</t>
  </si>
  <si>
    <t>Tac Rotula Alineación Patelo Femoral</t>
  </si>
  <si>
    <t>Tac Senos Paranasales Axiales y Coronales</t>
  </si>
  <si>
    <t>Tac Senos Paranasales Axiales</t>
  </si>
  <si>
    <t>Tac Senos Paranasales Coronales</t>
  </si>
  <si>
    <t>Tac Silla Turca</t>
  </si>
  <si>
    <t>Tac Tobillo Bilateral</t>
  </si>
  <si>
    <t>Tac Tobillo Derecho</t>
  </si>
  <si>
    <t>Tac Tobillo Izquierdo</t>
  </si>
  <si>
    <t>Tac Tórax Alta Resolución</t>
  </si>
  <si>
    <t>Tac Tórax</t>
  </si>
  <si>
    <t>Tac Tórax Abdominopélvico</t>
  </si>
  <si>
    <t>Tomografía Cuerpo Entero 64C</t>
  </si>
  <si>
    <t>Urotac</t>
  </si>
  <si>
    <t>Kit de Contraste Oral</t>
  </si>
  <si>
    <t>Contrastes</t>
  </si>
  <si>
    <t>EE Kit de Contraste E,V</t>
  </si>
  <si>
    <t>Re-impresión Informe</t>
  </si>
  <si>
    <t>Adicional</t>
  </si>
  <si>
    <t>Placa</t>
  </si>
  <si>
    <t>Kit de Materiales</t>
  </si>
  <si>
    <t>Kit de Materiales con Contraste</t>
  </si>
  <si>
    <t>EE Urografía de Eliminación con Contraste Hidrosoluble</t>
  </si>
  <si>
    <t>Especiales</t>
  </si>
  <si>
    <t>EE/Transito Intestinal con Contraste Hidrosoluble</t>
  </si>
  <si>
    <t>-</t>
  </si>
  <si>
    <t>valeria_20</t>
  </si>
  <si>
    <t>Costo Bs.S</t>
  </si>
  <si>
    <t>Costo Bs.F</t>
  </si>
  <si>
    <t xml:space="preserve">Eco Partes Blandas   </t>
  </si>
  <si>
    <r>
      <t xml:space="preserve">Eco Doppler Arterial y Venoso de Ms.Is    </t>
    </r>
    <r>
      <rPr>
        <b/>
        <sz val="11"/>
        <color rgb="FF000000"/>
        <rFont val="Calibri"/>
      </rPr>
      <t>1085,26</t>
    </r>
  </si>
  <si>
    <r>
      <t xml:space="preserve">Tac Abdominopélvico                          </t>
    </r>
    <r>
      <rPr>
        <b/>
        <sz val="11"/>
        <color rgb="FF000000"/>
        <rFont val="Calibri"/>
      </rPr>
      <t>3.118,64</t>
    </r>
  </si>
  <si>
    <r>
      <t xml:space="preserve">Eco Abdominal                    </t>
    </r>
    <r>
      <rPr>
        <b/>
        <sz val="11"/>
        <color rgb="FF000000"/>
        <rFont val="Calibri"/>
      </rPr>
      <t>780,26</t>
    </r>
  </si>
  <si>
    <t>Tac Angio Vena Cava Superior</t>
  </si>
  <si>
    <r>
      <t xml:space="preserve">Eco Abdominopélvico                            </t>
    </r>
    <r>
      <rPr>
        <b/>
        <sz val="12"/>
        <color rgb="FF000000"/>
        <rFont val="Calibri"/>
      </rPr>
      <t>6.791,00</t>
    </r>
  </si>
  <si>
    <r>
      <t xml:space="preserve">Eco Doppler Arterial o Venoso De Ms.Is               </t>
    </r>
    <r>
      <rPr>
        <b/>
        <sz val="11"/>
        <color rgb="FF000000"/>
        <rFont val="Calibri"/>
      </rPr>
      <t>9.536,00</t>
    </r>
  </si>
  <si>
    <r>
      <t>Eco Doppler Testicular</t>
    </r>
    <r>
      <rPr>
        <b/>
        <sz val="11"/>
        <color rgb="FF000000"/>
        <rFont val="Calibri"/>
      </rPr>
      <t xml:space="preserve">               A partir 2 años de edad</t>
    </r>
  </si>
  <si>
    <r>
      <t xml:space="preserve">Tac Abdominopélvico                               </t>
    </r>
    <r>
      <rPr>
        <b/>
        <sz val="11"/>
        <color rgb="FF000000"/>
        <rFont val="Calibri"/>
      </rPr>
      <t xml:space="preserve">   16.995,01</t>
    </r>
  </si>
  <si>
    <r>
      <t xml:space="preserve">Tac Tórax Abdominopélvico                       </t>
    </r>
    <r>
      <rPr>
        <b/>
        <sz val="11"/>
        <color rgb="FF000000"/>
        <rFont val="Calibri"/>
      </rPr>
      <t>27.073,02</t>
    </r>
  </si>
  <si>
    <r>
      <t xml:space="preserve">Eco Doppler Testicular          </t>
    </r>
    <r>
      <rPr>
        <b/>
        <sz val="11"/>
        <color rgb="FF000000"/>
        <rFont val="Calibri"/>
      </rPr>
      <t>A partir 2 años</t>
    </r>
  </si>
  <si>
    <r>
      <t xml:space="preserve">Tac Tórax Abdominopélvico                        </t>
    </r>
    <r>
      <rPr>
        <b/>
        <sz val="11"/>
        <color rgb="FF000000"/>
        <rFont val="Calibri"/>
      </rPr>
      <t>175.726,03</t>
    </r>
  </si>
  <si>
    <r>
      <t xml:space="preserve">Tac Abdominopélvico                               </t>
    </r>
    <r>
      <rPr>
        <b/>
        <sz val="11"/>
        <color rgb="FF000000"/>
        <rFont val="Calibri"/>
      </rPr>
      <t xml:space="preserve"> 121.052,03</t>
    </r>
  </si>
  <si>
    <r>
      <t xml:space="preserve">Tac Cuello                                             </t>
    </r>
    <r>
      <rPr>
        <b/>
        <sz val="11"/>
        <color rgb="FF000000"/>
        <rFont val="Calibri"/>
      </rPr>
      <t>67.434,01</t>
    </r>
  </si>
  <si>
    <r>
      <t xml:space="preserve">Eco Doppler Arterial o Venoso De Ms.Is                   </t>
    </r>
    <r>
      <rPr>
        <b/>
        <sz val="11"/>
        <color rgb="FF000000"/>
        <rFont val="Calibri"/>
      </rPr>
      <t>52.708,00</t>
    </r>
  </si>
  <si>
    <r>
      <t xml:space="preserve">Eco Abdominopélvico                      </t>
    </r>
    <r>
      <rPr>
        <b/>
        <sz val="11"/>
        <color rgb="FF000000"/>
        <rFont val="Calibri"/>
      </rPr>
      <t>38.068,00</t>
    </r>
  </si>
  <si>
    <t>Kit de Materiales Ecos</t>
  </si>
  <si>
    <r>
      <t xml:space="preserve">Eco Abdominopélvico           </t>
    </r>
    <r>
      <rPr>
        <b/>
        <sz val="11"/>
        <color rgb="FF000000"/>
        <rFont val="Calibri"/>
      </rPr>
      <t>Bs. 185.160,00</t>
    </r>
  </si>
  <si>
    <r>
      <t xml:space="preserve">Eco Doppler Testicular        </t>
    </r>
    <r>
      <rPr>
        <b/>
        <sz val="11"/>
        <color rgb="FF000000"/>
        <rFont val="Calibri"/>
      </rPr>
      <t>A PARTIR DE 2 AÑOS</t>
    </r>
  </si>
  <si>
    <r>
      <t xml:space="preserve">Eco Testicular                           </t>
    </r>
    <r>
      <rPr>
        <b/>
        <sz val="11"/>
        <color rgb="FF000000"/>
        <rFont val="Calibri"/>
      </rPr>
      <t xml:space="preserve">  DE 0 A 1 AÑO</t>
    </r>
  </si>
  <si>
    <r>
      <t xml:space="preserve">Tac Abdominopélvico             </t>
    </r>
    <r>
      <rPr>
        <b/>
        <sz val="11"/>
        <color rgb="FF000000"/>
        <rFont val="Calibri"/>
      </rPr>
      <t xml:space="preserve">  Bs. 567.480,02</t>
    </r>
  </si>
  <si>
    <r>
      <t xml:space="preserve">Tac Cuello                                         </t>
    </r>
    <r>
      <rPr>
        <b/>
        <sz val="11"/>
        <color rgb="FF000000"/>
        <rFont val="Calibri"/>
      </rPr>
      <t>Bs. 567.480,02</t>
    </r>
  </si>
  <si>
    <r>
      <t xml:space="preserve">Tac Tórax Abdominopélvico          </t>
    </r>
    <r>
      <rPr>
        <b/>
        <sz val="11"/>
        <color rgb="FF000000"/>
        <rFont val="Calibri"/>
      </rPr>
      <t>Bs. 836.220,03</t>
    </r>
  </si>
  <si>
    <t>Kit de Materiales Eco</t>
  </si>
  <si>
    <t>Eco Abdominopelvico</t>
  </si>
  <si>
    <t xml:space="preserve">Eco Doppler Arterial o Venoso De Ms.Ss             </t>
  </si>
  <si>
    <r>
      <t xml:space="preserve">Eco Doppler Arterial y Venoso de Ms.Ss                             </t>
    </r>
    <r>
      <rPr>
        <b/>
        <sz val="11"/>
        <color rgb="FF000000"/>
        <rFont val="Calibri"/>
      </rPr>
      <t xml:space="preserve">  420.944,00</t>
    </r>
  </si>
  <si>
    <t xml:space="preserve">Eco Doppler Arterial o Venoso De Ms.Is        </t>
  </si>
  <si>
    <r>
      <t xml:space="preserve">Eco Doppler Arterial y Venoso de Ms.Is                       </t>
    </r>
    <r>
      <rPr>
        <b/>
        <sz val="11"/>
        <color rgb="FF000000"/>
        <rFont val="Calibri"/>
      </rPr>
      <t xml:space="preserve">  420.944,00</t>
    </r>
  </si>
  <si>
    <r>
      <t xml:space="preserve">Eco Doppler Testicular                             </t>
    </r>
    <r>
      <rPr>
        <b/>
        <sz val="11"/>
        <color rgb="FF000000"/>
        <rFont val="Calibri"/>
      </rPr>
      <t xml:space="preserve"> A PARTIR DE 2 AÑOS</t>
    </r>
  </si>
  <si>
    <r>
      <t xml:space="preserve">Eco Testicular                                                                  </t>
    </r>
    <r>
      <rPr>
        <b/>
        <sz val="11"/>
        <color rgb="FF000000"/>
        <rFont val="Calibri"/>
      </rPr>
      <t xml:space="preserve">  DE 0 A 1 AÑO</t>
    </r>
  </si>
  <si>
    <r>
      <t xml:space="preserve">Eco Transfontanelar           ò             </t>
    </r>
    <r>
      <rPr>
        <b/>
        <sz val="11"/>
        <color rgb="FF000000"/>
        <rFont val="Calibri"/>
      </rPr>
      <t>CEREBRAL PARA NIÑOS</t>
    </r>
  </si>
  <si>
    <r>
      <t xml:space="preserve">Tac Abdomen                                       </t>
    </r>
    <r>
      <rPr>
        <b/>
        <sz val="11"/>
        <color rgb="FF000000"/>
        <rFont val="Calibri"/>
      </rPr>
      <t xml:space="preserve">(OBLIGATORIO CON CONTRASTE) </t>
    </r>
  </si>
  <si>
    <r>
      <t xml:space="preserve">Tac Abdominopelvica                        </t>
    </r>
    <r>
      <rPr>
        <b/>
        <sz val="11"/>
        <color rgb="FF000000"/>
        <rFont val="Calibri"/>
      </rPr>
      <t xml:space="preserve">(OBLIGATORIO CON CONTRASTE) </t>
    </r>
  </si>
  <si>
    <r>
      <t xml:space="preserve">Tac Cuello         </t>
    </r>
    <r>
      <rPr>
        <b/>
        <sz val="10"/>
        <color rgb="FF000000"/>
        <rFont val="Calibri"/>
      </rPr>
      <t xml:space="preserve">  (OBLIGATORIO CON CONTRASTE A MENOS QUE QUIERAN VER HUESO) </t>
    </r>
  </si>
  <si>
    <r>
      <t xml:space="preserve">Tac Pelvis Ósea   </t>
    </r>
    <r>
      <rPr>
        <b/>
        <sz val="11"/>
        <color rgb="FF000000"/>
        <rFont val="Calibri"/>
      </rPr>
      <t xml:space="preserve">(OBLIGATORIO CON CONTRASTE A MENOS QUE QUIERAN VER HUESO) </t>
    </r>
  </si>
  <si>
    <r>
      <t xml:space="preserve">Tac Pelvis         </t>
    </r>
    <r>
      <rPr>
        <b/>
        <sz val="11"/>
        <color rgb="FF000000"/>
        <rFont val="Calibri"/>
      </rPr>
      <t xml:space="preserve"> </t>
    </r>
  </si>
  <si>
    <r>
      <t xml:space="preserve">Tac Tórax Abdomino-Pelvico             </t>
    </r>
    <r>
      <rPr>
        <b/>
        <sz val="11"/>
        <color rgb="FF000000"/>
        <rFont val="Calibri"/>
      </rPr>
      <t xml:space="preserve">(OBLIGATORIO CON CONTRASTE) </t>
    </r>
  </si>
  <si>
    <r>
      <t xml:space="preserve">Eco Doppler Arterial y Venoso de Ms.Is                  </t>
    </r>
    <r>
      <rPr>
        <b/>
        <sz val="11"/>
        <color rgb="FF000000"/>
        <rFont val="Calibri"/>
      </rPr>
      <t>Bs. 283.080,00</t>
    </r>
  </si>
  <si>
    <t>PIE</t>
  </si>
  <si>
    <r>
      <t>Tac Cuello (</t>
    </r>
    <r>
      <rPr>
        <b/>
        <sz val="11"/>
        <color rgb="FF000000"/>
        <rFont val="Calibri"/>
      </rPr>
      <t>Obligatorio con contraste</t>
    </r>
    <r>
      <rPr>
        <sz val="11"/>
        <color rgb="FF000000"/>
        <rFont val="Calibri"/>
      </rPr>
      <t xml:space="preserve">)            </t>
    </r>
    <r>
      <rPr>
        <b/>
        <sz val="11"/>
        <color rgb="FF000000"/>
        <rFont val="Calibri"/>
      </rPr>
      <t>Bs. 298.740,01</t>
    </r>
  </si>
  <si>
    <t>Kit de Eco</t>
  </si>
  <si>
    <r>
      <t xml:space="preserve">Eco Doppler Testicular   </t>
    </r>
    <r>
      <rPr>
        <sz val="9"/>
        <color rgb="FF000000"/>
        <rFont val="Calibri"/>
      </rPr>
      <t xml:space="preserve"> </t>
    </r>
    <r>
      <rPr>
        <b/>
        <sz val="9"/>
        <color rgb="FF000000"/>
        <rFont val="Calibri"/>
      </rPr>
      <t>(SE REALIZA A PARTIR DE LOS 2 AÑOS EN ADELANTE)</t>
    </r>
  </si>
  <si>
    <r>
      <t xml:space="preserve">Eco Mamario   </t>
    </r>
    <r>
      <rPr>
        <sz val="9"/>
        <color rgb="FF000000"/>
        <rFont val="Calibri"/>
      </rPr>
      <t>(</t>
    </r>
    <r>
      <rPr>
        <b/>
        <sz val="9"/>
        <color rgb="FF000000"/>
        <rFont val="Calibri"/>
      </rPr>
      <t>DESPUES DE LOS 35 AÑOS TENER LA ULTIMA MAMOGRAFIA</t>
    </r>
    <r>
      <rPr>
        <sz val="9"/>
        <color rgb="FF000000"/>
        <rFont val="Calibri"/>
      </rPr>
      <t>)</t>
    </r>
  </si>
  <si>
    <r>
      <t xml:space="preserve">Eco Pélvico                </t>
    </r>
    <r>
      <rPr>
        <b/>
        <sz val="11"/>
        <color rgb="FF000000"/>
        <rFont val="Calibri"/>
      </rPr>
      <t>(SE REALIZA CON VEJIGA LLENA)</t>
    </r>
  </si>
  <si>
    <r>
      <t xml:space="preserve">Eco Prostático             </t>
    </r>
    <r>
      <rPr>
        <b/>
        <sz val="11"/>
        <color rgb="FF000000"/>
        <rFont val="Calibri"/>
      </rPr>
      <t xml:space="preserve"> (SE REALIZA CON VEJIGA LLENA)</t>
    </r>
  </si>
  <si>
    <r>
      <t xml:space="preserve">Eco Testicular     </t>
    </r>
    <r>
      <rPr>
        <b/>
        <sz val="11"/>
        <color rgb="FF000000"/>
        <rFont val="Calibri"/>
      </rPr>
      <t>(SE REALIZA UNICAMENTE DE 0 A 2 AÑOS)</t>
    </r>
  </si>
  <si>
    <r>
      <t xml:space="preserve">Eco Transfontanelar o Cerebral    </t>
    </r>
    <r>
      <rPr>
        <b/>
        <sz val="11"/>
        <color rgb="FF000000"/>
        <rFont val="Calibri"/>
      </rPr>
      <t>(PARA RECIEN NACIDOS)</t>
    </r>
  </si>
  <si>
    <r>
      <t xml:space="preserve">Tac Abdomenopelvico       </t>
    </r>
    <r>
      <rPr>
        <b/>
        <sz val="11"/>
        <color rgb="FF000000"/>
        <rFont val="Calibri"/>
      </rPr>
      <t xml:space="preserve">  (OBLIGATORIO CON CONTRASTE)</t>
    </r>
  </si>
  <si>
    <r>
      <t xml:space="preserve">Tac Cuello    </t>
    </r>
    <r>
      <rPr>
        <b/>
        <sz val="9"/>
        <color rgb="FF000000"/>
        <rFont val="Calibri"/>
      </rPr>
      <t>(OBLIGATORIO CON CONTRASTE A MENOS QUE SEA ÓSEA/HUESO)</t>
    </r>
  </si>
  <si>
    <r>
      <t xml:space="preserve">Tac Pelvis    </t>
    </r>
    <r>
      <rPr>
        <b/>
        <sz val="11"/>
        <color rgb="FF000000"/>
        <rFont val="Calibri"/>
      </rPr>
      <t xml:space="preserve"> (CUANDO QUIERAN VER SOLO LA PARTE ÓSEA/HUESO)</t>
    </r>
  </si>
  <si>
    <r>
      <t xml:space="preserve">Tac Tórax Abdomen y Pelvis     </t>
    </r>
    <r>
      <rPr>
        <b/>
        <sz val="11"/>
        <color rgb="FF000000"/>
        <rFont val="Calibri"/>
      </rPr>
      <t xml:space="preserve"> (OBLIGATORIO CON CONTRASTE)</t>
    </r>
  </si>
  <si>
    <t>Examen                       01-10-19</t>
  </si>
  <si>
    <t>Examen                                                                                   01-10-19</t>
  </si>
  <si>
    <t>COSTO KIT</t>
  </si>
  <si>
    <t xml:space="preserve"> </t>
  </si>
  <si>
    <r>
      <t xml:space="preserve">Eco Abdominal               </t>
    </r>
    <r>
      <rPr>
        <b/>
        <sz val="11"/>
        <color rgb="FF000000"/>
        <rFont val="Calibri"/>
      </rPr>
      <t>AYUNAS 6 HORAS</t>
    </r>
  </si>
  <si>
    <t>Eco AbdominoPelvico     AYUNAS Y VEJIGA LLENA</t>
  </si>
  <si>
    <r>
      <t xml:space="preserve">Eco Doppler Testicular           </t>
    </r>
    <r>
      <rPr>
        <b/>
        <sz val="11"/>
        <color rgb="FF000000"/>
        <rFont val="Calibri"/>
      </rPr>
      <t>SE REALIZA DE 2 AÑOS EN ADELANTE</t>
    </r>
  </si>
  <si>
    <r>
      <t xml:space="preserve">Eco Mamario      </t>
    </r>
    <r>
      <rPr>
        <b/>
        <sz val="9"/>
        <color rgb="FF000000"/>
        <rFont val="Calibri"/>
      </rPr>
      <t>DESPUES DE LOS 35 AÑOS TENER ULTIMA MAMOGRAFIA OBLIGATORIO</t>
    </r>
  </si>
  <si>
    <r>
      <t xml:space="preserve">Eco Pélvico      </t>
    </r>
    <r>
      <rPr>
        <b/>
        <sz val="11"/>
        <color rgb="FF000000"/>
        <rFont val="Calibri"/>
      </rPr>
      <t>VENIR</t>
    </r>
    <r>
      <rPr>
        <sz val="11"/>
        <color rgb="FF000000"/>
        <rFont val="Calibri"/>
      </rPr>
      <t xml:space="preserve"> </t>
    </r>
    <r>
      <rPr>
        <b/>
        <sz val="11"/>
        <color rgb="FF000000"/>
        <rFont val="Calibri"/>
      </rPr>
      <t>CON VEJIGA LLENA</t>
    </r>
  </si>
  <si>
    <r>
      <t xml:space="preserve">Eco Prostático         </t>
    </r>
    <r>
      <rPr>
        <b/>
        <sz val="11"/>
        <color rgb="FF000000"/>
        <rFont val="Calibri"/>
      </rPr>
      <t>VENIR</t>
    </r>
    <r>
      <rPr>
        <sz val="11"/>
        <color rgb="FF000000"/>
        <rFont val="Calibri"/>
      </rPr>
      <t xml:space="preserve">  </t>
    </r>
    <r>
      <rPr>
        <b/>
        <sz val="11"/>
        <color rgb="FF000000"/>
        <rFont val="Calibri"/>
      </rPr>
      <t>CON VEJIGA LLENA</t>
    </r>
  </si>
  <si>
    <r>
      <t xml:space="preserve">Eco Testicular          </t>
    </r>
    <r>
      <rPr>
        <b/>
        <sz val="11"/>
        <color rgb="FF000000"/>
        <rFont val="Calibri"/>
      </rPr>
      <t>SE REALIZA UNICAMENTEE DE 0 A 2 AÑOS</t>
    </r>
  </si>
  <si>
    <r>
      <t xml:space="preserve">Eco Transfontanelar o Cerebral                     </t>
    </r>
    <r>
      <rPr>
        <b/>
        <sz val="11"/>
        <color rgb="FF000000"/>
        <rFont val="Calibri"/>
      </rPr>
      <t>PARA RECIEN NACIDOS</t>
    </r>
  </si>
  <si>
    <r>
      <t xml:space="preserve">Tac Abdomen                      </t>
    </r>
    <r>
      <rPr>
        <b/>
        <sz val="11"/>
        <color rgb="FF000000"/>
        <rFont val="Calibri"/>
      </rPr>
      <t>OBLIGATORIO CON CONTRASTE</t>
    </r>
  </si>
  <si>
    <r>
      <t xml:space="preserve">Tac AbdominoPelvico                </t>
    </r>
    <r>
      <rPr>
        <b/>
        <sz val="11"/>
        <color rgb="FF000000"/>
        <rFont val="Calibri"/>
      </rPr>
      <t>OBLIGATORIO CON CONTRASTE</t>
    </r>
  </si>
  <si>
    <r>
      <t xml:space="preserve">Tac Cuello  </t>
    </r>
    <r>
      <rPr>
        <b/>
        <sz val="10"/>
        <color rgb="FF000000"/>
        <rFont val="Calibri"/>
      </rPr>
      <t>OBLIGATORIO CON CONTRASTE (A MENOS QUE QUIERAN VER HUESO)</t>
    </r>
  </si>
  <si>
    <r>
      <t xml:space="preserve">Tac Pelvis </t>
    </r>
    <r>
      <rPr>
        <b/>
        <sz val="10"/>
        <color rgb="FF000000"/>
        <rFont val="Calibri"/>
      </rPr>
      <t xml:space="preserve">    OBLIGATORIO CON CONTRASTE (A MENOS QUE QUIERAN VER HUESO)</t>
    </r>
  </si>
  <si>
    <r>
      <t xml:space="preserve">Tac Tórax - AbdominoPelvico     </t>
    </r>
    <r>
      <rPr>
        <b/>
        <sz val="11"/>
        <color rgb="FF000000"/>
        <rFont val="Calibri"/>
      </rPr>
      <t>OBLIGATORIO CON CONTRASTE</t>
    </r>
  </si>
  <si>
    <r>
      <t xml:space="preserve">Eco Abdominal       </t>
    </r>
    <r>
      <rPr>
        <b/>
        <sz val="11"/>
        <color rgb="FF000000"/>
        <rFont val="Calibri"/>
      </rPr>
      <t xml:space="preserve"> AYUNAS 6 HORAS</t>
    </r>
  </si>
  <si>
    <t>ECO ABDOMINOPELVICO (AYUNAS Y VEJIGA LLENA)</t>
  </si>
  <si>
    <t>Eco Doppler Testicular ( SE REALIZA DE 2 AÑOS EN ADELANTE)</t>
  </si>
  <si>
    <r>
      <t xml:space="preserve">Eco Mamario </t>
    </r>
    <r>
      <rPr>
        <b/>
        <sz val="10"/>
        <color rgb="FF000000"/>
        <rFont val="Calibri"/>
      </rPr>
      <t xml:space="preserve"> </t>
    </r>
    <r>
      <rPr>
        <b/>
        <sz val="8"/>
        <color rgb="FF000000"/>
        <rFont val="Calibri"/>
      </rPr>
      <t>DESPUES DE LOS 35 AÑOS TENER ULTIMA MAMOGRAFIA OBLIGATORIO</t>
    </r>
  </si>
  <si>
    <r>
      <t xml:space="preserve">Eco Pélvico </t>
    </r>
    <r>
      <rPr>
        <b/>
        <sz val="11"/>
        <color rgb="FF000000"/>
        <rFont val="Calibri"/>
      </rPr>
      <t>VENIR CON VEJIGA LLENA</t>
    </r>
  </si>
  <si>
    <r>
      <t xml:space="preserve">Eco Prostático </t>
    </r>
    <r>
      <rPr>
        <b/>
        <sz val="11"/>
        <color rgb="FF000000"/>
        <rFont val="Calibri"/>
      </rPr>
      <t>VENIR CON VEJIGA LLENA</t>
    </r>
  </si>
  <si>
    <r>
      <t xml:space="preserve">Eco Testicular </t>
    </r>
    <r>
      <rPr>
        <b/>
        <sz val="11"/>
        <color rgb="FF000000"/>
        <rFont val="Calibri"/>
      </rPr>
      <t>SE REALIZA UNICAMENTE DE 0 A 2 AÑOS</t>
    </r>
  </si>
  <si>
    <r>
      <t xml:space="preserve">Eco Transfontanelar                    </t>
    </r>
    <r>
      <rPr>
        <b/>
        <sz val="11"/>
        <color rgb="FF000000"/>
        <rFont val="Calibri"/>
      </rPr>
      <t>PARA RECIEN NACIDOS</t>
    </r>
  </si>
  <si>
    <t>Tac Abdomen  OBLIGATORIO CON CONTRASTE</t>
  </si>
  <si>
    <r>
      <t xml:space="preserve">Tac Cuello      </t>
    </r>
    <r>
      <rPr>
        <b/>
        <sz val="11"/>
        <color rgb="FF000000"/>
        <rFont val="Calibri"/>
      </rPr>
      <t xml:space="preserve"> OBLIGATORIO CON CONTRASTE ( A MENOS QUE QUIERAN VER HUESO) </t>
    </r>
  </si>
  <si>
    <t xml:space="preserve">Tac de Abdomen y Pelvis </t>
  </si>
  <si>
    <r>
      <t xml:space="preserve">TAC de Rodillas con Contracción del Cuádriceps en 0Â° 15Â° Y 30Â°       </t>
    </r>
    <r>
      <rPr>
        <b/>
        <sz val="11"/>
        <color rgb="FF000000"/>
        <rFont val="Calibri"/>
      </rPr>
      <t>NO VA</t>
    </r>
  </si>
  <si>
    <r>
      <t xml:space="preserve">Tac Pelvis      </t>
    </r>
    <r>
      <rPr>
        <b/>
        <sz val="11"/>
        <color rgb="FF000000"/>
        <rFont val="Calibri"/>
      </rPr>
      <t xml:space="preserve">  OBIGATORIO CON CONTRASTE ( A MENOS QUE QUIERAN VER HUESO)</t>
    </r>
  </si>
  <si>
    <t>EXAMENES 17-03-21</t>
  </si>
  <si>
    <t>Eco Abdominal                        AYUNAS 6 HORAS</t>
  </si>
  <si>
    <t>Eco AbdominoPelvico           AYUNAS /VEJIGA LLENA</t>
  </si>
  <si>
    <t>Eco Doppler Testicular        ( SE REALIZA DE 2 AÑOS EN ADELANTE)</t>
  </si>
  <si>
    <r>
      <t xml:space="preserve">Eco Mamario    </t>
    </r>
    <r>
      <rPr>
        <b/>
        <sz val="12"/>
        <color rgb="FF000000"/>
        <rFont val="Calibri"/>
      </rPr>
      <t>DESPUES DE LOS 35 AÑOS TENER ULTIMA MAMOGRAFIA OBLIGATORIO</t>
    </r>
  </si>
  <si>
    <r>
      <t xml:space="preserve">Eco Pélvico           </t>
    </r>
    <r>
      <rPr>
        <b/>
        <sz val="14"/>
        <color rgb="FF000000"/>
        <rFont val="Calibri"/>
      </rPr>
      <t xml:space="preserve"> VENIR CON VEJIGA LLENA </t>
    </r>
  </si>
  <si>
    <r>
      <t xml:space="preserve">Eco Prostático           </t>
    </r>
    <r>
      <rPr>
        <b/>
        <sz val="14"/>
        <color rgb="FF000000"/>
        <rFont val="Calibri"/>
      </rPr>
      <t xml:space="preserve">VENIR CON VEJIGA LLENA </t>
    </r>
  </si>
  <si>
    <r>
      <t xml:space="preserve">Eco Testicular   </t>
    </r>
    <r>
      <rPr>
        <b/>
        <sz val="14"/>
        <color rgb="FF000000"/>
        <rFont val="Calibri"/>
      </rPr>
      <t xml:space="preserve">              SE REALIZA UNICAMENTE DE 0 A 2 AÑOS</t>
    </r>
  </si>
  <si>
    <r>
      <t xml:space="preserve">Eco Transfontanelar              </t>
    </r>
    <r>
      <rPr>
        <b/>
        <sz val="14"/>
        <color rgb="FF000000"/>
        <rFont val="Calibri"/>
      </rPr>
      <t xml:space="preserve">PARA RECIEN NACIDOS </t>
    </r>
  </si>
  <si>
    <r>
      <t>Eco Vesical con Medición de Residuos Post Miccional</t>
    </r>
    <r>
      <rPr>
        <b/>
        <sz val="13"/>
        <color rgb="FF000000"/>
        <rFont val="Calibri"/>
      </rPr>
      <t xml:space="preserve"> VENIR CON VEJIGA LLENA </t>
    </r>
  </si>
  <si>
    <r>
      <t xml:space="preserve">Tac Abdomen          </t>
    </r>
    <r>
      <rPr>
        <b/>
        <sz val="14"/>
        <color rgb="FF000000"/>
        <rFont val="Calibri"/>
      </rPr>
      <t xml:space="preserve"> OBLIGATORIO CON CONTRASTE </t>
    </r>
  </si>
  <si>
    <r>
      <t xml:space="preserve">Tac Cuello </t>
    </r>
    <r>
      <rPr>
        <b/>
        <sz val="13"/>
        <color rgb="FF000000"/>
        <rFont val="Calibri"/>
      </rPr>
      <t xml:space="preserve"> OBLIGATORIO CON CONTRASTE ( A MENOS  QUE QUIERAN VER HUESO)</t>
    </r>
  </si>
  <si>
    <r>
      <t xml:space="preserve">TAC de Rodillas con Contracción del Cuádriceps en 0Â° 15Â° Y 30Â°   </t>
    </r>
    <r>
      <rPr>
        <b/>
        <sz val="12"/>
        <color rgb="FF000000"/>
        <rFont val="Calibri"/>
      </rPr>
      <t xml:space="preserve">NO SE REALIZA </t>
    </r>
  </si>
  <si>
    <r>
      <t xml:space="preserve">Tac Pelvis      </t>
    </r>
    <r>
      <rPr>
        <b/>
        <sz val="12"/>
        <color rgb="FF000000"/>
        <rFont val="Calibri"/>
      </rPr>
      <t>OBLIGATORIO CON CONTRASTE ( A MENOS  QUE QUIERAN VER HUESO)</t>
    </r>
  </si>
  <si>
    <r>
      <t xml:space="preserve">Eco Mamario    </t>
    </r>
    <r>
      <rPr>
        <b/>
        <sz val="11"/>
        <color rgb="FF000000"/>
        <rFont val="Calibri"/>
      </rPr>
      <t>DESPUES DE LOS 35 AÑOS TENER ULTIMA MAMOGRAFIA OBLIGATORIO</t>
    </r>
  </si>
  <si>
    <r>
      <t xml:space="preserve">Eco Pélvico           </t>
    </r>
    <r>
      <rPr>
        <b/>
        <sz val="11"/>
        <color rgb="FF000000"/>
        <rFont val="Calibri"/>
      </rPr>
      <t xml:space="preserve"> VENIR CON VEJIGA LLENA </t>
    </r>
  </si>
  <si>
    <r>
      <t xml:space="preserve">Eco Prostático           </t>
    </r>
    <r>
      <rPr>
        <b/>
        <sz val="11"/>
        <color rgb="FF000000"/>
        <rFont val="Calibri"/>
      </rPr>
      <t xml:space="preserve">VENIR CON VEJIGA LLENA </t>
    </r>
  </si>
  <si>
    <r>
      <t xml:space="preserve">Eco Testicular   </t>
    </r>
    <r>
      <rPr>
        <b/>
        <sz val="11"/>
        <color rgb="FF000000"/>
        <rFont val="Calibri"/>
      </rPr>
      <t xml:space="preserve">              SE REALIZA UNICAMENTE DE 0 A 2 AÑOS</t>
    </r>
  </si>
  <si>
    <r>
      <t xml:space="preserve">Eco Transfontanelar              </t>
    </r>
    <r>
      <rPr>
        <b/>
        <sz val="11"/>
        <color rgb="FF000000"/>
        <rFont val="Calibri"/>
      </rPr>
      <t xml:space="preserve">PARA RECIEN NACIDOS </t>
    </r>
  </si>
  <si>
    <r>
      <t>Eco Vesical con Medición de Residuos Post Miccional</t>
    </r>
    <r>
      <rPr>
        <b/>
        <sz val="11"/>
        <color rgb="FF000000"/>
        <rFont val="Calibri"/>
      </rPr>
      <t xml:space="preserve"> VENIR CON VEJIGA LLENA </t>
    </r>
  </si>
  <si>
    <r>
      <t xml:space="preserve">Tac Abdomen          </t>
    </r>
    <r>
      <rPr>
        <b/>
        <sz val="11"/>
        <color rgb="FF000000"/>
        <rFont val="Calibri"/>
      </rPr>
      <t xml:space="preserve"> OBLIGATORIO CON CONTRASTE </t>
    </r>
  </si>
  <si>
    <r>
      <t xml:space="preserve">Tac Cuello </t>
    </r>
    <r>
      <rPr>
        <b/>
        <sz val="11"/>
        <color rgb="FF000000"/>
        <rFont val="Calibri"/>
      </rPr>
      <t xml:space="preserve"> OBLIGATORIO CON CONTRASTE ( A MENOS  QUE QUIERAN VER HUESO)</t>
    </r>
  </si>
  <si>
    <r>
      <t xml:space="preserve">TAC de Rodillas con Contracción del Cuádriceps en 0Â° 15Â° Y 30Â°   </t>
    </r>
    <r>
      <rPr>
        <b/>
        <sz val="11"/>
        <color rgb="FF000000"/>
        <rFont val="Calibri"/>
      </rPr>
      <t xml:space="preserve">NO SE REALIZA </t>
    </r>
  </si>
  <si>
    <r>
      <t xml:space="preserve">Tac Pelvis      </t>
    </r>
    <r>
      <rPr>
        <b/>
        <sz val="12"/>
        <color rgb="FF000000"/>
        <rFont val="Calibri"/>
      </rPr>
      <t>OBLIGATORIO CON CONTRASTE ( A MENOS  QUE QUIERAN VER HUESO)</t>
    </r>
  </si>
  <si>
    <t xml:space="preserve">                                                             Examen                             05-05-2020</t>
  </si>
  <si>
    <t>Eco Doppler Arterial y Venoso De Ms.Is</t>
  </si>
  <si>
    <t>Eco Doppler Arterial y Venoso De Ms.Ss</t>
  </si>
  <si>
    <t>Eco Doppler Arterial o Venoso de Ms.Ss</t>
  </si>
  <si>
    <t>Kit de RX</t>
  </si>
  <si>
    <t>Tac Torax Abdominopelvico</t>
  </si>
  <si>
    <t>Tac Abdominopelvico</t>
  </si>
  <si>
    <r>
      <t xml:space="preserve">Eco Abdominal      </t>
    </r>
    <r>
      <rPr>
        <b/>
        <sz val="12"/>
        <color rgb="FF000000"/>
        <rFont val="Calibri"/>
      </rPr>
      <t>EN AYUNAS</t>
    </r>
  </si>
  <si>
    <r>
      <t xml:space="preserve">Eco AbdominoPelvico   </t>
    </r>
    <r>
      <rPr>
        <b/>
        <sz val="12"/>
        <color rgb="FF000000"/>
        <rFont val="Calibri"/>
      </rPr>
      <t>AYUNAS Y GEJIGA LLENA</t>
    </r>
  </si>
  <si>
    <r>
      <t xml:space="preserve">Eco Doppler Testicular </t>
    </r>
    <r>
      <rPr>
        <sz val="12"/>
        <color rgb="FF000000"/>
        <rFont val="Calibri"/>
      </rPr>
      <t xml:space="preserve">  </t>
    </r>
    <r>
      <rPr>
        <b/>
        <sz val="12"/>
        <color rgb="FF000000"/>
        <rFont val="Calibri"/>
      </rPr>
      <t>DE 2 AÑOS EN ADELANTE</t>
    </r>
  </si>
  <si>
    <r>
      <t xml:space="preserve">Eco Mamario   </t>
    </r>
    <r>
      <rPr>
        <b/>
        <sz val="12"/>
        <color rgb="FF000000"/>
        <rFont val="Calibri"/>
      </rPr>
      <t>TRAER ULTIMA MAMOGRAFIA</t>
    </r>
  </si>
  <si>
    <r>
      <t xml:space="preserve">Eco Prostático      </t>
    </r>
    <r>
      <rPr>
        <b/>
        <sz val="12"/>
        <color rgb="FF000000"/>
        <rFont val="Calibri"/>
      </rPr>
      <t xml:space="preserve"> GEJIGA LLENA</t>
    </r>
  </si>
  <si>
    <r>
      <t xml:space="preserve">Eco Testicular    </t>
    </r>
    <r>
      <rPr>
        <b/>
        <sz val="11"/>
        <color rgb="FF000000"/>
        <rFont val="Calibri"/>
      </rPr>
      <t>HASTA LOS 2 AÑOS</t>
    </r>
  </si>
  <si>
    <r>
      <t xml:space="preserve">Eco Vesical con Medición de Residuos Post Miccional  </t>
    </r>
    <r>
      <rPr>
        <b/>
        <sz val="11"/>
        <color rgb="FF000000"/>
        <rFont val="Calibri"/>
      </rPr>
      <t>VEJIGA LLENA</t>
    </r>
  </si>
  <si>
    <t>Costo Clínica</t>
  </si>
  <si>
    <r>
      <t xml:space="preserve">Eco Mamario  </t>
    </r>
    <r>
      <rPr>
        <b/>
        <sz val="11"/>
        <color rgb="FF000000"/>
        <rFont val="Calibri"/>
      </rPr>
      <t xml:space="preserve">A partir 35 años </t>
    </r>
    <r>
      <rPr>
        <b/>
        <sz val="12"/>
        <color rgb="FF000000"/>
        <rFont val="Calibri"/>
      </rPr>
      <t>TRAER ULTIMA MAMOGRAFIA</t>
    </r>
  </si>
  <si>
    <r>
      <t xml:space="preserve">Eco Pélvico   </t>
    </r>
    <r>
      <rPr>
        <b/>
        <sz val="11"/>
        <color rgb="FF000000"/>
        <rFont val="Calibri"/>
      </rPr>
      <t>VEJIGA LLENA</t>
    </r>
  </si>
  <si>
    <r>
      <t xml:space="preserve">Eco Prostático     </t>
    </r>
    <r>
      <rPr>
        <b/>
        <sz val="11"/>
        <color rgb="FF000000"/>
        <rFont val="Calibri"/>
      </rPr>
      <t>VEJIGA LLENA</t>
    </r>
  </si>
  <si>
    <r>
      <t xml:space="preserve">Eco AbdominoPelvico   EN </t>
    </r>
    <r>
      <rPr>
        <b/>
        <sz val="12"/>
        <color rgb="FF000000"/>
        <rFont val="Calibri"/>
      </rPr>
      <t>AYUNAS Y VEJIGA LLENA</t>
    </r>
  </si>
  <si>
    <r>
      <t xml:space="preserve">Eco Pélvico                           </t>
    </r>
    <r>
      <rPr>
        <b/>
        <sz val="11"/>
        <color rgb="FF000000"/>
        <rFont val="Calibri"/>
      </rPr>
      <t>VEJIGA LLENA</t>
    </r>
  </si>
  <si>
    <r>
      <t xml:space="preserve">Eco Prostático                  </t>
    </r>
    <r>
      <rPr>
        <b/>
        <sz val="11"/>
        <color rgb="FF000000"/>
        <rFont val="Calibri"/>
      </rPr>
      <t>VEJIGA LLENA</t>
    </r>
  </si>
  <si>
    <r>
      <t xml:space="preserve">Eco Testicular              </t>
    </r>
    <r>
      <rPr>
        <b/>
        <sz val="11"/>
        <color rgb="FF000000"/>
        <rFont val="Calibri"/>
      </rPr>
      <t>HASTA LOS 2 AÑOS</t>
    </r>
  </si>
  <si>
    <t>Eco Doppler Arterial o Venoso de Ms.Is</t>
  </si>
  <si>
    <t>Costo Bs</t>
  </si>
  <si>
    <r>
      <t xml:space="preserve">Eco Abdominal              </t>
    </r>
    <r>
      <rPr>
        <b/>
        <sz val="11"/>
        <color rgb="FF000000"/>
        <rFont val="Calibri"/>
      </rPr>
      <t>VENIR EN AYUNAS</t>
    </r>
  </si>
  <si>
    <r>
      <t xml:space="preserve">Eco Doppler Testicular     </t>
    </r>
    <r>
      <rPr>
        <b/>
        <sz val="11"/>
        <color rgb="FF000000"/>
        <rFont val="Calibri"/>
      </rPr>
      <t>DE 2 AÑOS EN ADELANTE</t>
    </r>
  </si>
  <si>
    <r>
      <t xml:space="preserve">Eco Mamario  </t>
    </r>
    <r>
      <rPr>
        <b/>
        <sz val="11"/>
        <color rgb="FF000000"/>
        <rFont val="Calibri"/>
      </rPr>
      <t>35 AÑOS EN ADELANTE Y TRAER LA ULTIMA MAMOGRAFIA</t>
    </r>
  </si>
  <si>
    <r>
      <t xml:space="preserve">Eco Pélvico   </t>
    </r>
    <r>
      <rPr>
        <b/>
        <sz val="11"/>
        <color rgb="FF000000"/>
        <rFont val="Calibri"/>
      </rPr>
      <t>TRAER VEJIGA LLENA</t>
    </r>
  </si>
  <si>
    <r>
      <t xml:space="preserve">Eco Prostático   </t>
    </r>
    <r>
      <rPr>
        <b/>
        <sz val="11"/>
        <color rgb="FF000000"/>
        <rFont val="Calibri"/>
      </rPr>
      <t>TRAER VEJIGA LLENA</t>
    </r>
  </si>
  <si>
    <r>
      <t xml:space="preserve">Eco Testicular   </t>
    </r>
    <r>
      <rPr>
        <b/>
        <sz val="11"/>
        <color rgb="FF000000"/>
        <rFont val="Calibri"/>
      </rPr>
      <t xml:space="preserve">HASTA LOS 2 AÑOS </t>
    </r>
  </si>
  <si>
    <r>
      <t xml:space="preserve">Abdomen 2 Proyecciones                                                                                                  </t>
    </r>
    <r>
      <rPr>
        <b/>
        <sz val="11"/>
        <color rgb="FF000000"/>
        <rFont val="Calibri"/>
      </rPr>
      <t>Colangiografia Trans Kehr debe venir con su medico + insumos</t>
    </r>
  </si>
  <si>
    <r>
      <rPr>
        <sz val="11"/>
        <color rgb="FF000000"/>
        <rFont val="Calibri"/>
      </rPr>
      <t>Eco AbdominoPelvico</t>
    </r>
    <r>
      <rPr>
        <b/>
        <sz val="11"/>
        <color rgb="FF000000"/>
        <rFont val="Calibri"/>
      </rPr>
      <t xml:space="preserve">   VENIR EN AYUNAS Y VEJIGA LLENA</t>
    </r>
  </si>
  <si>
    <t>Costo $</t>
  </si>
  <si>
    <t>Paquete</t>
  </si>
  <si>
    <r>
      <t xml:space="preserve">Paquete Mujer eco mamario - desintometria - mamografia                                                                                             </t>
    </r>
    <r>
      <rPr>
        <b/>
        <sz val="10"/>
        <color rgb="FF000000"/>
        <rFont val="Calibri"/>
      </rPr>
      <t>3 Digitalizacion - 3 Soportes  - 1 Kit de eco</t>
    </r>
  </si>
  <si>
    <r>
      <t xml:space="preserve">Abdomen 2 Proyecciones                                                                                                  </t>
    </r>
    <r>
      <rPr>
        <b/>
        <sz val="10"/>
        <color rgb="FF000000"/>
        <rFont val="Calibri"/>
      </rPr>
      <t>Colangiografia Trans Kehr debe venir con su medico + insumos</t>
    </r>
  </si>
  <si>
    <t xml:space="preserve"> Honorario</t>
  </si>
  <si>
    <r>
      <t xml:space="preserve">Paquete Mujer eco mamario - desintometria - mamografia  c/ protesis                                                                                                                                                 </t>
    </r>
    <r>
      <rPr>
        <b/>
        <sz val="10"/>
        <color rgb="FF000000"/>
        <rFont val="Calibri"/>
      </rPr>
      <t>3 Digitalizacion - 3 Soportes  - 1 Kit de eco</t>
    </r>
  </si>
  <si>
    <r>
      <t xml:space="preserve">Abdomen 2 Proyecciones      </t>
    </r>
    <r>
      <rPr>
        <b/>
        <sz val="11"/>
        <color rgb="FF000000"/>
        <rFont val="Calibri"/>
      </rPr>
      <t>Colangiografia Trans Kehr debe venir con su medico + insumos</t>
    </r>
  </si>
  <si>
    <r>
      <t xml:space="preserve">Paquete Mujer eco mamario - desintometria - mamografia                                                                                             </t>
    </r>
    <r>
      <rPr>
        <b/>
        <sz val="11"/>
        <color rgb="FF000000"/>
        <rFont val="Calibri"/>
      </rPr>
      <t>3 Digitalizacion - 3 Soportes  - 1 Kit de eco</t>
    </r>
  </si>
  <si>
    <r>
      <t xml:space="preserve">Paquete Mujer eco mamario - desintometria - mamografia  c/ protesis                                                                   </t>
    </r>
    <r>
      <rPr>
        <b/>
        <sz val="11"/>
        <color rgb="FF000000"/>
        <rFont val="Calibri"/>
      </rPr>
      <t>3  Digitalizacion - 3 Soportes  - 1 Kit de eco</t>
    </r>
  </si>
  <si>
    <t xml:space="preserve">1 DIGITALIZACION            1 SOPORTE            </t>
  </si>
  <si>
    <r>
      <t xml:space="preserve">Humero Ambos 2 Proyecciones        </t>
    </r>
    <r>
      <rPr>
        <b/>
        <sz val="11"/>
        <color rgb="FF000000"/>
        <rFont val="Calibri"/>
      </rPr>
      <t xml:space="preserve"> BRAZO</t>
    </r>
  </si>
  <si>
    <r>
      <t xml:space="preserve">Humero Ambos 1 Proyección            </t>
    </r>
    <r>
      <rPr>
        <b/>
        <sz val="11"/>
        <color rgb="FF000000"/>
        <rFont val="Calibri"/>
      </rPr>
      <t xml:space="preserve"> BRAZO</t>
    </r>
  </si>
  <si>
    <r>
      <t xml:space="preserve">Humero 2 Proyecciones                       </t>
    </r>
    <r>
      <rPr>
        <b/>
        <sz val="11"/>
        <color rgb="FF000000"/>
        <rFont val="Calibri"/>
      </rPr>
      <t>BRAZO</t>
    </r>
  </si>
  <si>
    <r>
      <t xml:space="preserve">Humero 1 Proyección                           </t>
    </r>
    <r>
      <rPr>
        <b/>
        <sz val="11"/>
        <color rgb="FF000000"/>
        <rFont val="Calibri"/>
      </rPr>
      <t>BRAZO</t>
    </r>
  </si>
  <si>
    <r>
      <t xml:space="preserve">Tibias Ambas 2 Proyecciones          </t>
    </r>
    <r>
      <rPr>
        <b/>
        <sz val="11"/>
        <color rgb="FF000000"/>
        <rFont val="Calibri"/>
      </rPr>
      <t>PIERNA</t>
    </r>
  </si>
  <si>
    <r>
      <t xml:space="preserve">Tibia 2 Proyecciones         </t>
    </r>
    <r>
      <rPr>
        <b/>
        <sz val="11"/>
        <color rgb="FF000000"/>
        <rFont val="Calibri"/>
      </rPr>
      <t xml:space="preserve">                 PIERNA</t>
    </r>
  </si>
  <si>
    <t xml:space="preserve">Tac Abdominopelvico                 </t>
  </si>
  <si>
    <r>
      <rPr>
        <sz val="11"/>
        <rFont val="Calibri"/>
      </rPr>
      <t>Tac Torax Abdominopelvico</t>
    </r>
    <r>
      <rPr>
        <b/>
        <sz val="11"/>
        <rFont val="Calibri"/>
      </rPr>
      <t xml:space="preserve">      SE REALIZA 1 TORAX 1 ABDOMEN 1 PELVIS</t>
    </r>
  </si>
  <si>
    <r>
      <t xml:space="preserve">Tac de Abdomen y Pelvis       </t>
    </r>
    <r>
      <rPr>
        <b/>
        <sz val="12"/>
        <rFont val="Calibri"/>
      </rPr>
      <t xml:space="preserve"> SE REALIZA 1 ABDOMEN 1 PELVIS</t>
    </r>
  </si>
  <si>
    <t>REPETIDO</t>
  </si>
  <si>
    <r>
      <rPr>
        <sz val="11"/>
        <color rgb="FF000000"/>
        <rFont val="Calibri"/>
      </rPr>
      <t>Eco AbdominoPelvico</t>
    </r>
    <r>
      <rPr>
        <b/>
        <sz val="11"/>
        <color rgb="FF000000"/>
        <rFont val="Calibri"/>
      </rPr>
      <t xml:space="preserve">   </t>
    </r>
    <r>
      <rPr>
        <b/>
        <sz val="10"/>
        <color rgb="FF000000"/>
        <rFont val="Calibri"/>
      </rPr>
      <t>VENIR EN AYUNAS Y VEJIGA LLENA</t>
    </r>
  </si>
  <si>
    <r>
      <t xml:space="preserve">Eco Mamario </t>
    </r>
    <r>
      <rPr>
        <sz val="12"/>
        <color rgb="FF000000"/>
        <rFont val="Calibri"/>
      </rPr>
      <t xml:space="preserve">  </t>
    </r>
    <r>
      <rPr>
        <b/>
        <sz val="10"/>
        <color rgb="FF000000"/>
        <rFont val="Calibri"/>
      </rPr>
      <t>35 AÑOS EN ADELANTE Y TRAER LA ULTIMA MAMOGRAFIA</t>
    </r>
  </si>
  <si>
    <r>
      <t>Abdomen 2 Proyecciones                                                                C</t>
    </r>
    <r>
      <rPr>
        <b/>
        <sz val="11"/>
        <color rgb="FF000000"/>
        <rFont val="Calibri"/>
      </rPr>
      <t>olangiografia Trans Kehr debe venir con su medico + insumos</t>
    </r>
  </si>
  <si>
    <r>
      <t xml:space="preserve">Eco Doppler Arterial o Venoso De Ms.Ss         </t>
    </r>
    <r>
      <rPr>
        <b/>
        <sz val="11"/>
        <color rgb="FF000000"/>
        <rFont val="Calibri"/>
      </rPr>
      <t>c/pierna</t>
    </r>
  </si>
  <si>
    <r>
      <t xml:space="preserve">Eco Doppler Arterial y Venoso de Ms.Ss         </t>
    </r>
    <r>
      <rPr>
        <b/>
        <sz val="11"/>
        <color rgb="FF000000"/>
        <rFont val="Calibri"/>
      </rPr>
      <t xml:space="preserve"> c/pierna</t>
    </r>
  </si>
  <si>
    <r>
      <t xml:space="preserve">Eco Doppler Arterial o Venoso De Ms.Is          </t>
    </r>
    <r>
      <rPr>
        <b/>
        <sz val="11"/>
        <color rgb="FF000000"/>
        <rFont val="Calibri"/>
      </rPr>
      <t xml:space="preserve"> c/pierna</t>
    </r>
  </si>
  <si>
    <r>
      <t xml:space="preserve">Eco Doppler Arterial y Venoso de Ms.Is          </t>
    </r>
    <r>
      <rPr>
        <b/>
        <sz val="11"/>
        <color rgb="FF000000"/>
        <rFont val="Calibri"/>
      </rPr>
      <t xml:space="preserve"> c/pierna</t>
    </r>
  </si>
  <si>
    <r>
      <t xml:space="preserve">Paquete Mujer eco mamario - desintometria - mamografia  c/ protesis                                                                                                            </t>
    </r>
    <r>
      <rPr>
        <b/>
        <sz val="11"/>
        <color rgb="FF000000"/>
        <rFont val="Calibri"/>
      </rPr>
      <t>3  Digitalizacion - 3 Soportes  - 1 Kit de eco</t>
    </r>
  </si>
  <si>
    <r>
      <t xml:space="preserve">Paquete Mujer eco mamario - desintometria - mamografia   con o sin protesis                                                                                                                       </t>
    </r>
    <r>
      <rPr>
        <b/>
        <sz val="11"/>
        <color rgb="FF000000"/>
        <rFont val="Calibri"/>
      </rPr>
      <t>3 Digitalizacion - 3 Soportes  - 1 Kit de eco</t>
    </r>
  </si>
  <si>
    <t xml:space="preserve">TOMOGRAFIAS     1 DIGITALIZACION            1 SOPORTE            </t>
  </si>
  <si>
    <t>EN COLUMNA CERVICAL  DINAMICA Ó OBLICUA SON 2 PROTECCIONES CADA UNA</t>
  </si>
  <si>
    <r>
      <t>Paquete Mujer Eco Mamario - Mamografia                                                                                             2</t>
    </r>
    <r>
      <rPr>
        <b/>
        <sz val="11"/>
        <color rgb="FF000000"/>
        <rFont val="Calibri"/>
      </rPr>
      <t xml:space="preserve"> Digitalizacion - 2 Soportes  - 1 Kit de eco</t>
    </r>
  </si>
  <si>
    <r>
      <t xml:space="preserve">Eco Mamario   </t>
    </r>
    <r>
      <rPr>
        <b/>
        <sz val="11"/>
        <color rgb="FF000000"/>
        <rFont val="Calibri"/>
      </rPr>
      <t>35 AÑOS EN ADELANTE Y TRAER LA ULTIMA MAMOGRAFIA</t>
    </r>
  </si>
  <si>
    <r>
      <t xml:space="preserve">Eco Doppler Arterial o Venoso De Ms.Is                                                       </t>
    </r>
    <r>
      <rPr>
        <b/>
        <sz val="11"/>
        <color rgb="FF000000"/>
        <rFont val="Calibri"/>
      </rPr>
      <t>CADA PIERNA ARTERIAL O VENOSO</t>
    </r>
  </si>
  <si>
    <r>
      <t xml:space="preserve">Rinofaringe(Cavum) 2 Proyecciones                                                                             </t>
    </r>
    <r>
      <rPr>
        <b/>
        <sz val="11"/>
        <color rgb="FF000000"/>
        <rFont val="Calibri"/>
      </rPr>
      <t>BOCA ABIERTA BOCA CERRADA</t>
    </r>
  </si>
  <si>
    <r>
      <t xml:space="preserve">Densitometría Columna Lumbar + 1 Fémur                                                             </t>
    </r>
    <r>
      <rPr>
        <b/>
        <sz val="11"/>
        <color rgb="FF000000"/>
        <rFont val="Calibri"/>
      </rPr>
      <t xml:space="preserve"> 1 DIGITALIZACION     1 SOPORTE</t>
    </r>
  </si>
  <si>
    <r>
      <t xml:space="preserve">Eco Abdominoplevico                                                                                                               </t>
    </r>
    <r>
      <rPr>
        <b/>
        <sz val="11"/>
        <color rgb="FF000000"/>
        <rFont val="Calibri"/>
      </rPr>
      <t>VENIR EN AYUNAS VEJIGA LLENA</t>
    </r>
  </si>
  <si>
    <r>
      <t xml:space="preserve">Eco Doppler Arterial o Venoso De Ms.Ss                                                                     </t>
    </r>
    <r>
      <rPr>
        <b/>
        <sz val="11"/>
        <color rgb="FF000000"/>
        <rFont val="Calibri"/>
      </rPr>
      <t>CADA BRAZO ARTERIAL O VENOSO</t>
    </r>
  </si>
  <si>
    <r>
      <t xml:space="preserve">Eco Doppler Testicular                                                                                                     </t>
    </r>
    <r>
      <rPr>
        <b/>
        <sz val="11"/>
        <color rgb="FF000000"/>
        <rFont val="Calibri"/>
      </rPr>
      <t>DE 2 AÑOS EN ADELANTE</t>
    </r>
  </si>
  <si>
    <r>
      <t xml:space="preserve">Eco Tiroideo                                                                                                                           </t>
    </r>
    <r>
      <rPr>
        <b/>
        <sz val="11"/>
        <rFont val="Calibri"/>
      </rPr>
      <t xml:space="preserve"> </t>
    </r>
    <r>
      <rPr>
        <b/>
        <sz val="12"/>
        <rFont val="Calibri"/>
      </rPr>
      <t>NO SE REALIZA DEBE SER DOPPLER</t>
    </r>
  </si>
  <si>
    <t>Kit de Contraste Oral      +           Costo examen</t>
  </si>
  <si>
    <t>Tac Cadera Derecha</t>
  </si>
  <si>
    <t>Tac Cadera Izquierda</t>
  </si>
  <si>
    <t>Tac Cadera Bilateral</t>
  </si>
  <si>
    <t>Tac Abdomino/ Pelvico</t>
  </si>
</sst>
</file>

<file path=xl/styles.xml><?xml version="1.0" encoding="utf-8"?>
<styleSheet xmlns="http://schemas.openxmlformats.org/spreadsheetml/2006/main">
  <numFmts count="7">
    <numFmt numFmtId="0" formatCode="General"/>
    <numFmt numFmtId="165" formatCode="#,##0.00;[Red]#,##0.00"/>
    <numFmt numFmtId="49" formatCode="@"/>
    <numFmt numFmtId="4" formatCode="#,##0.00"/>
    <numFmt numFmtId="164" formatCode="_ * #,##0.00_ ;_ * \-#,##0.00_ ;_ * &quot;-&quot;??_ ;_ @_ "/>
    <numFmt numFmtId="2" formatCode="0.00"/>
    <numFmt numFmtId="166" formatCode="&quot;Bs.S&quot;\ #,##0.00"/>
  </numFmts>
  <fonts count="29">
    <font>
      <name val="Calibri"/>
      <sz val="11"/>
    </font>
    <font>
      <name val="Calibri"/>
      <b/>
      <sz val="11"/>
      <color rgb="FF000000"/>
    </font>
    <font>
      <name val="Calibri"/>
      <sz val="11"/>
      <color rgb="FF000000"/>
    </font>
    <font>
      <name val="Calibri"/>
      <sz val="11"/>
    </font>
    <font>
      <name val="Calibri"/>
      <sz val="11"/>
      <color rgb="FF000000"/>
    </font>
    <font>
      <name val="Calibri"/>
      <sz val="10"/>
    </font>
    <font>
      <name val="Calibri"/>
      <sz val="11"/>
      <color rgb="FF1F4E79"/>
    </font>
    <font>
      <name val="Verdana"/>
      <sz val="8"/>
      <color rgb="FF666666"/>
    </font>
    <font>
      <name val="Arial"/>
      <sz val="11"/>
      <color rgb="FF000000"/>
    </font>
    <font>
      <name val="Calibri"/>
      <sz val="10"/>
      <color rgb="FF000000"/>
    </font>
    <font>
      <name val="Calibri"/>
      <b/>
      <sz val="11"/>
    </font>
    <font>
      <name val="Calibri"/>
      <b/>
      <sz val="10"/>
    </font>
    <font>
      <name val="Calibri"/>
      <sz val="14"/>
      <color rgb="FF000000"/>
    </font>
    <font>
      <name val="Calibri"/>
      <b/>
      <sz val="14"/>
      <color rgb="FF000000"/>
    </font>
    <font>
      <name val="Calibri"/>
      <sz val="14"/>
    </font>
    <font>
      <name val="Calibri"/>
      <b/>
      <sz val="14"/>
    </font>
    <font>
      <name val="Calibri"/>
      <sz val="13"/>
      <color rgb="FF000000"/>
    </font>
    <font>
      <name val="Calibri"/>
      <sz val="12"/>
      <color rgb="FF000000"/>
    </font>
    <font>
      <name val="Calibri"/>
      <b/>
      <sz val="11"/>
      <color rgb="FFFF0000"/>
    </font>
    <font>
      <name val="Calibri"/>
      <sz val="11"/>
      <color rgb="FFFF0000"/>
    </font>
    <font>
      <name val="Calibri"/>
      <b/>
      <sz val="16"/>
      <color rgb="FFFFFFFF"/>
    </font>
    <font>
      <name val="Calibri"/>
      <sz val="12"/>
      <color rgb="FF000000"/>
    </font>
    <font>
      <name val="Calibri"/>
      <b/>
      <sz val="12"/>
      <color rgb="FF000000"/>
    </font>
    <font>
      <name val="Arial Black"/>
      <b/>
      <sz val="11"/>
      <color rgb="FFFFFFFF"/>
    </font>
    <font>
      <name val="Aharoni"/>
      <b/>
      <charset val="177"/>
      <sz val="11"/>
      <color rgb="FF00000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</fonts>
  <fills count="7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63734"/>
        <bgColor indexed="64"/>
      </patternFill>
    </fill>
    <fill>
      <patternFill patternType="solid">
        <fgColor rgb="FF0F253F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Dashed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Dashed">
        <color indexed="64"/>
      </bottom>
      <diagonal/>
    </border>
    <border>
      <left/>
      <right/>
      <top style="mediumDashed">
        <color indexed="64"/>
      </top>
      <bottom style="thin">
        <color indexed="64"/>
      </bottom>
      <diagonal/>
    </border>
    <border>
      <left/>
      <right style="thin">
        <color indexed="64"/>
      </right>
      <top style="mediumDash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mediumDashed">
        <color indexed="64"/>
      </top>
      <bottom style="thin">
        <color indexed="64"/>
      </bottom>
      <diagonal/>
    </border>
    <border>
      <left style="thin">
        <color indexed="64"/>
      </left>
      <right/>
      <top style="mediumDash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</borders>
  <cellStyleXfs count="8">
    <xf numFmtId="0" fontId="0" fillId="0" borderId="0">
      <alignment vertical="center"/>
    </xf>
    <xf numFmtId="0" fontId="25" fillId="0" borderId="0">
      <alignment vertical="bottom"/>
      <protection locked="0" hidden="0"/>
    </xf>
    <xf numFmtId="0" fontId="26" fillId="0" borderId="0">
      <alignment vertical="bottom"/>
      <protection locked="0" hidden="0"/>
    </xf>
    <xf numFmtId="164" fontId="4" fillId="0" borderId="0">
      <alignment vertical="top"/>
      <protection locked="0" hidden="0"/>
    </xf>
    <xf numFmtId="0" fontId="25" fillId="0" borderId="0">
      <alignment vertical="bottom"/>
      <protection locked="0" hidden="0"/>
    </xf>
    <xf numFmtId="0" fontId="27" fillId="0" borderId="0">
      <alignment vertical="bottom"/>
      <protection locked="0" hidden="0"/>
    </xf>
    <xf numFmtId="0" fontId="25" fillId="0" borderId="0">
      <alignment vertical="bottom"/>
      <protection locked="0" hidden="0"/>
    </xf>
    <xf numFmtId="0" fontId="28" fillId="0" borderId="0">
      <alignment vertical="bottom"/>
      <protection locked="0" hidden="0"/>
    </xf>
  </cellStyleXfs>
  <cellXfs count="601">
    <xf numFmtId="0" fontId="0" fillId="0" borderId="0" xfId="0">
      <alignment vertical="center"/>
    </xf>
    <xf numFmtId="0" fontId="1" fillId="0" borderId="1" xfId="0" applyFont="1" applyBorder="1" applyAlignment="1">
      <alignment horizontal="center" vertical="bottom"/>
    </xf>
    <xf numFmtId="165" fontId="1" fillId="0" borderId="1" xfId="0" applyNumberFormat="1" applyFont="1" applyBorder="1" applyAlignment="1">
      <alignment horizontal="center" vertical="bottom"/>
    </xf>
    <xf numFmtId="0" fontId="2" fillId="0" borderId="1" xfId="0" applyFont="1" applyBorder="1" applyAlignment="1">
      <alignment vertical="bottom"/>
    </xf>
    <xf numFmtId="49" fontId="3" fillId="0" borderId="1" xfId="1" applyNumberFormat="1" applyFont="1" applyBorder="1" applyAlignment="1">
      <alignment vertical="top"/>
    </xf>
    <xf numFmtId="4" fontId="3" fillId="0" borderId="1" xfId="2" applyNumberFormat="1" applyFont="1" applyBorder="1" applyAlignment="1">
      <alignment vertical="bottom"/>
    </xf>
    <xf numFmtId="164" fontId="4" fillId="0" borderId="1" xfId="3" applyFont="1" applyBorder="1" applyAlignment="1">
      <alignment vertical="bottom"/>
    </xf>
    <xf numFmtId="4" fontId="3" fillId="0" borderId="2" xfId="2" applyNumberFormat="1" applyFont="1" applyBorder="1" applyAlignment="1">
      <alignment vertical="bottom"/>
    </xf>
    <xf numFmtId="4" fontId="3" fillId="0" borderId="3" xfId="4" applyNumberFormat="1" applyFont="1" applyFill="1" applyBorder="1" applyAlignment="1">
      <alignment vertical="bottom"/>
    </xf>
    <xf numFmtId="4" fontId="3" fillId="0" borderId="4" xfId="2" applyNumberFormat="1" applyFont="1" applyBorder="1" applyAlignment="1">
      <alignment vertical="bottom"/>
    </xf>
    <xf numFmtId="0" fontId="2" fillId="0" borderId="5" xfId="0" applyFont="1" applyBorder="1" applyAlignment="1">
      <alignment vertical="bottom"/>
    </xf>
    <xf numFmtId="49" fontId="3" fillId="0" borderId="5" xfId="1" applyNumberFormat="1" applyFont="1" applyBorder="1" applyAlignment="1">
      <alignment vertical="top"/>
    </xf>
    <xf numFmtId="4" fontId="3" fillId="0" borderId="5" xfId="2" applyNumberFormat="1" applyFont="1" applyBorder="1" applyAlignment="1">
      <alignment vertical="bottom"/>
    </xf>
    <xf numFmtId="164" fontId="4" fillId="0" borderId="5" xfId="3" applyFont="1" applyBorder="1" applyAlignment="1">
      <alignment vertical="bottom"/>
    </xf>
    <xf numFmtId="0" fontId="2" fillId="0" borderId="1" xfId="0" applyBorder="1" applyAlignment="1">
      <alignment vertical="bottom"/>
    </xf>
    <xf numFmtId="0" fontId="2" fillId="0" borderId="1" xfId="0" applyFont="1" applyFill="1" applyBorder="1" applyAlignment="1">
      <alignment vertical="bottom"/>
    </xf>
    <xf numFmtId="49" fontId="3" fillId="0" borderId="1" xfId="1" applyNumberFormat="1" applyFont="1" applyFill="1" applyBorder="1" applyAlignment="1">
      <alignment vertical="top"/>
    </xf>
    <xf numFmtId="164" fontId="4" fillId="0" borderId="1" xfId="3" applyFont="1" applyFill="1" applyBorder="1" applyAlignment="1">
      <alignment vertical="bottom"/>
    </xf>
    <xf numFmtId="0" fontId="2" fillId="0" borderId="1" xfId="0" applyFill="1" applyBorder="1" applyAlignment="1">
      <alignment vertical="bottom"/>
    </xf>
    <xf numFmtId="4" fontId="3" fillId="0" borderId="1" xfId="4" applyNumberFormat="1" applyFont="1" applyBorder="1" applyAlignment="1">
      <alignment vertical="bottom"/>
    </xf>
    <xf numFmtId="4" fontId="3" fillId="0" borderId="1" xfId="4" applyNumberFormat="1" applyFont="1" applyFill="1" applyBorder="1" applyAlignment="1">
      <alignment vertical="bottom"/>
    </xf>
    <xf numFmtId="165" fontId="4" fillId="0" borderId="5" xfId="0" applyNumberFormat="1" applyFont="1" applyBorder="1" applyAlignment="1">
      <alignment horizontal="center" vertical="bottom"/>
    </xf>
    <xf numFmtId="165" fontId="4" fillId="0" borderId="5" xfId="0" applyNumberFormat="1" applyFont="1" applyBorder="1" applyAlignment="1">
      <alignment vertical="bottom"/>
    </xf>
    <xf numFmtId="165" fontId="4" fillId="0" borderId="1" xfId="0" applyNumberFormat="1" applyFont="1" applyBorder="1" applyAlignment="1">
      <alignment horizontal="center" vertical="bottom"/>
    </xf>
    <xf numFmtId="165" fontId="4" fillId="0" borderId="1" xfId="0" applyNumberFormat="1" applyFont="1" applyBorder="1" applyAlignment="1">
      <alignment vertical="bottom"/>
    </xf>
    <xf numFmtId="49" fontId="3" fillId="0" borderId="5" xfId="1" applyNumberFormat="1" applyFont="1" applyFill="1" applyBorder="1" applyAlignment="1">
      <alignment vertical="top"/>
    </xf>
    <xf numFmtId="4" fontId="3" fillId="0" borderId="5" xfId="1" applyNumberFormat="1" applyFont="1" applyFill="1" applyBorder="1" applyAlignment="1">
      <alignment vertical="bottom"/>
    </xf>
    <xf numFmtId="4" fontId="3" fillId="0" borderId="1" xfId="1" applyNumberFormat="1" applyFont="1" applyFill="1" applyBorder="1" applyAlignment="1">
      <alignment vertical="bottom"/>
    </xf>
    <xf numFmtId="165" fontId="4" fillId="0" borderId="1" xfId="0" applyNumberFormat="1" applyFont="1" applyFill="1" applyBorder="1" applyAlignment="1">
      <alignment vertical="bottom"/>
    </xf>
    <xf numFmtId="0" fontId="2" fillId="0" borderId="2" xfId="0" applyFont="1" applyBorder="1" applyAlignment="1">
      <alignment vertical="bottom"/>
    </xf>
    <xf numFmtId="49" fontId="3" fillId="0" borderId="2" xfId="1" applyNumberFormat="1" applyFont="1" applyBorder="1" applyAlignment="1">
      <alignment vertical="top"/>
    </xf>
    <xf numFmtId="164" fontId="4" fillId="0" borderId="2" xfId="3" applyFont="1" applyBorder="1" applyAlignment="1">
      <alignment vertical="bottom"/>
    </xf>
    <xf numFmtId="0" fontId="2" fillId="0" borderId="2" xfId="0" applyFont="1" applyFill="1" applyBorder="1" applyAlignment="1">
      <alignment vertical="bottom"/>
    </xf>
    <xf numFmtId="49" fontId="3" fillId="0" borderId="2" xfId="1" applyNumberFormat="1" applyFont="1" applyFill="1" applyBorder="1" applyAlignment="1">
      <alignment vertical="top"/>
    </xf>
    <xf numFmtId="4" fontId="3" fillId="0" borderId="2" xfId="1" applyNumberFormat="1" applyFont="1" applyFill="1" applyBorder="1" applyAlignment="1">
      <alignment vertical="bottom"/>
    </xf>
    <xf numFmtId="165" fontId="4" fillId="0" borderId="2" xfId="0" applyNumberFormat="1" applyFont="1" applyBorder="1" applyAlignment="1">
      <alignment horizontal="center" vertical="bottom"/>
    </xf>
    <xf numFmtId="165" fontId="4" fillId="0" borderId="2" xfId="0" applyNumberFormat="1" applyFont="1" applyFill="1" applyBorder="1" applyAlignment="1">
      <alignment vertical="bottom"/>
    </xf>
    <xf numFmtId="164" fontId="4" fillId="0" borderId="2" xfId="3" applyFont="1" applyFill="1" applyBorder="1" applyAlignment="1">
      <alignment vertical="bottom"/>
    </xf>
    <xf numFmtId="0" fontId="2" fillId="0" borderId="6" xfId="0" applyFont="1" applyBorder="1" applyAlignment="1">
      <alignment vertical="bottom"/>
    </xf>
    <xf numFmtId="0" fontId="2" fillId="0" borderId="0" xfId="0" applyFont="1" applyAlignment="1">
      <alignment vertical="bottom"/>
    </xf>
    <xf numFmtId="165" fontId="2" fillId="0" borderId="0" xfId="0" applyNumberFormat="1" applyFont="1" applyAlignment="1">
      <alignment vertical="bottom"/>
    </xf>
    <xf numFmtId="165" fontId="2" fillId="2" borderId="0" xfId="0" applyNumberFormat="1" applyFont="1" applyFill="1" applyBorder="1">
      <alignment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2" fillId="0" borderId="1" xfId="3" applyFont="1" applyBorder="1" applyAlignment="1">
      <alignment vertical="bottom"/>
    </xf>
    <xf numFmtId="164" fontId="2" fillId="2" borderId="1" xfId="3" applyFont="1" applyFill="1" applyBorder="1">
      <alignment vertical="center"/>
    </xf>
    <xf numFmtId="4" fontId="3" fillId="0" borderId="5" xfId="4" applyNumberFormat="1" applyFont="1" applyBorder="1" applyAlignment="1">
      <alignment vertical="bottom"/>
    </xf>
    <xf numFmtId="164" fontId="2" fillId="0" borderId="5" xfId="3" applyFont="1" applyBorder="1" applyAlignment="1">
      <alignment vertical="bottom"/>
    </xf>
    <xf numFmtId="164" fontId="2" fillId="2" borderId="5" xfId="3" applyFont="1" applyFill="1" applyBorder="1">
      <alignment vertical="center"/>
    </xf>
    <xf numFmtId="164" fontId="2" fillId="0" borderId="0" xfId="0" applyNumberFormat="1" applyFont="1" applyAlignment="1">
      <alignment vertical="bottom"/>
    </xf>
    <xf numFmtId="0" fontId="2" fillId="0" borderId="0" xfId="0" applyFont="1" applyFill="1" applyAlignment="1">
      <alignment vertical="bottom"/>
    </xf>
    <xf numFmtId="164" fontId="2" fillId="3" borderId="0" xfId="3" applyFont="1" applyFill="1" applyBorder="1">
      <alignment vertical="center"/>
    </xf>
    <xf numFmtId="0" fontId="2" fillId="0" borderId="7" xfId="0" applyFont="1" applyBorder="1" applyAlignment="1">
      <alignment vertical="bottom"/>
    </xf>
    <xf numFmtId="49" fontId="3" fillId="0" borderId="7" xfId="1" applyNumberFormat="1" applyFont="1" applyBorder="1" applyAlignment="1">
      <alignment vertical="top"/>
    </xf>
    <xf numFmtId="4" fontId="3" fillId="0" borderId="7" xfId="4" applyNumberFormat="1" applyFont="1" applyBorder="1" applyAlignment="1">
      <alignment vertical="bottom"/>
    </xf>
    <xf numFmtId="4" fontId="3" fillId="0" borderId="7" xfId="4" applyNumberFormat="1" applyFont="1" applyFill="1" applyBorder="1" applyAlignment="1">
      <alignment vertical="bottom"/>
    </xf>
    <xf numFmtId="164" fontId="2" fillId="0" borderId="7" xfId="3" applyFont="1" applyBorder="1" applyAlignment="1">
      <alignment vertical="bottom"/>
    </xf>
    <xf numFmtId="164" fontId="2" fillId="2" borderId="7" xfId="3" applyFont="1" applyFill="1" applyBorder="1">
      <alignment vertical="center"/>
    </xf>
    <xf numFmtId="165" fontId="2" fillId="0" borderId="5" xfId="0" applyNumberFormat="1" applyFont="1" applyBorder="1" applyAlignment="1">
      <alignment vertical="bottom"/>
    </xf>
    <xf numFmtId="164" fontId="2" fillId="0" borderId="5" xfId="3" applyFont="1" applyBorder="1" applyAlignment="1">
      <alignment horizontal="right" vertical="bottom"/>
    </xf>
    <xf numFmtId="164" fontId="2" fillId="0" borderId="7" xfId="3" applyFont="1" applyBorder="1" applyAlignment="1">
      <alignment horizontal="right" vertical="bottom"/>
    </xf>
    <xf numFmtId="165" fontId="2" fillId="0" borderId="7" xfId="0" applyNumberFormat="1" applyFont="1" applyBorder="1" applyAlignment="1">
      <alignment vertical="bottom"/>
    </xf>
    <xf numFmtId="164" fontId="2" fillId="0" borderId="1" xfId="3" applyFont="1" applyBorder="1" applyAlignment="1">
      <alignment horizontal="right" vertical="bottom"/>
    </xf>
    <xf numFmtId="165" fontId="2" fillId="0" borderId="1" xfId="0" applyNumberFormat="1" applyFont="1" applyBorder="1" applyAlignment="1">
      <alignment vertical="bottom"/>
    </xf>
    <xf numFmtId="164" fontId="2" fillId="0" borderId="1" xfId="3" applyFont="1" applyFill="1" applyBorder="1" applyAlignment="1">
      <alignment horizontal="right" vertical="bottom"/>
    </xf>
    <xf numFmtId="165" fontId="2" fillId="0" borderId="1" xfId="0" applyNumberFormat="1" applyFont="1" applyFill="1" applyBorder="1" applyAlignment="1">
      <alignment vertical="bottom"/>
    </xf>
    <xf numFmtId="0" fontId="2" fillId="0" borderId="7" xfId="0" applyFont="1" applyFill="1" applyBorder="1" applyAlignment="1">
      <alignment vertical="bottom"/>
    </xf>
    <xf numFmtId="49" fontId="3" fillId="0" borderId="7" xfId="1" applyNumberFormat="1" applyFont="1" applyFill="1" applyBorder="1" applyAlignment="1">
      <alignment vertical="top"/>
    </xf>
    <xf numFmtId="4" fontId="3" fillId="0" borderId="7" xfId="1" applyNumberFormat="1" applyFont="1" applyFill="1" applyBorder="1" applyAlignment="1">
      <alignment vertical="bottom"/>
    </xf>
    <xf numFmtId="164" fontId="2" fillId="0" borderId="7" xfId="3" applyFont="1" applyFill="1" applyBorder="1" applyAlignment="1">
      <alignment horizontal="right" vertical="bottom"/>
    </xf>
    <xf numFmtId="165" fontId="2" fillId="0" borderId="7" xfId="0" applyNumberFormat="1" applyFont="1" applyFill="1" applyBorder="1" applyAlignment="1">
      <alignment vertical="bottom"/>
    </xf>
    <xf numFmtId="4" fontId="3" fillId="0" borderId="5" xfId="1" applyNumberFormat="1" applyFont="1" applyBorder="1" applyAlignment="1">
      <alignment vertical="bottom"/>
    </xf>
    <xf numFmtId="0" fontId="2" fillId="0" borderId="0" xfId="0" applyFont="1" applyBorder="1" applyAlignment="1">
      <alignment vertical="bottom"/>
    </xf>
    <xf numFmtId="4" fontId="3" fillId="0" borderId="1" xfId="1" applyNumberFormat="1" applyFont="1" applyBorder="1" applyAlignment="1">
      <alignment vertical="bottom"/>
    </xf>
    <xf numFmtId="0" fontId="2" fillId="0" borderId="6" xfId="0" applyBorder="1" applyAlignment="1">
      <alignment vertical="bottom"/>
    </xf>
    <xf numFmtId="165" fontId="2" fillId="0" borderId="0" xfId="0" applyNumberFormat="1" applyAlignment="1">
      <alignment vertical="bottom"/>
    </xf>
    <xf numFmtId="165" fontId="2" fillId="0" borderId="0" xfId="0" applyNumberFormat="1" applyBorder="1" applyAlignment="1">
      <alignment vertical="bottom"/>
    </xf>
    <xf numFmtId="4" fontId="2" fillId="0" borderId="0" xfId="0" applyNumberFormat="1" applyAlignment="1">
      <alignment vertical="bottom"/>
    </xf>
    <xf numFmtId="0" fontId="1" fillId="0" borderId="8" xfId="0" applyFont="1" applyBorder="1" applyAlignment="1">
      <alignment horizontal="center" vertical="bottom"/>
    </xf>
    <xf numFmtId="165" fontId="1" fillId="0" borderId="9" xfId="0" applyNumberFormat="1" applyFont="1" applyBorder="1" applyAlignment="1">
      <alignment horizontal="center" vertical="bottom"/>
    </xf>
    <xf numFmtId="165" fontId="1" fillId="0" borderId="10" xfId="0" applyNumberFormat="1" applyFont="1" applyBorder="1" applyAlignment="1">
      <alignment horizontal="center" vertical="bottom"/>
    </xf>
    <xf numFmtId="165" fontId="1" fillId="0" borderId="1" xfId="0" applyNumberFormat="1" applyFont="1" applyFill="1" applyBorder="1" applyAlignment="1">
      <alignment horizontal="center" vertical="bottom"/>
    </xf>
    <xf numFmtId="0" fontId="2" fillId="0" borderId="0" xfId="0" applyFill="1" applyAlignment="1">
      <alignment vertical="bottom"/>
    </xf>
    <xf numFmtId="49" fontId="5" fillId="0" borderId="1" xfId="1" applyNumberFormat="1" applyFont="1" applyFill="1" applyBorder="1" applyAlignment="1">
      <alignment vertical="top"/>
    </xf>
    <xf numFmtId="4" fontId="5" fillId="0" borderId="0" xfId="4" applyNumberFormat="1" applyFont="1" applyFill="1" applyAlignment="1">
      <alignment vertical="bottom"/>
    </xf>
    <xf numFmtId="164" fontId="2" fillId="0" borderId="11" xfId="3" applyFont="1" applyFill="1" applyBorder="1" applyAlignment="1">
      <alignment vertical="bottom"/>
    </xf>
    <xf numFmtId="4" fontId="2" fillId="0" borderId="1" xfId="0" applyNumberFormat="1" applyFill="1" applyBorder="1" applyAlignment="1">
      <alignment vertical="bottom"/>
    </xf>
    <xf numFmtId="4" fontId="2" fillId="0" borderId="0" xfId="0" applyNumberFormat="1" applyFill="1" applyAlignment="1">
      <alignment vertical="bottom"/>
    </xf>
    <xf numFmtId="165" fontId="2" fillId="0" borderId="0" xfId="0" applyNumberFormat="1" applyFill="1" applyAlignment="1">
      <alignment vertical="bottom"/>
    </xf>
    <xf numFmtId="0" fontId="2" fillId="4" borderId="1" xfId="0" applyFill="1" applyBorder="1" applyAlignment="1">
      <alignment vertical="bottom"/>
    </xf>
    <xf numFmtId="164" fontId="2" fillId="4" borderId="11" xfId="3" applyFont="1" applyFill="1" applyBorder="1" applyAlignment="1">
      <alignment vertical="bottom"/>
    </xf>
    <xf numFmtId="49" fontId="5" fillId="0" borderId="1" xfId="1" applyNumberFormat="1" applyFont="1" applyBorder="1" applyAlignment="1">
      <alignment vertical="top"/>
    </xf>
    <xf numFmtId="4" fontId="5" fillId="0" borderId="0" xfId="4" applyNumberFormat="1" applyFont="1" applyAlignment="1">
      <alignment vertical="bottom"/>
    </xf>
    <xf numFmtId="164" fontId="2" fillId="0" borderId="11" xfId="3" applyFont="1" applyBorder="1" applyAlignment="1">
      <alignment vertical="bottom"/>
    </xf>
    <xf numFmtId="4" fontId="2" fillId="0" borderId="1" xfId="0" applyNumberFormat="1" applyBorder="1" applyAlignment="1">
      <alignment vertical="bottom"/>
    </xf>
    <xf numFmtId="164" fontId="2" fillId="0" borderId="0" xfId="3" applyFont="1" applyBorder="1" applyAlignment="1">
      <alignment horizontal="right" vertical="bottom"/>
    </xf>
    <xf numFmtId="164" fontId="2" fillId="3" borderId="11" xfId="3" applyFont="1" applyFill="1" applyBorder="1" applyAlignment="1">
      <alignment vertical="bottom"/>
    </xf>
    <xf numFmtId="4" fontId="5" fillId="0" borderId="0" xfId="1" applyNumberFormat="1" applyFont="1" applyFill="1" applyAlignment="1">
      <alignment vertical="bottom"/>
    </xf>
    <xf numFmtId="4" fontId="5" fillId="0" borderId="0" xfId="1" applyNumberFormat="1" applyFont="1" applyAlignment="1">
      <alignment vertical="bottom"/>
    </xf>
    <xf numFmtId="164" fontId="2" fillId="0" borderId="12" xfId="3" applyFont="1" applyBorder="1" applyAlignment="1">
      <alignment vertical="bottom"/>
    </xf>
    <xf numFmtId="164" fontId="2" fillId="0" borderId="13" xfId="3" applyFont="1" applyBorder="1" applyAlignment="1">
      <alignment vertical="bottom"/>
    </xf>
    <xf numFmtId="4" fontId="5" fillId="0" borderId="0" xfId="1" applyNumberFormat="1" applyFont="1" applyFill="1" applyBorder="1" applyAlignment="1">
      <alignment vertical="bottom"/>
    </xf>
    <xf numFmtId="164" fontId="2" fillId="0" borderId="0" xfId="3" applyFont="1" applyBorder="1" applyAlignment="1">
      <alignment vertical="bottom"/>
    </xf>
    <xf numFmtId="0" fontId="2" fillId="0" borderId="0" xfId="0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49" fontId="5" fillId="0" borderId="1" xfId="1" applyNumberFormat="1" applyFont="1" applyBorder="1" applyAlignment="1">
      <alignment horizontal="center" vertical="center"/>
    </xf>
    <xf numFmtId="49" fontId="5" fillId="0" borderId="1" xfId="1" applyNumberFormat="1" applyFont="1" applyFill="1" applyBorder="1" applyAlignment="1">
      <alignment horizontal="center" vertical="center"/>
    </xf>
    <xf numFmtId="0" fontId="2" fillId="0" borderId="14" xfId="0" applyBorder="1" applyAlignment="1">
      <alignment vertical="bottom"/>
    </xf>
    <xf numFmtId="49" fontId="5" fillId="0" borderId="14" xfId="1" applyNumberFormat="1" applyFont="1" applyFill="1" applyBorder="1" applyAlignment="1">
      <alignment horizontal="center" vertical="center"/>
    </xf>
    <xf numFmtId="4" fontId="5" fillId="0" borderId="15" xfId="1" applyNumberFormat="1" applyFont="1" applyBorder="1" applyAlignment="1">
      <alignment vertical="bottom"/>
    </xf>
    <xf numFmtId="4" fontId="2" fillId="0" borderId="14" xfId="0" applyNumberFormat="1" applyBorder="1" applyAlignment="1">
      <alignment vertical="bottom"/>
    </xf>
    <xf numFmtId="0" fontId="1" fillId="0" borderId="9" xfId="0" applyFont="1" applyBorder="1" applyAlignment="1">
      <alignment horizontal="center" vertical="bottom"/>
    </xf>
    <xf numFmtId="0" fontId="2" fillId="0" borderId="16" xfId="0" applyBorder="1" applyAlignment="1">
      <alignment vertical="bottom"/>
    </xf>
    <xf numFmtId="49" fontId="5" fillId="0" borderId="17" xfId="1" applyNumberFormat="1" applyFont="1" applyBorder="1" applyAlignment="1">
      <alignment vertical="top"/>
    </xf>
    <xf numFmtId="4" fontId="5" fillId="0" borderId="16" xfId="1" applyNumberFormat="1" applyFont="1" applyBorder="1" applyAlignment="1">
      <alignment vertical="bottom"/>
    </xf>
    <xf numFmtId="164" fontId="2" fillId="0" borderId="18" xfId="3" applyFont="1" applyBorder="1" applyAlignment="1">
      <alignment vertical="bottom"/>
    </xf>
    <xf numFmtId="4" fontId="2" fillId="0" borderId="19" xfId="0" applyNumberFormat="1" applyBorder="1" applyAlignment="1">
      <alignment vertical="bottom"/>
    </xf>
    <xf numFmtId="0" fontId="2" fillId="0" borderId="0" xfId="0" applyBorder="1" applyAlignment="1">
      <alignment vertical="bottom"/>
    </xf>
    <xf numFmtId="49" fontId="5" fillId="0" borderId="20" xfId="1" applyNumberFormat="1" applyFont="1" applyBorder="1" applyAlignment="1">
      <alignment vertical="top"/>
    </xf>
    <xf numFmtId="4" fontId="2" fillId="0" borderId="5" xfId="0" applyNumberFormat="1" applyBorder="1" applyAlignment="1">
      <alignment vertical="bottom"/>
    </xf>
    <xf numFmtId="49" fontId="5" fillId="0" borderId="21" xfId="1" applyNumberFormat="1" applyFont="1" applyBorder="1" applyAlignment="1">
      <alignment vertical="top"/>
    </xf>
    <xf numFmtId="0" fontId="2" fillId="0" borderId="22" xfId="0" applyBorder="1" applyAlignment="1">
      <alignment vertical="bottom"/>
    </xf>
    <xf numFmtId="49" fontId="5" fillId="0" borderId="23" xfId="1" applyNumberFormat="1" applyFont="1" applyBorder="1" applyAlignment="1">
      <alignment vertical="top"/>
    </xf>
    <xf numFmtId="4" fontId="5" fillId="0" borderId="22" xfId="1" applyNumberFormat="1" applyFont="1" applyBorder="1" applyAlignment="1">
      <alignment vertical="bottom"/>
    </xf>
    <xf numFmtId="164" fontId="2" fillId="0" borderId="22" xfId="3" applyFont="1" applyBorder="1" applyAlignment="1">
      <alignment vertical="bottom"/>
    </xf>
    <xf numFmtId="4" fontId="2" fillId="0" borderId="24" xfId="0" applyNumberFormat="1" applyBorder="1" applyAlignment="1">
      <alignment vertical="bottom"/>
    </xf>
    <xf numFmtId="0" fontId="2" fillId="0" borderId="0" xfId="0" applyFill="1" applyBorder="1" applyAlignment="1">
      <alignment vertical="bottom"/>
    </xf>
    <xf numFmtId="49" fontId="5" fillId="0" borderId="20" xfId="1" applyNumberFormat="1" applyFont="1" applyFill="1" applyBorder="1" applyAlignment="1">
      <alignment vertical="top"/>
    </xf>
    <xf numFmtId="0" fontId="2" fillId="0" borderId="16" xfId="0" applyFill="1" applyBorder="1" applyAlignment="1">
      <alignment vertical="bottom"/>
    </xf>
    <xf numFmtId="49" fontId="5" fillId="0" borderId="21" xfId="1" applyNumberFormat="1" applyFont="1" applyFill="1" applyBorder="1" applyAlignment="1">
      <alignment vertical="top"/>
    </xf>
    <xf numFmtId="4" fontId="5" fillId="0" borderId="16" xfId="1" applyNumberFormat="1" applyFont="1" applyFill="1" applyBorder="1" applyAlignment="1">
      <alignment vertical="bottom"/>
    </xf>
    <xf numFmtId="164" fontId="2" fillId="0" borderId="16" xfId="3" applyFont="1" applyBorder="1" applyAlignment="1">
      <alignment vertical="bottom"/>
    </xf>
    <xf numFmtId="4" fontId="2" fillId="0" borderId="25" xfId="0" applyNumberFormat="1" applyBorder="1" applyAlignment="1">
      <alignment vertical="bottom"/>
    </xf>
    <xf numFmtId="4" fontId="2" fillId="0" borderId="2" xfId="0" applyNumberFormat="1" applyBorder="1" applyAlignment="1">
      <alignment vertical="bottom"/>
    </xf>
    <xf numFmtId="164" fontId="2" fillId="0" borderId="14" xfId="3" applyFont="1" applyBorder="1" applyAlignment="1">
      <alignment vertical="bottom"/>
    </xf>
    <xf numFmtId="4" fontId="2" fillId="0" borderId="0" xfId="0" applyNumberFormat="1" applyBorder="1" applyAlignment="1">
      <alignment vertical="bottom"/>
    </xf>
    <xf numFmtId="49" fontId="5" fillId="0" borderId="26" xfId="1" applyNumberFormat="1" applyFont="1" applyBorder="1" applyAlignment="1">
      <alignment vertical="top"/>
    </xf>
    <xf numFmtId="164" fontId="2" fillId="0" borderId="26" xfId="3" applyFont="1" applyBorder="1" applyAlignment="1">
      <alignment vertical="bottom"/>
    </xf>
    <xf numFmtId="164" fontId="2" fillId="0" borderId="17" xfId="3" applyFont="1" applyBorder="1" applyAlignment="1">
      <alignment vertical="bottom"/>
    </xf>
    <xf numFmtId="164" fontId="2" fillId="0" borderId="20" xfId="3" applyFont="1" applyBorder="1" applyAlignment="1">
      <alignment vertical="bottom"/>
    </xf>
    <xf numFmtId="164" fontId="2" fillId="0" borderId="0" xfId="3" applyFont="1" applyFill="1" applyBorder="1" applyAlignment="1">
      <alignment vertical="bottom"/>
    </xf>
    <xf numFmtId="164" fontId="2" fillId="0" borderId="21" xfId="3" applyFont="1" applyBorder="1" applyAlignment="1">
      <alignment vertical="bottom"/>
    </xf>
    <xf numFmtId="164" fontId="2" fillId="4" borderId="26" xfId="3" applyFont="1" applyFill="1" applyBorder="1" applyAlignment="1">
      <alignment vertical="bottom"/>
    </xf>
    <xf numFmtId="164" fontId="2" fillId="0" borderId="0" xfId="0" applyNumberFormat="1" applyAlignment="1">
      <alignment vertical="bottom"/>
    </xf>
    <xf numFmtId="0" fontId="2" fillId="0" borderId="0" xfId="0" applyAlignment="1">
      <alignment horizontal="left" vertical="bottom"/>
    </xf>
    <xf numFmtId="164" fontId="2" fillId="0" borderId="27" xfId="3" applyFont="1" applyBorder="1" applyAlignment="1">
      <alignment vertical="bottom"/>
    </xf>
    <xf numFmtId="164" fontId="2" fillId="0" borderId="28" xfId="3" applyFont="1" applyBorder="1" applyAlignment="1">
      <alignment vertical="bottom"/>
    </xf>
    <xf numFmtId="0" fontId="2" fillId="0" borderId="15" xfId="0" applyBorder="1" applyAlignment="1">
      <alignment vertical="bottom"/>
    </xf>
    <xf numFmtId="49" fontId="5" fillId="0" borderId="29" xfId="1" applyNumberFormat="1" applyFont="1" applyBorder="1" applyAlignment="1">
      <alignment vertical="top"/>
    </xf>
    <xf numFmtId="164" fontId="2" fillId="0" borderId="15" xfId="3" applyFont="1" applyBorder="1" applyAlignment="1">
      <alignment vertical="bottom"/>
    </xf>
    <xf numFmtId="0" fontId="2" fillId="0" borderId="12" xfId="0" applyBorder="1" applyAlignment="1">
      <alignment vertical="bottom"/>
    </xf>
    <xf numFmtId="49" fontId="5" fillId="0" borderId="27" xfId="1" applyNumberFormat="1" applyFont="1" applyBorder="1" applyAlignment="1">
      <alignment vertical="top"/>
    </xf>
    <xf numFmtId="4" fontId="5" fillId="0" borderId="12" xfId="1" applyNumberFormat="1" applyFont="1" applyBorder="1" applyAlignment="1">
      <alignment vertical="bottom"/>
    </xf>
    <xf numFmtId="164" fontId="2" fillId="0" borderId="0" xfId="0" applyNumberFormat="1" applyBorder="1" applyAlignment="1">
      <alignment vertical="bottom"/>
    </xf>
    <xf numFmtId="4" fontId="6" fillId="0" borderId="0" xfId="0" applyNumberFormat="1" applyFont="1" applyAlignment="1">
      <alignment vertical="bottom"/>
    </xf>
    <xf numFmtId="0" fontId="1" fillId="0" borderId="9" xfId="0" applyFont="1" applyBorder="1" applyAlignment="1">
      <alignment horizontal="center" vertical="center"/>
    </xf>
    <xf numFmtId="165" fontId="1" fillId="0" borderId="9" xfId="0" applyNumberFormat="1" applyFont="1" applyBorder="1" applyAlignment="1">
      <alignment horizontal="center" vertical="center"/>
    </xf>
    <xf numFmtId="0" fontId="2" fillId="0" borderId="18" xfId="0" applyBorder="1" applyAlignment="1">
      <alignment vertical="bottom"/>
    </xf>
    <xf numFmtId="164" fontId="2" fillId="0" borderId="23" xfId="3" applyFont="1" applyBorder="1" applyAlignment="1">
      <alignment vertical="bottom"/>
    </xf>
    <xf numFmtId="4" fontId="7" fillId="0" borderId="0" xfId="0" applyNumberFormat="1" applyFont="1" applyAlignment="1">
      <alignment vertical="bottom"/>
    </xf>
    <xf numFmtId="4" fontId="8" fillId="0" borderId="0" xfId="0" applyNumberFormat="1" applyFont="1" applyAlignment="1">
      <alignment vertical="bottom"/>
    </xf>
    <xf numFmtId="4" fontId="1" fillId="0" borderId="0" xfId="0" applyNumberFormat="1" applyFont="1" applyAlignment="1">
      <alignment vertical="bottom"/>
    </xf>
    <xf numFmtId="165" fontId="2" fillId="0" borderId="0" xfId="0" applyNumberFormat="1" applyFont="1" applyBorder="1" applyAlignment="1">
      <alignment vertical="bottom"/>
    </xf>
    <xf numFmtId="0" fontId="2" fillId="0" borderId="5" xfId="0" applyBorder="1" applyAlignment="1">
      <alignment vertical="bottom"/>
    </xf>
    <xf numFmtId="165" fontId="2" fillId="0" borderId="0" xfId="0" applyNumberFormat="1" applyFont="1" applyFill="1" applyAlignment="1">
      <alignment vertical="bottom"/>
    </xf>
    <xf numFmtId="49" fontId="3" fillId="0" borderId="30" xfId="1" applyNumberFormat="1" applyFont="1" applyBorder="1" applyAlignment="1">
      <alignment vertical="top"/>
    </xf>
    <xf numFmtId="164" fontId="4" fillId="0" borderId="31" xfId="3" applyFont="1" applyFill="1" applyBorder="1" applyAlignment="1">
      <alignment vertical="bottom"/>
    </xf>
    <xf numFmtId="49" fontId="3" fillId="0" borderId="3" xfId="1" applyNumberFormat="1" applyFont="1" applyBorder="1" applyAlignment="1">
      <alignment vertical="top"/>
    </xf>
    <xf numFmtId="164" fontId="4" fillId="0" borderId="4" xfId="3" applyFont="1" applyFill="1" applyBorder="1" applyAlignment="1">
      <alignment vertical="bottom"/>
    </xf>
    <xf numFmtId="164" fontId="4" fillId="0" borderId="5" xfId="3" applyFont="1" applyFill="1" applyBorder="1" applyAlignment="1">
      <alignment vertical="bottom"/>
    </xf>
    <xf numFmtId="0" fontId="2" fillId="0" borderId="32" xfId="0" applyFont="1" applyBorder="1" applyAlignment="1">
      <alignment vertical="bottom"/>
    </xf>
    <xf numFmtId="0" fontId="2" fillId="0" borderId="33" xfId="0" applyFont="1" applyBorder="1" applyAlignment="1">
      <alignment vertical="bottom"/>
    </xf>
    <xf numFmtId="49" fontId="3" fillId="0" borderId="30" xfId="1" applyNumberFormat="1" applyFont="1" applyFill="1" applyBorder="1" applyAlignment="1">
      <alignment vertical="top"/>
    </xf>
    <xf numFmtId="49" fontId="3" fillId="0" borderId="34" xfId="1" applyNumberFormat="1" applyFont="1" applyFill="1" applyBorder="1" applyAlignment="1">
      <alignment vertical="top"/>
    </xf>
    <xf numFmtId="164" fontId="4" fillId="0" borderId="35" xfId="3" applyFont="1" applyFill="1" applyBorder="1" applyAlignment="1">
      <alignment vertical="bottom"/>
    </xf>
    <xf numFmtId="0" fontId="9" fillId="0" borderId="1" xfId="0" applyFont="1" applyFill="1" applyBorder="1" applyAlignment="1">
      <alignment vertical="bottom"/>
    </xf>
    <xf numFmtId="0" fontId="2" fillId="0" borderId="1" xfId="0" applyFont="1" applyBorder="1" applyAlignment="1">
      <alignment vertical="bottom" shrinkToFit="1"/>
    </xf>
    <xf numFmtId="0" fontId="2" fillId="0" borderId="1" xfId="0" applyBorder="1" applyAlignment="1">
      <alignment vertical="bottom" shrinkToFit="1"/>
    </xf>
    <xf numFmtId="49" fontId="3" fillId="0" borderId="34" xfId="1" applyNumberFormat="1" applyFont="1" applyBorder="1" applyAlignment="1">
      <alignment vertical="top"/>
    </xf>
    <xf numFmtId="4" fontId="3" fillId="0" borderId="1" xfId="2" applyNumberFormat="1" applyFont="1" applyBorder="1" applyAlignment="1">
      <alignment horizontal="center" vertical="bottom"/>
    </xf>
    <xf numFmtId="164" fontId="2" fillId="0" borderId="31" xfId="3" applyFont="1" applyFill="1" applyBorder="1" applyAlignment="1">
      <alignment horizontal="center" vertical="bottom"/>
    </xf>
    <xf numFmtId="164" fontId="2" fillId="0" borderId="1" xfId="3" applyFont="1" applyFill="1" applyBorder="1" applyAlignment="1">
      <alignment horizontal="center" vertical="bottom"/>
    </xf>
    <xf numFmtId="49" fontId="3" fillId="0" borderId="3" xfId="1" applyNumberFormat="1" applyFont="1" applyFill="1" applyBorder="1" applyAlignment="1">
      <alignment vertical="top"/>
    </xf>
    <xf numFmtId="4" fontId="3" fillId="0" borderId="5" xfId="2" applyNumberFormat="1" applyFont="1" applyBorder="1" applyAlignment="1">
      <alignment horizontal="center" vertical="bottom"/>
    </xf>
    <xf numFmtId="164" fontId="2" fillId="0" borderId="4" xfId="3" applyFont="1" applyFill="1" applyBorder="1" applyAlignment="1">
      <alignment horizontal="center" vertical="bottom"/>
    </xf>
    <xf numFmtId="164" fontId="2" fillId="0" borderId="5" xfId="3" applyFont="1" applyFill="1" applyBorder="1" applyAlignment="1">
      <alignment horizontal="center" vertical="bottom"/>
    </xf>
    <xf numFmtId="4" fontId="3" fillId="0" borderId="2" xfId="4" applyNumberFormat="1" applyFont="1" applyBorder="1" applyAlignment="1">
      <alignment vertical="bottom"/>
    </xf>
    <xf numFmtId="4" fontId="3" fillId="0" borderId="2" xfId="2" applyNumberFormat="1" applyFont="1" applyBorder="1" applyAlignment="1">
      <alignment horizontal="center" vertical="bottom"/>
    </xf>
    <xf numFmtId="164" fontId="2" fillId="0" borderId="35" xfId="3" applyFont="1" applyFill="1" applyBorder="1" applyAlignment="1">
      <alignment horizontal="center" vertical="bottom"/>
    </xf>
    <xf numFmtId="164" fontId="2" fillId="0" borderId="2" xfId="3" applyFont="1" applyFill="1" applyBorder="1" applyAlignment="1">
      <alignment horizontal="center" vertical="bottom"/>
    </xf>
    <xf numFmtId="0" fontId="2" fillId="0" borderId="36" xfId="0" applyFont="1" applyBorder="1" applyAlignment="1">
      <alignment vertical="bottom"/>
    </xf>
    <xf numFmtId="165" fontId="2" fillId="0" borderId="36" xfId="0" applyNumberFormat="1" applyFont="1" applyFill="1" applyBorder="1" applyAlignment="1">
      <alignment vertical="bottom"/>
    </xf>
    <xf numFmtId="165" fontId="2" fillId="0" borderId="0" xfId="0" applyNumberFormat="1" applyFont="1" applyFill="1" applyBorder="1" applyAlignment="1">
      <alignment vertical="bottom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3" fillId="0" borderId="30" xfId="1" applyNumberFormat="1" applyFont="1" applyBorder="1" applyAlignment="1">
      <alignment horizontal="center" vertical="center"/>
    </xf>
    <xf numFmtId="49" fontId="3" fillId="0" borderId="3" xfId="1" applyNumberFormat="1" applyFont="1" applyBorder="1" applyAlignment="1">
      <alignment horizontal="center" vertical="center"/>
    </xf>
    <xf numFmtId="164" fontId="1" fillId="0" borderId="5" xfId="3" applyFont="1" applyBorder="1" applyAlignment="1">
      <alignment vertical="bottom"/>
    </xf>
    <xf numFmtId="49" fontId="3" fillId="0" borderId="30" xfId="1" applyNumberFormat="1" applyFont="1" applyFill="1" applyBorder="1" applyAlignment="1">
      <alignment horizontal="center" vertical="center"/>
    </xf>
    <xf numFmtId="49" fontId="3" fillId="0" borderId="34" xfId="1" applyNumberFormat="1" applyFont="1" applyFill="1" applyBorder="1" applyAlignment="1">
      <alignment horizontal="center" vertical="center"/>
    </xf>
    <xf numFmtId="164" fontId="4" fillId="0" borderId="37" xfId="3" applyFont="1" applyFill="1" applyBorder="1" applyAlignment="1">
      <alignment vertical="bottom"/>
    </xf>
    <xf numFmtId="49" fontId="3" fillId="0" borderId="34" xfId="1" applyNumberFormat="1" applyFont="1" applyBorder="1" applyAlignment="1">
      <alignment horizontal="center" vertical="center"/>
    </xf>
    <xf numFmtId="49" fontId="3" fillId="0" borderId="3" xfId="1" applyNumberFormat="1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vertical="bottom"/>
    </xf>
    <xf numFmtId="164" fontId="1" fillId="0" borderId="1" xfId="3" applyFont="1" applyBorder="1" applyAlignment="1">
      <alignment vertical="bottom"/>
    </xf>
    <xf numFmtId="0" fontId="1" fillId="0" borderId="1" xfId="0" applyFont="1" applyFill="1" applyBorder="1" applyAlignment="1">
      <alignment vertical="bottom"/>
    </xf>
    <xf numFmtId="0" fontId="2" fillId="3" borderId="1" xfId="0" applyFont="1" applyFill="1" applyBorder="1" applyAlignment="1">
      <alignment vertical="bottom"/>
    </xf>
    <xf numFmtId="49" fontId="3" fillId="3" borderId="1" xfId="1" applyNumberFormat="1" applyFont="1" applyFill="1" applyBorder="1" applyAlignment="1">
      <alignment vertical="top"/>
    </xf>
    <xf numFmtId="4" fontId="2" fillId="3" borderId="1" xfId="0" applyNumberFormat="1" applyFill="1" applyBorder="1" applyAlignment="1">
      <alignment vertical="bottom"/>
    </xf>
    <xf numFmtId="164" fontId="4" fillId="3" borderId="1" xfId="3" applyFont="1" applyFill="1" applyBorder="1" applyAlignment="1">
      <alignment vertical="bottom"/>
    </xf>
    <xf numFmtId="4" fontId="3" fillId="3" borderId="1" xfId="4" applyNumberFormat="1" applyFont="1" applyFill="1" applyBorder="1" applyAlignment="1">
      <alignment vertical="bottom"/>
    </xf>
    <xf numFmtId="4" fontId="2" fillId="0" borderId="0" xfId="0" applyNumberFormat="1" applyFont="1" applyAlignment="1">
      <alignment vertical="bottom"/>
    </xf>
    <xf numFmtId="0" fontId="1" fillId="0" borderId="19" xfId="0" applyFont="1" applyBorder="1" applyAlignment="1">
      <alignment horizontal="center" vertical="bottom"/>
    </xf>
    <xf numFmtId="165" fontId="1" fillId="0" borderId="19" xfId="0" applyNumberFormat="1" applyFont="1" applyBorder="1" applyAlignment="1">
      <alignment horizontal="center" vertical="bottom"/>
    </xf>
    <xf numFmtId="165" fontId="1" fillId="0" borderId="19" xfId="0" applyNumberFormat="1" applyFont="1" applyFill="1" applyBorder="1" applyAlignment="1">
      <alignment horizontal="center" vertical="bottom"/>
    </xf>
    <xf numFmtId="4" fontId="4" fillId="0" borderId="37" xfId="3" applyNumberFormat="1" applyFont="1" applyFill="1" applyBorder="1" applyAlignment="1">
      <alignment vertical="bottom"/>
    </xf>
    <xf numFmtId="4" fontId="2" fillId="0" borderId="0" xfId="0" applyNumberFormat="1" applyFont="1" applyFill="1" applyAlignment="1">
      <alignment vertical="bottom"/>
    </xf>
    <xf numFmtId="4" fontId="3" fillId="3" borderId="1" xfId="2" applyNumberFormat="1" applyFont="1" applyFill="1" applyBorder="1" applyAlignment="1">
      <alignment horizontal="center" vertical="bottom"/>
    </xf>
    <xf numFmtId="164" fontId="2" fillId="3" borderId="1" xfId="3" applyFont="1" applyFill="1" applyBorder="1" applyAlignment="1">
      <alignment horizontal="center" vertical="bottom"/>
    </xf>
    <xf numFmtId="4" fontId="3" fillId="3" borderId="7" xfId="2" applyNumberFormat="1" applyFont="1" applyFill="1" applyBorder="1" applyAlignment="1">
      <alignment horizontal="center" vertical="bottom"/>
    </xf>
    <xf numFmtId="164" fontId="2" fillId="3" borderId="38" xfId="3" applyFont="1" applyFill="1" applyBorder="1" applyAlignment="1">
      <alignment horizontal="center" vertical="bottom"/>
    </xf>
    <xf numFmtId="164" fontId="2" fillId="3" borderId="7" xfId="3" applyFont="1" applyFill="1" applyBorder="1" applyAlignment="1">
      <alignment horizontal="center" vertical="bottom"/>
    </xf>
    <xf numFmtId="4" fontId="2" fillId="3" borderId="39" xfId="0" applyNumberFormat="1" applyFill="1" applyBorder="1" applyAlignment="1">
      <alignment vertical="bottom"/>
    </xf>
    <xf numFmtId="164" fontId="4" fillId="3" borderId="40" xfId="3" applyFont="1" applyFill="1" applyBorder="1" applyAlignment="1">
      <alignment vertical="bottom"/>
    </xf>
    <xf numFmtId="164" fontId="4" fillId="3" borderId="5" xfId="3" applyFont="1" applyFill="1" applyBorder="1" applyAlignment="1">
      <alignment vertical="bottom"/>
    </xf>
    <xf numFmtId="0" fontId="1" fillId="0" borderId="41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165" fontId="1" fillId="0" borderId="42" xfId="0" applyNumberFormat="1" applyFont="1" applyBorder="1" applyAlignment="1">
      <alignment horizontal="center" vertical="center"/>
    </xf>
    <xf numFmtId="165" fontId="1" fillId="0" borderId="42" xfId="0" applyNumberFormat="1" applyFont="1" applyFill="1" applyBorder="1" applyAlignment="1">
      <alignment horizontal="center" vertical="center"/>
    </xf>
    <xf numFmtId="165" fontId="1" fillId="0" borderId="28" xfId="0" applyNumberFormat="1" applyFont="1" applyBorder="1" applyAlignment="1">
      <alignment horizontal="center" vertical="center"/>
    </xf>
    <xf numFmtId="165" fontId="1" fillId="0" borderId="0" xfId="0" applyNumberFormat="1" applyFont="1" applyBorder="1" applyAlignment="1">
      <alignment horizontal="center" vertical="bottom"/>
    </xf>
    <xf numFmtId="4" fontId="4" fillId="0" borderId="5" xfId="0" applyNumberFormat="1" applyFont="1" applyBorder="1" applyAlignment="1">
      <alignment vertical="bottom"/>
    </xf>
    <xf numFmtId="49" fontId="5" fillId="0" borderId="0" xfId="2" applyNumberFormat="1" applyFont="1" applyBorder="1" applyAlignment="1">
      <alignment vertical="top"/>
    </xf>
    <xf numFmtId="4" fontId="4" fillId="0" borderId="1" xfId="0" applyNumberFormat="1" applyFont="1" applyBorder="1" applyAlignment="1">
      <alignment vertical="bottom"/>
    </xf>
    <xf numFmtId="4" fontId="2" fillId="0" borderId="1" xfId="0" applyNumberFormat="1" applyFont="1" applyBorder="1" applyAlignment="1">
      <alignment vertical="bottom"/>
    </xf>
    <xf numFmtId="4" fontId="1" fillId="0" borderId="1" xfId="0" applyNumberFormat="1" applyFont="1" applyBorder="1" applyAlignment="1">
      <alignment vertical="bottom"/>
    </xf>
    <xf numFmtId="164" fontId="1" fillId="0" borderId="1" xfId="3" applyFont="1" applyFill="1" applyBorder="1" applyAlignment="1">
      <alignment vertical="bottom"/>
    </xf>
    <xf numFmtId="4" fontId="4" fillId="0" borderId="0" xfId="0" applyNumberFormat="1" applyFont="1" applyAlignment="1">
      <alignment vertical="bottom"/>
    </xf>
    <xf numFmtId="164" fontId="4" fillId="3" borderId="0" xfId="3" applyFont="1" applyFill="1" applyBorder="1" applyAlignment="1">
      <alignment vertical="bottom"/>
    </xf>
    <xf numFmtId="4" fontId="5" fillId="0" borderId="1" xfId="0" applyNumberFormat="1" applyFont="1" applyBorder="1" applyAlignment="1">
      <alignment vertical="bottom"/>
    </xf>
    <xf numFmtId="164" fontId="2" fillId="0" borderId="1" xfId="3" applyFont="1" applyFill="1" applyBorder="1" applyAlignment="1">
      <alignment vertical="bottom"/>
    </xf>
    <xf numFmtId="0" fontId="2" fillId="0" borderId="1" xfId="0" applyFill="1" applyBorder="1" applyAlignment="1">
      <alignment vertical="bottom" shrinkToFit="1"/>
    </xf>
    <xf numFmtId="4" fontId="5" fillId="0" borderId="1" xfId="5" applyNumberFormat="1" applyFont="1" applyBorder="1" applyAlignment="1">
      <alignment vertical="bottom"/>
    </xf>
    <xf numFmtId="0" fontId="1" fillId="0" borderId="0" xfId="0" applyFont="1" applyAlignment="1">
      <alignment vertical="bottom"/>
    </xf>
    <xf numFmtId="49" fontId="10" fillId="0" borderId="1" xfId="1" applyNumberFormat="1" applyFont="1" applyFill="1" applyBorder="1" applyAlignment="1">
      <alignment vertical="top"/>
    </xf>
    <xf numFmtId="4" fontId="11" fillId="0" borderId="1" xfId="5" applyNumberFormat="1" applyFont="1" applyBorder="1" applyAlignment="1">
      <alignment vertical="bottom"/>
    </xf>
    <xf numFmtId="4" fontId="10" fillId="0" borderId="1" xfId="4" applyNumberFormat="1" applyFont="1" applyFill="1" applyBorder="1" applyAlignment="1">
      <alignment vertical="bottom"/>
    </xf>
    <xf numFmtId="0" fontId="1" fillId="0" borderId="0" xfId="0" applyFont="1" applyBorder="1" applyAlignment="1">
      <alignment vertical="bottom"/>
    </xf>
    <xf numFmtId="49" fontId="10" fillId="0" borderId="1" xfId="1" applyNumberFormat="1" applyFont="1" applyBorder="1" applyAlignment="1">
      <alignment vertical="top"/>
    </xf>
    <xf numFmtId="0" fontId="12" fillId="0" borderId="6" xfId="0" applyFont="1" applyBorder="1">
      <alignment vertical="center"/>
    </xf>
    <xf numFmtId="0" fontId="12" fillId="0" borderId="0" xfId="0" applyFont="1" applyAlignment="1">
      <alignment horizontal="center" vertical="center"/>
    </xf>
    <xf numFmtId="165" fontId="12" fillId="0" borderId="0" xfId="0" applyNumberFormat="1" applyFont="1" applyAlignment="1">
      <alignment vertical="center" shrinkToFit="1"/>
    </xf>
    <xf numFmtId="165" fontId="12" fillId="0" borderId="0" xfId="0" applyNumberFormat="1" applyFont="1" applyFill="1" applyAlignment="1">
      <alignment vertical="center" shrinkToFit="1"/>
    </xf>
    <xf numFmtId="165" fontId="12" fillId="0" borderId="0" xfId="0" applyNumberFormat="1" applyFont="1" applyBorder="1" applyAlignment="1">
      <alignment vertical="center" shrinkToFit="1"/>
    </xf>
    <xf numFmtId="0" fontId="12" fillId="0" borderId="0" xfId="0" applyFont="1">
      <alignment vertical="center"/>
    </xf>
    <xf numFmtId="0" fontId="13" fillId="0" borderId="1" xfId="0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 shrinkToFit="1"/>
    </xf>
    <xf numFmtId="165" fontId="13" fillId="0" borderId="1" xfId="0" applyNumberFormat="1" applyFont="1" applyFill="1" applyBorder="1" applyAlignment="1">
      <alignment horizontal="center" vertical="center" shrinkToFit="1"/>
    </xf>
    <xf numFmtId="0" fontId="12" fillId="0" borderId="1" xfId="0" applyFont="1" applyBorder="1">
      <alignment vertical="center"/>
    </xf>
    <xf numFmtId="49" fontId="14" fillId="0" borderId="1" xfId="1" applyNumberFormat="1" applyFont="1" applyBorder="1" applyAlignment="1">
      <alignment horizontal="center" vertical="center"/>
    </xf>
    <xf numFmtId="4" fontId="14" fillId="0" borderId="1" xfId="5" applyNumberFormat="1" applyFont="1" applyBorder="1" applyAlignment="1">
      <alignment vertical="center" shrinkToFit="1"/>
    </xf>
    <xf numFmtId="164" fontId="12" fillId="0" borderId="1" xfId="3" applyFont="1" applyFill="1" applyBorder="1" applyAlignment="1">
      <alignment vertical="center" shrinkToFit="1"/>
    </xf>
    <xf numFmtId="164" fontId="12" fillId="0" borderId="1" xfId="3" applyFont="1" applyBorder="1" applyAlignment="1">
      <alignment vertical="center" shrinkToFit="1"/>
    </xf>
    <xf numFmtId="165" fontId="12" fillId="0" borderId="1" xfId="0" applyNumberFormat="1" applyFont="1" applyBorder="1" applyAlignment="1">
      <alignment vertical="center" shrinkToFit="1"/>
    </xf>
    <xf numFmtId="0" fontId="13" fillId="0" borderId="1" xfId="0" applyFont="1" applyFill="1" applyBorder="1">
      <alignment vertical="center"/>
    </xf>
    <xf numFmtId="49" fontId="15" fillId="0" borderId="1" xfId="1" applyNumberFormat="1" applyFont="1" applyFill="1" applyBorder="1" applyAlignment="1">
      <alignment horizontal="center" vertical="center"/>
    </xf>
    <xf numFmtId="4" fontId="15" fillId="0" borderId="1" xfId="5" applyNumberFormat="1" applyFont="1" applyBorder="1" applyAlignment="1">
      <alignment vertical="center" shrinkToFit="1"/>
    </xf>
    <xf numFmtId="164" fontId="13" fillId="0" borderId="1" xfId="3" applyFont="1" applyFill="1" applyBorder="1" applyAlignment="1">
      <alignment vertical="center" shrinkToFit="1"/>
    </xf>
    <xf numFmtId="164" fontId="13" fillId="0" borderId="1" xfId="3" applyFont="1" applyBorder="1" applyAlignment="1">
      <alignment vertical="center" shrinkToFit="1"/>
    </xf>
    <xf numFmtId="0" fontId="12" fillId="0" borderId="0" xfId="0" applyFont="1" applyBorder="1">
      <alignment vertical="center"/>
    </xf>
    <xf numFmtId="49" fontId="14" fillId="0" borderId="1" xfId="1" applyNumberFormat="1" applyFont="1" applyFill="1" applyBorder="1" applyAlignment="1">
      <alignment horizontal="center" vertical="center"/>
    </xf>
    <xf numFmtId="0" fontId="12" fillId="0" borderId="1" xfId="0" applyFont="1" applyFill="1" applyBorder="1">
      <alignment vertical="center"/>
    </xf>
    <xf numFmtId="0" fontId="13" fillId="0" borderId="1" xfId="0" applyFont="1" applyBorder="1">
      <alignment vertical="center"/>
    </xf>
    <xf numFmtId="49" fontId="15" fillId="0" borderId="1" xfId="1" applyNumberFormat="1" applyFont="1" applyBorder="1" applyAlignment="1">
      <alignment horizontal="center" vertical="center"/>
    </xf>
    <xf numFmtId="0" fontId="12" fillId="0" borderId="0" xfId="0" applyFont="1" applyFill="1">
      <alignment vertical="center"/>
    </xf>
    <xf numFmtId="0" fontId="16" fillId="0" borderId="1" xfId="0" applyFont="1" applyBorder="1">
      <alignment vertical="center"/>
    </xf>
    <xf numFmtId="49" fontId="14" fillId="0" borderId="0" xfId="2" applyNumberFormat="1" applyFont="1" applyBorder="1">
      <alignment vertical="center"/>
    </xf>
    <xf numFmtId="4" fontId="12" fillId="0" borderId="0" xfId="0" applyNumberFormat="1" applyFont="1">
      <alignment vertical="center"/>
    </xf>
    <xf numFmtId="0" fontId="16" fillId="0" borderId="1" xfId="0" applyFont="1" applyFill="1" applyBorder="1">
      <alignment vertical="center"/>
    </xf>
    <xf numFmtId="0" fontId="17" fillId="0" borderId="1" xfId="0" applyFont="1" applyBorder="1">
      <alignment vertical="center"/>
    </xf>
    <xf numFmtId="0" fontId="12" fillId="3" borderId="1" xfId="0" applyFont="1" applyFill="1" applyBorder="1">
      <alignment vertical="center"/>
    </xf>
    <xf numFmtId="49" fontId="14" fillId="3" borderId="1" xfId="1" applyNumberFormat="1" applyFont="1" applyFill="1" applyBorder="1" applyAlignment="1">
      <alignment horizontal="center" vertical="center"/>
    </xf>
    <xf numFmtId="4" fontId="14" fillId="3" borderId="1" xfId="2" applyNumberFormat="1" applyFont="1" applyFill="1" applyBorder="1" applyAlignment="1">
      <alignment horizontal="center" vertical="center" shrinkToFit="1"/>
    </xf>
    <xf numFmtId="164" fontId="12" fillId="0" borderId="1" xfId="3" applyFont="1" applyFill="1" applyBorder="1" applyAlignment="1">
      <alignment horizontal="center" vertical="center" shrinkToFit="1"/>
    </xf>
    <xf numFmtId="164" fontId="12" fillId="3" borderId="1" xfId="3" applyFont="1" applyFill="1" applyBorder="1" applyAlignment="1">
      <alignment vertical="center" shrinkToFit="1"/>
    </xf>
    <xf numFmtId="4" fontId="14" fillId="3" borderId="1" xfId="4" applyNumberFormat="1" applyFont="1" applyFill="1" applyBorder="1" applyAlignment="1">
      <alignment vertical="center" shrinkToFit="1"/>
    </xf>
    <xf numFmtId="4" fontId="14" fillId="0" borderId="1" xfId="4" applyNumberFormat="1" applyFont="1" applyFill="1" applyBorder="1" applyAlignment="1">
      <alignment vertical="center" shrinkToFit="1"/>
    </xf>
    <xf numFmtId="0" fontId="12" fillId="0" borderId="0" xfId="0" applyFont="1" applyBorder="1" applyAlignment="1">
      <alignment horizontal="center" vertical="center"/>
    </xf>
    <xf numFmtId="165" fontId="12" fillId="0" borderId="0" xfId="0" applyNumberFormat="1" applyFont="1" applyFill="1" applyBorder="1" applyAlignment="1">
      <alignment vertical="center" shrinkToFit="1"/>
    </xf>
    <xf numFmtId="0" fontId="2" fillId="0" borderId="6" xfId="0" applyFont="1" applyBorder="1" applyAlignment="1">
      <alignment vertical="bottom" shrinkToFit="1"/>
    </xf>
    <xf numFmtId="0" fontId="1" fillId="0" borderId="1" xfId="0" applyFont="1" applyBorder="1" applyAlignment="1">
      <alignment horizontal="center" vertical="bottom" shrinkToFit="1"/>
    </xf>
    <xf numFmtId="0" fontId="1" fillId="0" borderId="1" xfId="0" applyFont="1" applyFill="1" applyBorder="1" applyAlignment="1">
      <alignment vertical="center" shrinkToFit="1"/>
    </xf>
    <xf numFmtId="0" fontId="2" fillId="0" borderId="0" xfId="0" applyFont="1">
      <alignment vertical="center"/>
    </xf>
    <xf numFmtId="49" fontId="10" fillId="0" borderId="1" xfId="1" applyNumberFormat="1" applyFont="1" applyFill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2" fillId="0" borderId="1" xfId="0" applyFont="1" applyFill="1" applyBorder="1" applyAlignment="1">
      <alignment vertical="bottom" shrinkToFit="1"/>
    </xf>
    <xf numFmtId="0" fontId="1" fillId="0" borderId="1" xfId="0" applyFont="1" applyBorder="1" applyAlignment="1">
      <alignment vertical="center" shrinkToFit="1"/>
    </xf>
    <xf numFmtId="0" fontId="2" fillId="0" borderId="1" xfId="0" applyFont="1" applyBorder="1" applyAlignment="1">
      <alignment vertical="center" shrinkToFit="1"/>
    </xf>
    <xf numFmtId="0" fontId="2" fillId="0" borderId="1" xfId="0" applyFont="1" applyFill="1" applyBorder="1" applyAlignment="1">
      <alignment vertical="center" shrinkToFit="1"/>
    </xf>
    <xf numFmtId="49" fontId="3" fillId="0" borderId="0" xfId="2" applyNumberFormat="1" applyFont="1" applyBorder="1" applyAlignment="1">
      <alignment vertical="top"/>
    </xf>
    <xf numFmtId="0" fontId="2" fillId="3" borderId="1" xfId="0" applyFont="1" applyFill="1" applyBorder="1" applyAlignment="1">
      <alignment vertical="bottom" shrinkToFit="1"/>
    </xf>
    <xf numFmtId="4" fontId="3" fillId="0" borderId="1" xfId="5" applyNumberFormat="1" applyFont="1" applyBorder="1" applyAlignment="1">
      <alignment vertical="bottom"/>
    </xf>
    <xf numFmtId="164" fontId="2" fillId="3" borderId="1" xfId="3" applyFont="1" applyFill="1" applyBorder="1" applyAlignment="1">
      <alignment vertical="bottom"/>
    </xf>
    <xf numFmtId="0" fontId="2" fillId="0" borderId="0" xfId="0" applyFont="1" applyAlignment="1">
      <alignment horizontal="center" vertical="bottom"/>
    </xf>
    <xf numFmtId="49" fontId="3" fillId="0" borderId="1" xfId="1" applyNumberFormat="1" applyFont="1" applyBorder="1" applyAlignment="1">
      <alignment horizontal="center" vertical="top" shrinkToFit="1"/>
    </xf>
    <xf numFmtId="49" fontId="3" fillId="0" borderId="1" xfId="1" applyNumberFormat="1" applyFont="1" applyFill="1" applyBorder="1" applyAlignment="1">
      <alignment horizontal="center" vertical="top" shrinkToFit="1"/>
    </xf>
    <xf numFmtId="49" fontId="10" fillId="0" borderId="1" xfId="1" applyNumberFormat="1" applyFont="1" applyFill="1" applyBorder="1" applyAlignment="1">
      <alignment horizontal="center" vertical="center" shrinkToFit="1"/>
    </xf>
    <xf numFmtId="49" fontId="3" fillId="0" borderId="1" xfId="1" applyNumberFormat="1" applyFont="1" applyBorder="1" applyAlignment="1">
      <alignment horizontal="center" vertical="top"/>
    </xf>
    <xf numFmtId="49" fontId="3" fillId="0" borderId="1" xfId="1" applyNumberFormat="1" applyFont="1" applyFill="1" applyBorder="1" applyAlignment="1">
      <alignment horizontal="center" vertical="top"/>
    </xf>
    <xf numFmtId="49" fontId="3" fillId="3" borderId="1" xfId="1" applyNumberFormat="1" applyFont="1" applyFill="1" applyBorder="1" applyAlignment="1">
      <alignment horizontal="center" vertical="top"/>
    </xf>
    <xf numFmtId="0" fontId="2" fillId="0" borderId="0" xfId="0" applyFont="1" applyBorder="1" applyAlignment="1">
      <alignment horizontal="center" vertical="bottom"/>
    </xf>
    <xf numFmtId="0" fontId="2" fillId="0" borderId="0" xfId="0" applyFont="1" applyFill="1" applyBorder="1" applyAlignment="1">
      <alignment vertical="bottom"/>
    </xf>
    <xf numFmtId="4" fontId="10" fillId="0" borderId="1" xfId="4" applyNumberFormat="1" applyFont="1" applyFill="1" applyBorder="1" applyAlignment="1">
      <alignment horizontal="center" vertical="bottom"/>
    </xf>
    <xf numFmtId="165" fontId="1" fillId="0" borderId="0" xfId="0" applyNumberFormat="1" applyFont="1" applyBorder="1" applyAlignment="1">
      <alignment vertical="bottom"/>
    </xf>
    <xf numFmtId="4" fontId="5" fillId="0" borderId="1" xfId="6" applyNumberFormat="1" applyFont="1" applyBorder="1" applyAlignment="1">
      <alignment vertical="bottom"/>
    </xf>
    <xf numFmtId="164" fontId="1" fillId="0" borderId="5" xfId="3" applyFont="1" applyFill="1" applyBorder="1" applyAlignment="1">
      <alignment horizontal="center" vertical="bottom"/>
    </xf>
    <xf numFmtId="49" fontId="3" fillId="0" borderId="43" xfId="1" applyNumberFormat="1" applyFont="1" applyBorder="1" applyAlignment="1">
      <alignment vertical="top"/>
    </xf>
    <xf numFmtId="164" fontId="1" fillId="0" borderId="44" xfId="3" applyFont="1" applyFill="1" applyBorder="1" applyAlignment="1">
      <alignment horizontal="center" vertical="bottom"/>
    </xf>
    <xf numFmtId="164" fontId="1" fillId="0" borderId="7" xfId="3" applyFont="1" applyFill="1" applyBorder="1" applyAlignment="1">
      <alignment horizontal="center" vertical="bottom"/>
    </xf>
    <xf numFmtId="0" fontId="2" fillId="0" borderId="5" xfId="0" applyFont="1" applyFill="1" applyBorder="1" applyAlignment="1">
      <alignment vertical="bottom"/>
    </xf>
    <xf numFmtId="4" fontId="3" fillId="0" borderId="5" xfId="4" applyNumberFormat="1" applyFont="1" applyFill="1" applyBorder="1" applyAlignment="1">
      <alignment vertical="bottom"/>
    </xf>
    <xf numFmtId="4" fontId="10" fillId="0" borderId="5" xfId="4" applyNumberFormat="1" applyFont="1" applyFill="1" applyBorder="1" applyAlignment="1">
      <alignment horizontal="right" vertical="bottom"/>
    </xf>
    <xf numFmtId="4" fontId="10" fillId="0" borderId="1" xfId="4" applyNumberFormat="1" applyFont="1" applyFill="1" applyBorder="1" applyAlignment="1">
      <alignment horizontal="right" vertical="bottom"/>
    </xf>
    <xf numFmtId="49" fontId="3" fillId="0" borderId="43" xfId="1" applyNumberFormat="1" applyFont="1" applyFill="1" applyBorder="1" applyAlignment="1">
      <alignment vertical="top"/>
    </xf>
    <xf numFmtId="4" fontId="5" fillId="0" borderId="7" xfId="6" applyNumberFormat="1" applyFont="1" applyBorder="1" applyAlignment="1">
      <alignment vertical="bottom"/>
    </xf>
    <xf numFmtId="4" fontId="10" fillId="0" borderId="7" xfId="4" applyNumberFormat="1" applyFont="1" applyFill="1" applyBorder="1" applyAlignment="1">
      <alignment horizontal="right" vertical="bottom"/>
    </xf>
    <xf numFmtId="164" fontId="2" fillId="0" borderId="7" xfId="3" applyFont="1" applyFill="1" applyBorder="1" applyAlignment="1">
      <alignment vertical="bottom"/>
    </xf>
    <xf numFmtId="4" fontId="5" fillId="0" borderId="5" xfId="6" applyNumberFormat="1" applyFont="1" applyBorder="1" applyAlignment="1">
      <alignment vertical="bottom"/>
    </xf>
    <xf numFmtId="164" fontId="1" fillId="0" borderId="1" xfId="3" applyFont="1" applyFill="1" applyBorder="1" applyAlignment="1">
      <alignment horizontal="center" vertical="bottom"/>
    </xf>
    <xf numFmtId="164" fontId="2" fillId="0" borderId="45" xfId="3" applyFont="1" applyBorder="1" applyAlignment="1">
      <alignment vertical="bottom"/>
    </xf>
    <xf numFmtId="4" fontId="10" fillId="0" borderId="7" xfId="4" applyNumberFormat="1" applyFont="1" applyFill="1" applyBorder="1" applyAlignment="1">
      <alignment vertical="bottom"/>
    </xf>
    <xf numFmtId="4" fontId="5" fillId="0" borderId="2" xfId="6" applyNumberFormat="1" applyFont="1" applyBorder="1" applyAlignment="1">
      <alignment vertical="bottom"/>
    </xf>
    <xf numFmtId="4" fontId="3" fillId="0" borderId="2" xfId="4" applyNumberFormat="1" applyFont="1" applyFill="1" applyBorder="1" applyAlignment="1">
      <alignment vertical="bottom"/>
    </xf>
    <xf numFmtId="49" fontId="5" fillId="0" borderId="1" xfId="2" applyNumberFormat="1" applyFont="1" applyBorder="1" applyAlignment="1">
      <alignment vertical="top"/>
    </xf>
    <xf numFmtId="164" fontId="1" fillId="0" borderId="4" xfId="3" applyFont="1" applyFill="1" applyBorder="1" applyAlignment="1">
      <alignment horizontal="center" vertical="bottom"/>
    </xf>
    <xf numFmtId="0" fontId="2" fillId="3" borderId="5" xfId="0" applyFont="1" applyFill="1" applyBorder="1" applyAlignment="1">
      <alignment vertical="bottom"/>
    </xf>
    <xf numFmtId="49" fontId="3" fillId="3" borderId="46" xfId="1" applyNumberFormat="1" applyFont="1" applyFill="1" applyBorder="1" applyAlignment="1">
      <alignment vertical="top"/>
    </xf>
    <xf numFmtId="4" fontId="3" fillId="3" borderId="5" xfId="2" applyNumberFormat="1" applyFont="1" applyFill="1" applyBorder="1" applyAlignment="1">
      <alignment horizontal="center" vertical="bottom"/>
    </xf>
    <xf numFmtId="0" fontId="2" fillId="3" borderId="7" xfId="0" applyFont="1" applyFill="1" applyBorder="1" applyAlignment="1">
      <alignment vertical="bottom"/>
    </xf>
    <xf numFmtId="49" fontId="3" fillId="3" borderId="43" xfId="1" applyNumberFormat="1" applyFont="1" applyFill="1" applyBorder="1" applyAlignment="1">
      <alignment vertical="top"/>
    </xf>
    <xf numFmtId="164" fontId="2" fillId="0" borderId="7" xfId="3" applyFont="1" applyFill="1" applyBorder="1" applyAlignment="1">
      <alignment horizontal="center" vertical="bottom"/>
    </xf>
    <xf numFmtId="164" fontId="4" fillId="3" borderId="7" xfId="3" applyFont="1" applyFill="1" applyBorder="1" applyAlignment="1">
      <alignment vertical="bottom"/>
    </xf>
    <xf numFmtId="49" fontId="3" fillId="3" borderId="3" xfId="1" applyNumberFormat="1" applyFont="1" applyFill="1" applyBorder="1" applyAlignment="1">
      <alignment vertical="top"/>
    </xf>
    <xf numFmtId="4" fontId="3" fillId="3" borderId="5" xfId="4" applyNumberFormat="1" applyFont="1" applyFill="1" applyBorder="1" applyAlignment="1">
      <alignment vertical="bottom"/>
    </xf>
    <xf numFmtId="49" fontId="3" fillId="3" borderId="30" xfId="1" applyNumberFormat="1" applyFont="1" applyFill="1" applyBorder="1" applyAlignment="1">
      <alignment vertical="top"/>
    </xf>
    <xf numFmtId="0" fontId="2" fillId="3" borderId="45" xfId="0" applyFont="1" applyFill="1" applyBorder="1" applyAlignment="1">
      <alignment vertical="bottom"/>
    </xf>
    <xf numFmtId="49" fontId="3" fillId="3" borderId="45" xfId="1" applyNumberFormat="1" applyFont="1" applyFill="1" applyBorder="1" applyAlignment="1">
      <alignment vertical="top"/>
    </xf>
    <xf numFmtId="4" fontId="5" fillId="0" borderId="46" xfId="6" applyNumberFormat="1" applyFont="1" applyBorder="1" applyAlignment="1">
      <alignment vertical="bottom"/>
    </xf>
    <xf numFmtId="4" fontId="5" fillId="0" borderId="40" xfId="6" applyNumberFormat="1" applyFont="1" applyBorder="1" applyAlignment="1">
      <alignment vertical="bottom"/>
    </xf>
    <xf numFmtId="164" fontId="2" fillId="0" borderId="45" xfId="3" applyFont="1" applyFill="1" applyBorder="1" applyAlignment="1">
      <alignment horizontal="center" vertical="bottom"/>
    </xf>
    <xf numFmtId="0" fontId="1" fillId="0" borderId="0" xfId="0" applyFont="1" applyFill="1" applyAlignment="1">
      <alignment vertical="bottom"/>
    </xf>
    <xf numFmtId="0" fontId="1" fillId="0" borderId="30" xfId="0" applyFont="1" applyBorder="1" applyAlignment="1">
      <alignment horizontal="center" vertical="bottom"/>
    </xf>
    <xf numFmtId="0" fontId="2" fillId="0" borderId="5" xfId="0" applyFill="1" applyBorder="1" applyAlignment="1">
      <alignment vertical="bottom"/>
    </xf>
    <xf numFmtId="0" fontId="1" fillId="0" borderId="5" xfId="0" applyFont="1" applyFill="1" applyBorder="1" applyAlignment="1">
      <alignment vertical="bottom"/>
    </xf>
    <xf numFmtId="0" fontId="2" fillId="0" borderId="7" xfId="0" applyBorder="1" applyAlignment="1">
      <alignment vertical="bottom"/>
    </xf>
    <xf numFmtId="4" fontId="5" fillId="0" borderId="1" xfId="7" applyNumberFormat="1" applyFont="1" applyBorder="1" applyAlignment="1">
      <alignment vertical="bottom"/>
    </xf>
    <xf numFmtId="164" fontId="1" fillId="0" borderId="1" xfId="3" applyFont="1" applyFill="1" applyBorder="1" applyAlignment="1">
      <alignment horizontal="right" vertical="bottom"/>
    </xf>
    <xf numFmtId="165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Fill="1" applyBorder="1" applyAlignment="1">
      <alignment horizontal="center" vertical="center"/>
    </xf>
    <xf numFmtId="164" fontId="4" fillId="0" borderId="1" xfId="3" applyFont="1" applyFill="1" applyBorder="1" applyAlignment="1">
      <alignment horizontal="right" vertical="bottom"/>
    </xf>
    <xf numFmtId="4" fontId="5" fillId="0" borderId="5" xfId="7" applyNumberFormat="1" applyFont="1" applyBorder="1" applyAlignment="1">
      <alignment vertical="bottom"/>
    </xf>
    <xf numFmtId="0" fontId="1" fillId="0" borderId="5" xfId="0" applyFont="1" applyBorder="1" applyAlignment="1">
      <alignment vertical="bottom"/>
    </xf>
    <xf numFmtId="4" fontId="11" fillId="0" borderId="1" xfId="7" applyNumberFormat="1" applyFont="1" applyBorder="1" applyAlignment="1">
      <alignment vertical="bottom"/>
    </xf>
    <xf numFmtId="0" fontId="1" fillId="0" borderId="41" xfId="0" applyFont="1" applyBorder="1" applyAlignment="1">
      <alignment horizontal="center" vertical="bottom"/>
    </xf>
    <xf numFmtId="0" fontId="1" fillId="0" borderId="42" xfId="0" applyFont="1" applyBorder="1" applyAlignment="1">
      <alignment horizontal="center" vertical="bottom"/>
    </xf>
    <xf numFmtId="165" fontId="1" fillId="0" borderId="42" xfId="0" applyNumberFormat="1" applyFont="1" applyBorder="1" applyAlignment="1">
      <alignment horizontal="center" vertical="bottom"/>
    </xf>
    <xf numFmtId="165" fontId="1" fillId="0" borderId="42" xfId="0" applyNumberFormat="1" applyFont="1" applyFill="1" applyBorder="1" applyAlignment="1">
      <alignment horizontal="center" vertical="bottom"/>
    </xf>
    <xf numFmtId="165" fontId="1" fillId="0" borderId="28" xfId="0" applyNumberFormat="1" applyFont="1" applyBorder="1" applyAlignment="1">
      <alignment horizontal="center" vertical="bottom"/>
    </xf>
    <xf numFmtId="4" fontId="3" fillId="0" borderId="5" xfId="7" applyNumberFormat="1" applyFont="1" applyBorder="1" applyAlignment="1">
      <alignment vertical="bottom"/>
    </xf>
    <xf numFmtId="164" fontId="4" fillId="0" borderId="5" xfId="3" applyFont="1" applyFill="1" applyBorder="1" applyAlignment="1">
      <alignment horizontal="center" vertical="bottom"/>
    </xf>
    <xf numFmtId="4" fontId="3" fillId="0" borderId="1" xfId="7" applyNumberFormat="1" applyFont="1" applyBorder="1" applyAlignment="1">
      <alignment vertical="bottom"/>
    </xf>
    <xf numFmtId="164" fontId="4" fillId="0" borderId="1" xfId="3" applyFont="1" applyFill="1" applyBorder="1" applyAlignment="1">
      <alignment horizontal="center" vertical="bottom"/>
    </xf>
    <xf numFmtId="0" fontId="2" fillId="0" borderId="1" xfId="0" applyBorder="1" applyAlignment="1">
      <alignment vertical="center" wrapText="1"/>
    </xf>
    <xf numFmtId="49" fontId="3" fillId="0" borderId="1" xfId="1" applyNumberFormat="1" applyFont="1" applyBorder="1" applyAlignment="1">
      <alignment horizontal="left" vertical="center"/>
    </xf>
    <xf numFmtId="4" fontId="3" fillId="0" borderId="1" xfId="7" applyNumberFormat="1" applyFont="1" applyBorder="1" applyAlignment="1">
      <alignment horizontal="left" vertical="center"/>
    </xf>
    <xf numFmtId="164" fontId="4" fillId="0" borderId="1" xfId="3" applyFont="1" applyFill="1" applyBorder="1" applyAlignment="1">
      <alignment horizontal="left" vertical="center"/>
    </xf>
    <xf numFmtId="164" fontId="4" fillId="0" borderId="1" xfId="3" applyFont="1" applyBorder="1" applyAlignment="1">
      <alignment horizontal="left" vertical="center"/>
    </xf>
    <xf numFmtId="4" fontId="3" fillId="0" borderId="1" xfId="7" applyNumberFormat="1" applyFont="1" applyFill="1" applyBorder="1" applyAlignment="1">
      <alignment vertical="bottom"/>
    </xf>
    <xf numFmtId="4" fontId="3" fillId="0" borderId="5" xfId="7" applyNumberFormat="1" applyFont="1" applyFill="1" applyBorder="1" applyAlignment="1">
      <alignment vertical="bottom"/>
    </xf>
    <xf numFmtId="2" fontId="2" fillId="0" borderId="0" xfId="0" applyNumberFormat="1" applyFont="1" applyBorder="1" applyAlignment="1">
      <alignment vertical="bottom"/>
    </xf>
    <xf numFmtId="2" fontId="2" fillId="0" borderId="0" xfId="0" applyNumberFormat="1" applyFont="1" applyAlignment="1">
      <alignment vertical="bottom"/>
    </xf>
    <xf numFmtId="49" fontId="3" fillId="0" borderId="1" xfId="2" applyNumberFormat="1" applyFont="1" applyBorder="1" applyAlignment="1">
      <alignment vertical="top"/>
    </xf>
    <xf numFmtId="0" fontId="1" fillId="0" borderId="47" xfId="0" applyFont="1" applyBorder="1" applyAlignment="1">
      <alignment horizontal="center" vertical="bottom"/>
    </xf>
    <xf numFmtId="0" fontId="1" fillId="0" borderId="48" xfId="0" applyFont="1" applyBorder="1" applyAlignment="1">
      <alignment horizontal="center" vertical="bottom"/>
    </xf>
    <xf numFmtId="165" fontId="1" fillId="0" borderId="48" xfId="0" applyNumberFormat="1" applyFont="1" applyBorder="1" applyAlignment="1">
      <alignment horizontal="center" vertical="bottom"/>
    </xf>
    <xf numFmtId="165" fontId="1" fillId="0" borderId="48" xfId="0" applyNumberFormat="1" applyFont="1" applyFill="1" applyBorder="1" applyAlignment="1">
      <alignment horizontal="center" vertical="bottom"/>
    </xf>
    <xf numFmtId="165" fontId="1" fillId="0" borderId="49" xfId="0" applyNumberFormat="1" applyFont="1" applyBorder="1" applyAlignment="1">
      <alignment horizontal="center" vertical="bottom"/>
    </xf>
    <xf numFmtId="0" fontId="2" fillId="0" borderId="50" xfId="0" applyFont="1" applyBorder="1" applyAlignment="1">
      <alignment vertical="bottom"/>
    </xf>
    <xf numFmtId="49" fontId="3" fillId="0" borderId="50" xfId="1" applyNumberFormat="1" applyFont="1" applyBorder="1" applyAlignment="1">
      <alignment vertical="top"/>
    </xf>
    <xf numFmtId="165" fontId="2" fillId="0" borderId="50" xfId="0" applyNumberFormat="1" applyFont="1" applyBorder="1" applyAlignment="1">
      <alignment vertical="bottom"/>
    </xf>
    <xf numFmtId="4" fontId="2" fillId="0" borderId="50" xfId="0" applyNumberFormat="1" applyBorder="1" applyAlignment="1">
      <alignment vertical="bottom"/>
    </xf>
    <xf numFmtId="164" fontId="4" fillId="0" borderId="50" xfId="3" applyFont="1" applyFill="1" applyBorder="1" applyAlignment="1">
      <alignment horizontal="center" vertical="bottom"/>
    </xf>
    <xf numFmtId="164" fontId="1" fillId="0" borderId="50" xfId="3" applyFont="1" applyFill="1" applyBorder="1" applyAlignment="1">
      <alignment horizontal="center" vertical="bottom"/>
    </xf>
    <xf numFmtId="164" fontId="4" fillId="0" borderId="50" xfId="3" applyFont="1" applyBorder="1" applyAlignment="1">
      <alignment vertical="bottom"/>
    </xf>
    <xf numFmtId="164" fontId="4" fillId="0" borderId="5" xfId="3" applyFont="1" applyFill="1" applyBorder="1" applyAlignment="1">
      <alignment horizontal="right" vertical="bottom"/>
    </xf>
    <xf numFmtId="49" fontId="3" fillId="0" borderId="50" xfId="1" applyNumberFormat="1" applyFont="1" applyFill="1" applyBorder="1" applyAlignment="1">
      <alignment vertical="top"/>
    </xf>
    <xf numFmtId="164" fontId="4" fillId="0" borderId="50" xfId="3" applyFont="1" applyFill="1" applyBorder="1" applyAlignment="1">
      <alignment horizontal="right" vertical="bottom"/>
    </xf>
    <xf numFmtId="164" fontId="4" fillId="0" borderId="50" xfId="3" applyFont="1" applyFill="1" applyBorder="1" applyAlignment="1">
      <alignment vertical="bottom"/>
    </xf>
    <xf numFmtId="49" fontId="3" fillId="3" borderId="5" xfId="1" applyNumberFormat="1" applyFont="1" applyFill="1" applyBorder="1" applyAlignment="1">
      <alignment vertical="top"/>
    </xf>
    <xf numFmtId="0" fontId="2" fillId="3" borderId="50" xfId="0" applyFont="1" applyFill="1" applyBorder="1" applyAlignment="1">
      <alignment vertical="bottom"/>
    </xf>
    <xf numFmtId="49" fontId="3" fillId="3" borderId="50" xfId="1" applyNumberFormat="1" applyFont="1" applyFill="1" applyBorder="1" applyAlignment="1">
      <alignment vertical="top"/>
    </xf>
    <xf numFmtId="4" fontId="3" fillId="0" borderId="50" xfId="7" applyNumberFormat="1" applyFont="1" applyBorder="1" applyAlignment="1">
      <alignment vertical="bottom"/>
    </xf>
    <xf numFmtId="164" fontId="4" fillId="3" borderId="50" xfId="3" applyFont="1" applyFill="1" applyBorder="1" applyAlignment="1">
      <alignment vertical="bottom"/>
    </xf>
    <xf numFmtId="0" fontId="2" fillId="0" borderId="50" xfId="0" applyFont="1" applyFill="1" applyBorder="1" applyAlignment="1">
      <alignment vertical="bottom"/>
    </xf>
    <xf numFmtId="165" fontId="1" fillId="0" borderId="48" xfId="0" applyNumberFormat="1" applyFont="1" applyBorder="1" applyAlignment="1">
      <alignment horizontal="left" vertical="bottom"/>
    </xf>
    <xf numFmtId="165" fontId="1" fillId="0" borderId="48" xfId="0" applyNumberFormat="1" applyFont="1" applyFill="1" applyBorder="1" applyAlignment="1">
      <alignment horizontal="left" vertical="bottom"/>
    </xf>
    <xf numFmtId="164" fontId="4" fillId="0" borderId="5" xfId="3" applyFont="1" applyBorder="1" applyAlignment="1">
      <alignment horizontal="center" vertical="bottom"/>
    </xf>
    <xf numFmtId="164" fontId="4" fillId="0" borderId="1" xfId="3" applyFont="1" applyBorder="1" applyAlignment="1">
      <alignment horizontal="center" vertical="bottom"/>
    </xf>
    <xf numFmtId="164" fontId="4" fillId="0" borderId="50" xfId="3" applyFont="1" applyBorder="1" applyAlignment="1">
      <alignment horizontal="center" vertical="bottom"/>
    </xf>
    <xf numFmtId="164" fontId="2" fillId="0" borderId="1" xfId="3" applyFont="1" applyBorder="1" applyAlignment="1">
      <alignment horizontal="center" vertical="bottom"/>
    </xf>
    <xf numFmtId="166" fontId="2" fillId="0" borderId="0" xfId="0" applyNumberFormat="1" applyAlignment="1">
      <alignment vertical="bottom"/>
    </xf>
    <xf numFmtId="4" fontId="2" fillId="0" borderId="5" xfId="0" applyNumberFormat="1" applyFill="1" applyBorder="1" applyAlignment="1">
      <alignment vertical="bottom"/>
    </xf>
    <xf numFmtId="164" fontId="18" fillId="0" borderId="0" xfId="0" applyNumberFormat="1" applyFont="1" applyFill="1" applyAlignment="1">
      <alignment vertical="bottom"/>
    </xf>
    <xf numFmtId="166" fontId="2" fillId="0" borderId="0" xfId="0" applyNumberFormat="1" applyFont="1" applyFill="1" applyAlignment="1">
      <alignment vertical="bottom"/>
    </xf>
    <xf numFmtId="164" fontId="2" fillId="0" borderId="0" xfId="0" applyNumberFormat="1" applyFont="1" applyFill="1" applyAlignment="1">
      <alignment vertical="bottom"/>
    </xf>
    <xf numFmtId="164" fontId="4" fillId="0" borderId="1" xfId="3" applyFont="1" applyBorder="1" applyAlignment="1">
      <alignment horizontal="center" vertical="center"/>
    </xf>
    <xf numFmtId="0" fontId="19" fillId="0" borderId="0" xfId="0" applyFont="1" applyAlignment="1">
      <alignment vertical="bottom"/>
    </xf>
    <xf numFmtId="0" fontId="2" fillId="4" borderId="0" xfId="0" applyFont="1" applyFill="1" applyAlignment="1">
      <alignment vertical="bottom"/>
    </xf>
    <xf numFmtId="0" fontId="2" fillId="4" borderId="1" xfId="0" applyFont="1" applyFill="1" applyBorder="1" applyAlignment="1">
      <alignment vertical="bottom"/>
    </xf>
    <xf numFmtId="49" fontId="3" fillId="4" borderId="1" xfId="1" applyNumberFormat="1" applyFont="1" applyFill="1" applyBorder="1" applyAlignment="1">
      <alignment vertical="top"/>
    </xf>
    <xf numFmtId="4" fontId="2" fillId="4" borderId="1" xfId="0" applyNumberFormat="1" applyFill="1" applyBorder="1" applyAlignment="1">
      <alignment vertical="bottom"/>
    </xf>
    <xf numFmtId="164" fontId="4" fillId="4" borderId="1" xfId="3" applyFont="1" applyFill="1" applyBorder="1" applyAlignment="1">
      <alignment horizontal="center" vertical="bottom"/>
    </xf>
    <xf numFmtId="164" fontId="4" fillId="4" borderId="5" xfId="3" applyFont="1" applyFill="1" applyBorder="1" applyAlignment="1">
      <alignment horizontal="center" vertical="bottom"/>
    </xf>
    <xf numFmtId="164" fontId="4" fillId="4" borderId="1" xfId="3" applyFont="1" applyFill="1" applyBorder="1" applyAlignment="1">
      <alignment horizontal="right" vertical="bottom"/>
    </xf>
    <xf numFmtId="4" fontId="2" fillId="0" borderId="5" xfId="0" applyNumberFormat="1" applyFont="1" applyBorder="1" applyAlignment="1">
      <alignment vertical="bottom"/>
    </xf>
    <xf numFmtId="164" fontId="4" fillId="3" borderId="5" xfId="3" applyFont="1" applyFill="1" applyBorder="1" applyAlignment="1">
      <alignment horizontal="center" vertical="bottom"/>
    </xf>
    <xf numFmtId="4" fontId="2" fillId="0" borderId="50" xfId="0" applyNumberFormat="1" applyFont="1" applyBorder="1" applyAlignment="1">
      <alignment vertical="bottom"/>
    </xf>
    <xf numFmtId="164" fontId="4" fillId="3" borderId="50" xfId="3" applyFont="1" applyFill="1" applyBorder="1" applyAlignment="1">
      <alignment horizontal="center" vertical="bottom"/>
    </xf>
    <xf numFmtId="2" fontId="2" fillId="0" borderId="5" xfId="0" applyNumberFormat="1" applyFont="1" applyBorder="1" applyAlignment="1">
      <alignment vertical="bottom"/>
    </xf>
    <xf numFmtId="2" fontId="2" fillId="0" borderId="1" xfId="0" applyNumberFormat="1" applyFont="1" applyBorder="1" applyAlignment="1">
      <alignment vertical="bottom"/>
    </xf>
    <xf numFmtId="164" fontId="4" fillId="3" borderId="1" xfId="3" applyFont="1" applyFill="1" applyBorder="1" applyAlignment="1">
      <alignment horizontal="center" vertical="bottom"/>
    </xf>
    <xf numFmtId="2" fontId="2" fillId="0" borderId="50" xfId="0" applyNumberFormat="1" applyFont="1" applyBorder="1" applyAlignment="1">
      <alignment vertical="bottom"/>
    </xf>
    <xf numFmtId="4" fontId="2" fillId="0" borderId="51" xfId="0" applyNumberFormat="1" applyBorder="1" applyAlignment="1">
      <alignment vertical="bottom"/>
    </xf>
    <xf numFmtId="0" fontId="9" fillId="0" borderId="51" xfId="0" applyFont="1" applyBorder="1" applyAlignment="1">
      <alignment horizontal="left" vertical="center" wrapText="1"/>
    </xf>
    <xf numFmtId="49" fontId="3" fillId="0" borderId="51" xfId="1" applyNumberFormat="1" applyFont="1" applyBorder="1">
      <alignment vertical="center"/>
    </xf>
    <xf numFmtId="164" fontId="4" fillId="0" borderId="51" xfId="3" applyFont="1" applyFill="1" applyBorder="1" applyAlignment="1">
      <alignment horizontal="center" vertical="bottom"/>
    </xf>
    <xf numFmtId="164" fontId="1" fillId="0" borderId="51" xfId="3" applyFont="1" applyFill="1" applyBorder="1" applyAlignment="1">
      <alignment horizontal="center" vertical="bottom"/>
    </xf>
    <xf numFmtId="164" fontId="4" fillId="0" borderId="51" xfId="3" applyFont="1" applyBorder="1" applyAlignment="1">
      <alignment vertical="bottom"/>
    </xf>
    <xf numFmtId="0" fontId="9" fillId="0" borderId="1" xfId="0" applyFont="1" applyBorder="1" applyAlignment="1">
      <alignment vertical="center" wrapText="1"/>
    </xf>
    <xf numFmtId="2" fontId="3" fillId="3" borderId="5" xfId="1" applyNumberFormat="1" applyFont="1" applyFill="1" applyBorder="1" applyAlignment="1">
      <alignment vertical="top"/>
    </xf>
    <xf numFmtId="2" fontId="3" fillId="3" borderId="50" xfId="1" applyNumberFormat="1" applyFont="1" applyFill="1" applyBorder="1" applyAlignment="1">
      <alignment vertical="top"/>
    </xf>
    <xf numFmtId="2" fontId="3" fillId="3" borderId="1" xfId="1" applyNumberFormat="1" applyFont="1" applyFill="1" applyBorder="1" applyAlignment="1">
      <alignment vertical="top"/>
    </xf>
    <xf numFmtId="0" fontId="2" fillId="0" borderId="6" xfId="0" applyFont="1" applyBorder="1" applyAlignment="1">
      <alignment horizontal="left" vertical="center"/>
    </xf>
    <xf numFmtId="0" fontId="1" fillId="0" borderId="48" xfId="0" applyFont="1" applyBorder="1" applyAlignment="1">
      <alignment horizontal="center" vertical="center"/>
    </xf>
    <xf numFmtId="0" fontId="2" fillId="0" borderId="0" xfId="0" applyFont="1" applyAlignment="1">
      <alignment vertical="bottom" wrapText="1"/>
    </xf>
    <xf numFmtId="0" fontId="2" fillId="0" borderId="37" xfId="0" applyFont="1" applyBorder="1" applyAlignment="1">
      <alignment horizontal="left" vertical="center" wrapText="1"/>
    </xf>
    <xf numFmtId="49" fontId="3" fillId="0" borderId="37" xfId="1" applyNumberFormat="1" applyFont="1" applyBorder="1" applyAlignment="1">
      <alignment horizontal="center" vertical="center" wrapText="1"/>
    </xf>
    <xf numFmtId="4" fontId="2" fillId="0" borderId="52" xfId="0" applyNumberFormat="1" applyBorder="1" applyAlignment="1">
      <alignment vertical="bottom" wrapText="1"/>
    </xf>
    <xf numFmtId="4" fontId="2" fillId="0" borderId="0" xfId="0" applyNumberFormat="1" applyAlignment="1">
      <alignment vertical="bottom" wrapText="1"/>
    </xf>
    <xf numFmtId="164" fontId="4" fillId="0" borderId="37" xfId="3" applyFont="1" applyFill="1" applyBorder="1" applyAlignment="1">
      <alignment horizontal="center" vertical="bottom" wrapText="1"/>
    </xf>
    <xf numFmtId="164" fontId="1" fillId="0" borderId="37" xfId="3" applyFont="1" applyFill="1" applyBorder="1" applyAlignment="1">
      <alignment horizontal="center" vertical="bottom" wrapText="1"/>
    </xf>
    <xf numFmtId="0" fontId="1" fillId="0" borderId="37" xfId="0" applyFont="1" applyBorder="1" applyAlignment="1">
      <alignment vertical="bottom" wrapText="1"/>
    </xf>
    <xf numFmtId="164" fontId="4" fillId="0" borderId="37" xfId="3" applyFont="1" applyFill="1" applyBorder="1" applyAlignment="1">
      <alignment vertical="bottom" wrapText="1"/>
    </xf>
    <xf numFmtId="0" fontId="2" fillId="0" borderId="1" xfId="0" applyFont="1" applyBorder="1" applyAlignment="1">
      <alignment horizontal="left" vertical="center" wrapText="1"/>
    </xf>
    <xf numFmtId="49" fontId="3" fillId="0" borderId="1" xfId="1" applyNumberFormat="1" applyFont="1" applyBorder="1" applyAlignment="1">
      <alignment horizontal="center" vertical="center" wrapText="1"/>
    </xf>
    <xf numFmtId="4" fontId="2" fillId="0" borderId="1" xfId="0" applyNumberFormat="1" applyBorder="1" applyAlignment="1">
      <alignment vertical="bottom" wrapText="1"/>
    </xf>
    <xf numFmtId="164" fontId="4" fillId="0" borderId="1" xfId="3" applyFont="1" applyFill="1" applyBorder="1" applyAlignment="1">
      <alignment horizontal="center" vertical="bottom" wrapText="1"/>
    </xf>
    <xf numFmtId="164" fontId="1" fillId="0" borderId="1" xfId="3" applyFont="1" applyFill="1" applyBorder="1" applyAlignment="1">
      <alignment horizontal="center" vertical="bottom" wrapText="1"/>
    </xf>
    <xf numFmtId="164" fontId="4" fillId="0" borderId="1" xfId="3" applyFont="1" applyFill="1" applyBorder="1" applyAlignment="1">
      <alignment vertical="bottom" wrapText="1"/>
    </xf>
    <xf numFmtId="49" fontId="3" fillId="0" borderId="1" xfId="1" applyNumberFormat="1" applyFont="1" applyBorder="1">
      <alignment vertical="center"/>
    </xf>
    <xf numFmtId="0" fontId="2" fillId="0" borderId="14" xfId="0" applyBorder="1" applyAlignment="1">
      <alignment horizontal="left" vertical="center" wrapText="1"/>
    </xf>
    <xf numFmtId="49" fontId="3" fillId="0" borderId="14" xfId="1" applyNumberFormat="1" applyFont="1" applyBorder="1">
      <alignment vertical="center"/>
    </xf>
    <xf numFmtId="164" fontId="4" fillId="0" borderId="14" xfId="3" applyFont="1" applyFill="1" applyBorder="1" applyAlignment="1">
      <alignment horizontal="center" vertical="bottom"/>
    </xf>
    <xf numFmtId="164" fontId="1" fillId="0" borderId="14" xfId="3" applyFont="1" applyFill="1" applyBorder="1" applyAlignment="1">
      <alignment horizontal="center" vertical="bottom"/>
    </xf>
    <xf numFmtId="164" fontId="4" fillId="0" borderId="14" xfId="3" applyFont="1" applyBorder="1" applyAlignment="1">
      <alignment vertical="bottom"/>
    </xf>
    <xf numFmtId="0" fontId="2" fillId="0" borderId="5" xfId="0" applyFill="1" applyBorder="1" applyAlignment="1">
      <alignment horizontal="left" vertical="center" wrapText="1"/>
    </xf>
    <xf numFmtId="49" fontId="3" fillId="0" borderId="5" xfId="1" applyNumberFormat="1" applyFont="1" applyFill="1" applyBorder="1" applyAlignment="1">
      <alignment horizontal="center" vertical="center" wrapText="1"/>
    </xf>
    <xf numFmtId="4" fontId="2" fillId="0" borderId="5" xfId="0" applyNumberFormat="1" applyBorder="1" applyAlignment="1">
      <alignment vertical="bottom" wrapText="1"/>
    </xf>
    <xf numFmtId="164" fontId="4" fillId="0" borderId="5" xfId="3" applyFont="1" applyFill="1" applyBorder="1" applyAlignment="1">
      <alignment horizontal="center" vertical="bottom" wrapText="1"/>
    </xf>
    <xf numFmtId="164" fontId="4" fillId="0" borderId="5" xfId="3" applyFont="1" applyFill="1" applyBorder="1" applyAlignment="1">
      <alignment horizontal="right" vertical="bottom" wrapText="1"/>
    </xf>
    <xf numFmtId="164" fontId="4" fillId="0" borderId="5" xfId="3" applyFont="1" applyFill="1" applyBorder="1" applyAlignment="1">
      <alignment vertical="bottom" wrapText="1"/>
    </xf>
    <xf numFmtId="0" fontId="2" fillId="0" borderId="0" xfId="0" applyFont="1" applyFill="1" applyAlignment="1">
      <alignment vertical="bottom" wrapText="1"/>
    </xf>
    <xf numFmtId="0" fontId="1" fillId="0" borderId="1" xfId="0" applyFont="1" applyFill="1" applyBorder="1" applyAlignment="1">
      <alignment horizontal="left" vertical="center" wrapText="1"/>
    </xf>
    <xf numFmtId="49" fontId="3" fillId="0" borderId="1" xfId="1" applyNumberFormat="1" applyFont="1" applyFill="1" applyBorder="1" applyAlignment="1">
      <alignment horizontal="center" vertical="center" wrapText="1"/>
    </xf>
    <xf numFmtId="164" fontId="4" fillId="0" borderId="1" xfId="3" applyFont="1" applyFill="1" applyBorder="1" applyAlignment="1">
      <alignment horizontal="right" vertical="bottom" wrapText="1"/>
    </xf>
    <xf numFmtId="4" fontId="1" fillId="0" borderId="1" xfId="0" applyNumberFormat="1" applyFont="1" applyBorder="1" applyAlignment="1">
      <alignment vertical="bottom" wrapText="1"/>
    </xf>
    <xf numFmtId="164" fontId="1" fillId="0" borderId="5" xfId="3" applyFont="1" applyFill="1" applyBorder="1" applyAlignment="1">
      <alignment horizontal="center" vertical="bottom" wrapText="1"/>
    </xf>
    <xf numFmtId="164" fontId="1" fillId="0" borderId="1" xfId="3" applyFont="1" applyFill="1" applyBorder="1" applyAlignment="1">
      <alignment horizontal="right" vertical="bottom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Border="1" applyAlignment="1">
      <alignment horizontal="left" vertical="center" wrapText="1"/>
    </xf>
    <xf numFmtId="0" fontId="2" fillId="0" borderId="1" xfId="0" applyFill="1" applyBorder="1" applyAlignment="1">
      <alignment horizontal="left" vertical="center" wrapText="1"/>
    </xf>
    <xf numFmtId="0" fontId="2" fillId="0" borderId="50" xfId="0" applyFont="1" applyBorder="1" applyAlignment="1">
      <alignment horizontal="left" vertical="center" wrapText="1"/>
    </xf>
    <xf numFmtId="49" fontId="3" fillId="0" borderId="50" xfId="1" applyNumberFormat="1" applyFont="1" applyFill="1" applyBorder="1" applyAlignment="1">
      <alignment horizontal="center" vertical="center" wrapText="1"/>
    </xf>
    <xf numFmtId="4" fontId="2" fillId="0" borderId="50" xfId="0" applyNumberFormat="1" applyBorder="1" applyAlignment="1">
      <alignment vertical="bottom" wrapText="1"/>
    </xf>
    <xf numFmtId="164" fontId="4" fillId="0" borderId="50" xfId="3" applyFont="1" applyFill="1" applyBorder="1" applyAlignment="1">
      <alignment horizontal="center" vertical="bottom" wrapText="1"/>
    </xf>
    <xf numFmtId="164" fontId="4" fillId="0" borderId="50" xfId="3" applyFont="1" applyFill="1" applyBorder="1" applyAlignment="1">
      <alignment horizontal="right" vertical="bottom" wrapText="1"/>
    </xf>
    <xf numFmtId="164" fontId="4" fillId="0" borderId="50" xfId="3" applyFont="1" applyFill="1" applyBorder="1" applyAlignment="1">
      <alignment vertical="bottom" wrapText="1"/>
    </xf>
    <xf numFmtId="0" fontId="2" fillId="0" borderId="5" xfId="0" applyFont="1" applyBorder="1" applyAlignment="1">
      <alignment horizontal="left" vertical="center" wrapText="1"/>
    </xf>
    <xf numFmtId="49" fontId="3" fillId="0" borderId="5" xfId="1" applyNumberFormat="1" applyFont="1" applyBorder="1" applyAlignment="1">
      <alignment horizontal="center" vertical="center" wrapText="1"/>
    </xf>
    <xf numFmtId="49" fontId="3" fillId="0" borderId="50" xfId="1" applyNumberFormat="1" applyFont="1" applyBorder="1" applyAlignment="1">
      <alignment horizontal="center" vertical="center" wrapText="1"/>
    </xf>
    <xf numFmtId="166" fontId="2" fillId="0" borderId="0" xfId="0" applyNumberFormat="1" applyAlignment="1">
      <alignment vertical="bottom" wrapText="1"/>
    </xf>
    <xf numFmtId="0" fontId="2" fillId="0" borderId="5" xfId="0" applyFont="1" applyFill="1" applyBorder="1" applyAlignment="1">
      <alignment horizontal="left" vertical="center" wrapText="1"/>
    </xf>
    <xf numFmtId="164" fontId="18" fillId="0" borderId="0" xfId="0" applyNumberFormat="1" applyFont="1" applyFill="1" applyAlignment="1">
      <alignment vertical="bottom" wrapText="1"/>
    </xf>
    <xf numFmtId="166" fontId="2" fillId="0" borderId="0" xfId="0" applyNumberFormat="1" applyFont="1" applyFill="1" applyAlignment="1">
      <alignment vertical="bottom" wrapText="1"/>
    </xf>
    <xf numFmtId="164" fontId="2" fillId="0" borderId="0" xfId="0" applyNumberFormat="1" applyFont="1" applyFill="1" applyAlignment="1">
      <alignment vertical="bottom" wrapText="1"/>
    </xf>
    <xf numFmtId="0" fontId="19" fillId="0" borderId="0" xfId="0" applyFont="1" applyAlignment="1">
      <alignment vertical="bottom" wrapText="1"/>
    </xf>
    <xf numFmtId="0" fontId="20" fillId="5" borderId="6" xfId="0" applyFont="1" applyFill="1" applyBorder="1" applyAlignment="1">
      <alignment horizontal="center" vertical="center" wrapText="1"/>
    </xf>
    <xf numFmtId="0" fontId="20" fillId="5" borderId="0" xfId="0" applyFont="1" applyFill="1" applyAlignment="1">
      <alignment horizontal="center" vertical="center" wrapText="1"/>
    </xf>
    <xf numFmtId="0" fontId="20" fillId="5" borderId="3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49" fontId="10" fillId="0" borderId="1" xfId="1" applyNumberFormat="1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vertical="bottom" wrapText="1"/>
    </xf>
    <xf numFmtId="164" fontId="3" fillId="0" borderId="5" xfId="3" applyFont="1" applyFill="1" applyBorder="1" applyAlignment="1">
      <alignment horizontal="center" vertical="bottom" wrapText="1"/>
    </xf>
    <xf numFmtId="164" fontId="3" fillId="0" borderId="1" xfId="3" applyFont="1" applyFill="1" applyBorder="1" applyAlignment="1">
      <alignment horizontal="center" vertical="bottom" wrapText="1"/>
    </xf>
    <xf numFmtId="164" fontId="3" fillId="0" borderId="1" xfId="3" applyFont="1" applyFill="1" applyBorder="1" applyAlignment="1">
      <alignment horizontal="right" vertical="bottom" wrapText="1"/>
    </xf>
    <xf numFmtId="164" fontId="3" fillId="0" borderId="5" xfId="3" applyFont="1" applyFill="1" applyBorder="1" applyAlignment="1">
      <alignment vertical="bottom" wrapText="1"/>
    </xf>
    <xf numFmtId="49" fontId="10" fillId="0" borderId="1" xfId="2" applyNumberFormat="1" applyFont="1" applyBorder="1" applyAlignment="1">
      <alignment horizontal="left" vertical="center" wrapText="1"/>
    </xf>
    <xf numFmtId="49" fontId="3" fillId="0" borderId="1" xfId="2" applyNumberFormat="1" applyFont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49" fontId="3" fillId="3" borderId="5" xfId="1" applyNumberFormat="1" applyFont="1" applyFill="1" applyBorder="1" applyAlignment="1">
      <alignment horizontal="center" vertical="center" wrapText="1"/>
    </xf>
    <xf numFmtId="2" fontId="3" fillId="3" borderId="5" xfId="1" applyNumberFormat="1" applyFont="1" applyFill="1" applyBorder="1" applyAlignment="1">
      <alignment vertical="top" wrapText="1"/>
    </xf>
    <xf numFmtId="164" fontId="4" fillId="3" borderId="5" xfId="3" applyFont="1" applyFill="1" applyBorder="1" applyAlignment="1">
      <alignment vertical="bottom" wrapText="1"/>
    </xf>
    <xf numFmtId="0" fontId="2" fillId="3" borderId="50" xfId="0" applyFont="1" applyFill="1" applyBorder="1" applyAlignment="1">
      <alignment horizontal="left" vertical="center" wrapText="1"/>
    </xf>
    <xf numFmtId="49" fontId="3" fillId="3" borderId="50" xfId="1" applyNumberFormat="1" applyFont="1" applyFill="1" applyBorder="1" applyAlignment="1">
      <alignment horizontal="center" vertical="center" wrapText="1"/>
    </xf>
    <xf numFmtId="2" fontId="3" fillId="3" borderId="50" xfId="1" applyNumberFormat="1" applyFont="1" applyFill="1" applyBorder="1" applyAlignment="1">
      <alignment vertical="top" wrapText="1"/>
    </xf>
    <xf numFmtId="164" fontId="4" fillId="3" borderId="50" xfId="3" applyFont="1" applyFill="1" applyBorder="1" applyAlignment="1">
      <alignment vertical="bottom" wrapText="1"/>
    </xf>
    <xf numFmtId="0" fontId="2" fillId="3" borderId="1" xfId="0" applyFont="1" applyFill="1" applyBorder="1" applyAlignment="1">
      <alignment horizontal="left" vertical="center" wrapText="1"/>
    </xf>
    <xf numFmtId="49" fontId="3" fillId="3" borderId="1" xfId="1" applyNumberFormat="1" applyFont="1" applyFill="1" applyBorder="1" applyAlignment="1">
      <alignment horizontal="center" vertical="center" wrapText="1"/>
    </xf>
    <xf numFmtId="2" fontId="3" fillId="3" borderId="1" xfId="1" applyNumberFormat="1" applyFont="1" applyFill="1" applyBorder="1" applyAlignment="1">
      <alignment vertical="top" wrapText="1"/>
    </xf>
    <xf numFmtId="164" fontId="4" fillId="3" borderId="1" xfId="3" applyFont="1" applyFill="1" applyBorder="1" applyAlignment="1">
      <alignment vertical="bottom" wrapText="1"/>
    </xf>
    <xf numFmtId="0" fontId="2" fillId="0" borderId="50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6" xfId="0" applyFont="1" applyBorder="1" applyAlignment="1">
      <alignment vertical="bottom" wrapText="1"/>
    </xf>
    <xf numFmtId="0" fontId="1" fillId="0" borderId="41" xfId="0" applyFont="1" applyBorder="1" applyAlignment="1">
      <alignment horizontal="center" vertical="bottom" wrapText="1"/>
    </xf>
    <xf numFmtId="0" fontId="2" fillId="0" borderId="5" xfId="0" applyFont="1" applyBorder="1" applyAlignment="1">
      <alignment vertical="bottom" wrapText="1"/>
    </xf>
    <xf numFmtId="0" fontId="2" fillId="0" borderId="1" xfId="0" applyFont="1" applyBorder="1" applyAlignment="1">
      <alignment vertical="bottom" wrapText="1"/>
    </xf>
    <xf numFmtId="0" fontId="2" fillId="0" borderId="14" xfId="0" applyFont="1" applyBorder="1" applyAlignment="1">
      <alignment vertical="bottom" wrapText="1"/>
    </xf>
    <xf numFmtId="49" fontId="3" fillId="0" borderId="14" xfId="1" applyNumberFormat="1" applyFont="1" applyBorder="1" applyAlignment="1">
      <alignment vertical="top"/>
    </xf>
    <xf numFmtId="164" fontId="4" fillId="0" borderId="14" xfId="3" applyFont="1" applyFill="1" applyBorder="1" applyAlignment="1">
      <alignment vertical="bottom"/>
    </xf>
    <xf numFmtId="0" fontId="2" fillId="3" borderId="0" xfId="0" applyFont="1" applyFill="1" applyAlignment="1">
      <alignment vertical="bottom"/>
    </xf>
    <xf numFmtId="0" fontId="2" fillId="3" borderId="1" xfId="0" applyFill="1" applyBorder="1" applyAlignment="1">
      <alignment vertical="bottom" wrapText="1"/>
    </xf>
    <xf numFmtId="49" fontId="3" fillId="3" borderId="1" xfId="1" applyNumberFormat="1" applyFont="1" applyFill="1" applyBorder="1">
      <alignment vertical="center"/>
    </xf>
    <xf numFmtId="164" fontId="1" fillId="3" borderId="1" xfId="3" applyFont="1" applyFill="1" applyBorder="1" applyAlignment="1">
      <alignment horizontal="center" vertical="bottom"/>
    </xf>
    <xf numFmtId="164" fontId="2" fillId="3" borderId="0" xfId="0" applyNumberFormat="1" applyFont="1" applyFill="1" applyAlignment="1">
      <alignment vertical="bottom"/>
    </xf>
    <xf numFmtId="4" fontId="2" fillId="3" borderId="0" xfId="0" applyNumberFormat="1" applyFont="1" applyFill="1" applyAlignment="1">
      <alignment vertical="bottom"/>
    </xf>
    <xf numFmtId="0" fontId="2" fillId="0" borderId="14" xfId="0" applyBorder="1" applyAlignment="1">
      <alignment vertical="bottom" wrapText="1"/>
    </xf>
    <xf numFmtId="0" fontId="2" fillId="0" borderId="5" xfId="0" applyFill="1" applyBorder="1" applyAlignment="1">
      <alignment vertical="bottom" wrapText="1"/>
    </xf>
    <xf numFmtId="0" fontId="1" fillId="0" borderId="1" xfId="0" applyFont="1" applyFill="1" applyBorder="1" applyAlignment="1">
      <alignment vertical="bottom" wrapText="1"/>
    </xf>
    <xf numFmtId="0" fontId="2" fillId="0" borderId="1" xfId="0" applyBorder="1" applyAlignment="1">
      <alignment vertical="bottom" wrapText="1"/>
    </xf>
    <xf numFmtId="0" fontId="2" fillId="0" borderId="1" xfId="0" applyFill="1" applyBorder="1" applyAlignment="1">
      <alignment vertical="bottom" wrapText="1"/>
    </xf>
    <xf numFmtId="4" fontId="2" fillId="0" borderId="1" xfId="0" applyNumberFormat="1" applyBorder="1" applyAlignment="1">
      <alignment horizontal="right" vertical="center"/>
    </xf>
    <xf numFmtId="164" fontId="4" fillId="0" borderId="1" xfId="3" applyFont="1" applyFill="1" applyBorder="1" applyAlignment="1">
      <alignment horizontal="right" vertical="center"/>
    </xf>
    <xf numFmtId="0" fontId="2" fillId="0" borderId="1" xfId="0" applyFont="1" applyFill="1" applyBorder="1" applyAlignment="1">
      <alignment vertical="bottom" wrapText="1"/>
    </xf>
    <xf numFmtId="49" fontId="3" fillId="0" borderId="14" xfId="1" applyNumberFormat="1" applyFont="1" applyFill="1" applyBorder="1" applyAlignment="1">
      <alignment vertical="top"/>
    </xf>
    <xf numFmtId="164" fontId="4" fillId="0" borderId="14" xfId="3" applyFont="1" applyFill="1" applyBorder="1" applyAlignment="1">
      <alignment horizontal="right" vertical="bottom"/>
    </xf>
    <xf numFmtId="0" fontId="2" fillId="0" borderId="5" xfId="0" applyFont="1" applyFill="1" applyBorder="1" applyAlignment="1">
      <alignment vertical="bottom" wrapText="1"/>
    </xf>
    <xf numFmtId="0" fontId="2" fillId="3" borderId="1" xfId="0" applyFont="1" applyFill="1" applyBorder="1" applyAlignment="1">
      <alignment vertical="bottom" wrapText="1"/>
    </xf>
    <xf numFmtId="164" fontId="4" fillId="3" borderId="1" xfId="3" applyFont="1" applyFill="1" applyBorder="1" applyAlignment="1">
      <alignment horizontal="right" vertical="bottom"/>
    </xf>
    <xf numFmtId="0" fontId="2" fillId="0" borderId="2" xfId="0" applyFont="1" applyBorder="1" applyAlignment="1">
      <alignment vertical="bottom" wrapText="1"/>
    </xf>
    <xf numFmtId="164" fontId="4" fillId="0" borderId="2" xfId="3" applyFont="1" applyFill="1" applyBorder="1" applyAlignment="1">
      <alignment horizontal="center" vertical="bottom"/>
    </xf>
    <xf numFmtId="164" fontId="4" fillId="0" borderId="37" xfId="3" applyFont="1" applyFill="1" applyBorder="1" applyAlignment="1">
      <alignment horizontal="center" vertical="bottom"/>
    </xf>
    <xf numFmtId="164" fontId="4" fillId="0" borderId="2" xfId="3" applyFont="1" applyFill="1" applyBorder="1" applyAlignment="1">
      <alignment horizontal="right" vertical="bottom"/>
    </xf>
    <xf numFmtId="0" fontId="20" fillId="5" borderId="10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center" vertical="center" wrapText="1"/>
    </xf>
    <xf numFmtId="0" fontId="20" fillId="5" borderId="27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vertical="bottom" wrapText="1"/>
    </xf>
    <xf numFmtId="0" fontId="2" fillId="3" borderId="50" xfId="0" applyFont="1" applyFill="1" applyBorder="1" applyAlignment="1">
      <alignment vertical="bottom" wrapText="1"/>
    </xf>
    <xf numFmtId="0" fontId="2" fillId="0" borderId="50" xfId="0" applyFont="1" applyFill="1" applyBorder="1" applyAlignment="1">
      <alignment vertical="bottom" wrapText="1"/>
    </xf>
    <xf numFmtId="0" fontId="21" fillId="0" borderId="0" xfId="0" applyFont="1">
      <alignment vertical="center"/>
    </xf>
    <xf numFmtId="0" fontId="22" fillId="0" borderId="41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/>
    </xf>
    <xf numFmtId="165" fontId="22" fillId="0" borderId="42" xfId="0" applyNumberFormat="1" applyFont="1" applyBorder="1" applyAlignment="1">
      <alignment horizontal="center" vertical="center"/>
    </xf>
    <xf numFmtId="165" fontId="22" fillId="0" borderId="42" xfId="0" applyNumberFormat="1" applyFont="1" applyFill="1" applyBorder="1" applyAlignment="1">
      <alignment horizontal="center" vertical="center"/>
    </xf>
    <xf numFmtId="165" fontId="22" fillId="0" borderId="42" xfId="0" applyNumberFormat="1" applyFont="1" applyFill="1" applyBorder="1" applyAlignment="1">
      <alignment horizontal="center" vertical="center" wrapText="1"/>
    </xf>
    <xf numFmtId="165" fontId="22" fillId="0" borderId="28" xfId="0" applyNumberFormat="1" applyFont="1" applyBorder="1" applyAlignment="1">
      <alignment horizontal="center" vertical="center"/>
    </xf>
    <xf numFmtId="0" fontId="2" fillId="0" borderId="5" xfId="0" applyBorder="1" applyAlignment="1">
      <alignment vertical="bottom" wrapText="1"/>
    </xf>
    <xf numFmtId="49" fontId="3" fillId="0" borderId="5" xfId="1" applyNumberFormat="1" applyFont="1" applyBorder="1" applyAlignment="1">
      <alignment horizontal="center" vertical="center"/>
    </xf>
    <xf numFmtId="164" fontId="4" fillId="0" borderId="5" xfId="3" applyFont="1" applyFill="1" applyBorder="1">
      <alignment vertical="center"/>
    </xf>
    <xf numFmtId="49" fontId="3" fillId="0" borderId="1" xfId="1" applyNumberFormat="1" applyFont="1" applyBorder="1" applyAlignment="1">
      <alignment horizontal="center" vertical="center"/>
    </xf>
    <xf numFmtId="49" fontId="3" fillId="0" borderId="14" xfId="1" applyNumberFormat="1" applyFont="1" applyBorder="1" applyAlignment="1">
      <alignment horizontal="center" vertical="center"/>
    </xf>
    <xf numFmtId="164" fontId="4" fillId="0" borderId="14" xfId="3" applyFont="1" applyFill="1" applyBorder="1">
      <alignment vertical="center"/>
    </xf>
    <xf numFmtId="0" fontId="2" fillId="0" borderId="0" xfId="0" applyFont="1" applyAlignment="1">
      <alignment horizontal="left" vertical="bottom"/>
    </xf>
    <xf numFmtId="0" fontId="2" fillId="0" borderId="5" xfId="0" applyFont="1" applyBorder="1" applyAlignment="1">
      <alignment horizontal="left" vertical="center" wrapText="1" shrinkToFit="1"/>
    </xf>
    <xf numFmtId="4" fontId="2" fillId="3" borderId="5" xfId="0" applyNumberFormat="1" applyFill="1" applyBorder="1" applyAlignment="1">
      <alignment horizontal="right" vertical="center"/>
    </xf>
    <xf numFmtId="164" fontId="4" fillId="3" borderId="5" xfId="3" applyFont="1" applyFill="1" applyBorder="1" applyAlignment="1">
      <alignment horizontal="right" vertical="center"/>
    </xf>
    <xf numFmtId="164" fontId="1" fillId="0" borderId="5" xfId="3" applyFont="1" applyFill="1" applyBorder="1" applyAlignment="1">
      <alignment horizontal="right" vertical="center"/>
    </xf>
    <xf numFmtId="164" fontId="4" fillId="0" borderId="5" xfId="3" applyFont="1" applyFill="1" applyBorder="1" applyAlignment="1">
      <alignment horizontal="right" vertical="center"/>
    </xf>
    <xf numFmtId="164" fontId="4" fillId="0" borderId="5" xfId="3" applyFont="1" applyBorder="1" applyAlignment="1">
      <alignment horizontal="center" vertical="center"/>
    </xf>
    <xf numFmtId="4" fontId="2" fillId="0" borderId="0" xfId="0" applyNumberFormat="1" applyFont="1" applyAlignment="1">
      <alignment horizontal="left" vertical="bottom"/>
    </xf>
    <xf numFmtId="0" fontId="2" fillId="0" borderId="1" xfId="0" applyBorder="1" applyAlignment="1">
      <alignment horizontal="left" vertical="center" wrapText="1" shrinkToFit="1"/>
    </xf>
    <xf numFmtId="4" fontId="2" fillId="3" borderId="1" xfId="0" applyNumberFormat="1" applyFill="1" applyBorder="1" applyAlignment="1">
      <alignment horizontal="right" vertical="center"/>
    </xf>
    <xf numFmtId="164" fontId="4" fillId="3" borderId="1" xfId="3" applyFont="1" applyFill="1" applyBorder="1" applyAlignment="1">
      <alignment horizontal="right" vertical="center"/>
    </xf>
    <xf numFmtId="164" fontId="1" fillId="0" borderId="1" xfId="3" applyFont="1" applyFill="1" applyBorder="1" applyAlignment="1">
      <alignment horizontal="right" vertical="center"/>
    </xf>
    <xf numFmtId="49" fontId="3" fillId="0" borderId="5" xfId="1" applyNumberFormat="1" applyFont="1" applyFill="1" applyBorder="1" applyAlignment="1">
      <alignment horizontal="center" vertical="center"/>
    </xf>
    <xf numFmtId="49" fontId="3" fillId="0" borderId="1" xfId="1" applyNumberFormat="1" applyFont="1" applyFill="1" applyBorder="1" applyAlignment="1">
      <alignment horizontal="center" vertical="center"/>
    </xf>
    <xf numFmtId="0" fontId="2" fillId="3" borderId="1" xfId="0" applyFill="1" applyBorder="1" applyAlignment="1">
      <alignment horizontal="left" vertical="center" wrapText="1"/>
    </xf>
    <xf numFmtId="49" fontId="3" fillId="3" borderId="1" xfId="1" applyNumberFormat="1" applyFont="1" applyFill="1" applyBorder="1" applyAlignment="1">
      <alignment horizontal="center" vertical="center"/>
    </xf>
    <xf numFmtId="164" fontId="4" fillId="3" borderId="1" xfId="3" applyFont="1" applyFill="1" applyBorder="1">
      <alignment vertical="center"/>
    </xf>
    <xf numFmtId="164" fontId="4" fillId="0" borderId="1" xfId="3" applyFont="1" applyFill="1" applyBorder="1">
      <alignment vertical="center"/>
    </xf>
    <xf numFmtId="0" fontId="3" fillId="0" borderId="1" xfId="0" applyFont="1" applyBorder="1" applyAlignment="1">
      <alignment vertical="bottom" wrapText="1"/>
    </xf>
    <xf numFmtId="49" fontId="3" fillId="0" borderId="2" xfId="1" applyNumberFormat="1" applyFont="1" applyBorder="1" applyAlignment="1">
      <alignment horizontal="center" vertical="center"/>
    </xf>
    <xf numFmtId="0" fontId="23" fillId="6" borderId="10" xfId="0" applyFont="1" applyFill="1" applyBorder="1" applyAlignment="1">
      <alignment horizontal="center" vertical="center" wrapText="1"/>
    </xf>
    <xf numFmtId="0" fontId="23" fillId="6" borderId="12" xfId="0" applyFont="1" applyFill="1" applyBorder="1" applyAlignment="1">
      <alignment horizontal="center" vertical="center" wrapText="1"/>
    </xf>
    <xf numFmtId="0" fontId="23" fillId="6" borderId="27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bottom"/>
    </xf>
    <xf numFmtId="0" fontId="2" fillId="0" borderId="1" xfId="0" applyFont="1" applyBorder="1" applyAlignment="1">
      <alignment vertical="center" wrapText="1"/>
    </xf>
    <xf numFmtId="4" fontId="2" fillId="0" borderId="1" xfId="0" applyNumberFormat="1" applyBorder="1" applyAlignment="1">
      <alignment vertical="bottom"/>
    </xf>
    <xf numFmtId="164" fontId="4" fillId="0" borderId="1" xfId="3" applyFont="1" applyFill="1" applyBorder="1" applyAlignment="1">
      <alignment vertical="bottom"/>
    </xf>
    <xf numFmtId="164" fontId="4" fillId="0" borderId="5" xfId="3" applyFont="1" applyFill="1" applyBorder="1" applyAlignment="1">
      <alignment vertical="bottom"/>
    </xf>
    <xf numFmtId="0" fontId="24" fillId="3" borderId="1" xfId="0" applyFont="1" applyFill="1" applyBorder="1" applyAlignment="1">
      <alignment vertical="bottom" wrapText="1"/>
    </xf>
  </cellXfs>
  <cellStyles count="8">
    <cellStyle name="常规" xfId="0" builtinId="0"/>
    <cellStyle name="Normal 7" xfId="1"/>
    <cellStyle name="Normal 9" xfId="2"/>
    <cellStyle name="千位分隔" xfId="3" builtinId="3"/>
    <cellStyle name="Normal 8" xfId="4"/>
    <cellStyle name="Normal 10" xfId="5"/>
    <cellStyle name="Normal 11" xfId="6"/>
    <cellStyle name="Normal 12" xfId="7"/>
  </cellStyles>
  <dxfs count="0"/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www.wps.cn/officeDocument/2020/cellImage" Target="cellimages.xml"/><Relationship Id="rId39" Type="http://schemas.openxmlformats.org/officeDocument/2006/relationships/sharedStrings" Target="sharedStrings.xml"/><Relationship Id="rId40" Type="http://schemas.openxmlformats.org/officeDocument/2006/relationships/styles" Target="styles.xml"/><Relationship Id="rId4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36.vml"/><Relationship Id="rId2" Type="http://schemas.openxmlformats.org/officeDocument/2006/relationships/comments" Target="../comments36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296"/>
  <sheetViews>
    <sheetView workbookViewId="0" topLeftCell="A124">
      <selection activeCell="B147" sqref="B147"/>
    </sheetView>
  </sheetViews>
  <sheetFormatPr defaultRowHeight="15.0" defaultColWidth="10"/>
  <cols>
    <col min="1" max="1" customWidth="1" width="51.0" style="0"/>
    <col min="2" max="2" customWidth="1" width="16.140625" style="0"/>
    <col min="3" max="6" customWidth="1" width="11.425781" style="0"/>
    <col min="7" max="7" customWidth="1" width="13.0" style="0"/>
  </cols>
  <sheetData>
    <row r="1" spans="8: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294</v>
      </c>
    </row>
    <row r="2" spans="8:8">
      <c r="A2" s="3" t="s">
        <v>7</v>
      </c>
      <c r="B2" s="4" t="s">
        <v>8</v>
      </c>
      <c r="C2" s="5">
        <v>0.01</v>
      </c>
      <c r="D2" s="5">
        <v>84960.0</v>
      </c>
      <c r="E2" s="6">
        <v>2000.0</v>
      </c>
      <c r="F2" s="6">
        <v>2500.0</v>
      </c>
      <c r="G2" s="6">
        <f t="shared" si="0" ref="G2:G65">SUM(C2:F2)</f>
        <v>89460.01</v>
      </c>
    </row>
    <row r="3" spans="8:8">
      <c r="A3" s="3" t="s">
        <v>9</v>
      </c>
      <c r="B3" s="4" t="s">
        <v>8</v>
      </c>
      <c r="C3" s="5">
        <v>0.01</v>
      </c>
      <c r="D3" s="5">
        <v>84960.0</v>
      </c>
      <c r="E3" s="6">
        <v>2000.0</v>
      </c>
      <c r="F3" s="6">
        <v>2500.0</v>
      </c>
      <c r="G3" s="6">
        <f t="shared" si="0"/>
        <v>89460.01</v>
      </c>
    </row>
    <row r="4" spans="8:8">
      <c r="A4" s="3" t="s">
        <v>10</v>
      </c>
      <c r="B4" s="4" t="s">
        <v>8</v>
      </c>
      <c r="C4" s="7">
        <v>0.01</v>
      </c>
      <c r="D4" s="7">
        <v>84960.0</v>
      </c>
      <c r="E4" s="6">
        <v>2000.0</v>
      </c>
      <c r="F4" s="6">
        <v>2500.0</v>
      </c>
      <c r="G4" s="6">
        <f t="shared" si="0"/>
        <v>89460.01</v>
      </c>
    </row>
    <row r="5" spans="8:8">
      <c r="A5" s="3" t="s">
        <v>11</v>
      </c>
      <c r="B5" s="4" t="s">
        <v>8</v>
      </c>
      <c r="C5" s="8">
        <v>0.01</v>
      </c>
      <c r="D5" s="9">
        <v>71760.0</v>
      </c>
      <c r="E5" s="6">
        <v>2000.0</v>
      </c>
      <c r="F5" s="6">
        <v>2500.0</v>
      </c>
      <c r="G5" s="6">
        <f t="shared" si="0"/>
        <v>76260.01</v>
      </c>
    </row>
    <row r="6" spans="8:8">
      <c r="A6" s="10" t="s">
        <v>12</v>
      </c>
      <c r="B6" s="11" t="s">
        <v>13</v>
      </c>
      <c r="C6" s="12">
        <v>54240.0</v>
      </c>
      <c r="D6" s="12">
        <v>30240.0</v>
      </c>
      <c r="E6" s="13">
        <v>2000.0</v>
      </c>
      <c r="F6" s="13">
        <v>2500.0</v>
      </c>
      <c r="G6" s="13">
        <f t="shared" si="0"/>
        <v>88980.0</v>
      </c>
    </row>
    <row r="7" spans="8:8">
      <c r="A7" s="14" t="s">
        <v>313</v>
      </c>
      <c r="B7" s="4" t="s">
        <v>13</v>
      </c>
      <c r="C7" s="5">
        <v>100800.0</v>
      </c>
      <c r="D7" s="5">
        <v>30240.0</v>
      </c>
      <c r="E7" s="6">
        <v>2000.0</v>
      </c>
      <c r="F7" s="6">
        <v>2500.0</v>
      </c>
      <c r="G7" s="6">
        <f t="shared" si="0"/>
        <v>135540.0</v>
      </c>
    </row>
    <row r="8" spans="8:8">
      <c r="A8" s="3" t="s">
        <v>15</v>
      </c>
      <c r="B8" s="4" t="s">
        <v>13</v>
      </c>
      <c r="C8" s="5">
        <v>54240.0</v>
      </c>
      <c r="D8" s="5">
        <v>30240.0</v>
      </c>
      <c r="E8" s="6">
        <v>2000.0</v>
      </c>
      <c r="F8" s="6">
        <v>2500.0</v>
      </c>
      <c r="G8" s="6">
        <f t="shared" si="0"/>
        <v>88980.0</v>
      </c>
    </row>
    <row r="9" spans="8:8">
      <c r="A9" s="3" t="s">
        <v>16</v>
      </c>
      <c r="B9" s="4" t="s">
        <v>13</v>
      </c>
      <c r="C9" s="5">
        <v>54240.0</v>
      </c>
      <c r="D9" s="5">
        <v>30240.0</v>
      </c>
      <c r="E9" s="6">
        <v>2000.0</v>
      </c>
      <c r="F9" s="6">
        <v>2500.0</v>
      </c>
      <c r="G9" s="6">
        <f t="shared" si="0"/>
        <v>88980.0</v>
      </c>
    </row>
    <row r="10" spans="8:8">
      <c r="A10" s="3" t="s">
        <v>17</v>
      </c>
      <c r="B10" s="4" t="s">
        <v>13</v>
      </c>
      <c r="C10" s="5">
        <v>188880.0</v>
      </c>
      <c r="D10" s="5">
        <v>69120.0</v>
      </c>
      <c r="E10" s="6">
        <v>2000.0</v>
      </c>
      <c r="F10" s="6">
        <v>2500.0</v>
      </c>
      <c r="G10" s="6">
        <f t="shared" si="0"/>
        <v>262500.0</v>
      </c>
    </row>
    <row r="11" spans="8:8">
      <c r="A11" s="3" t="s">
        <v>18</v>
      </c>
      <c r="B11" s="4" t="s">
        <v>13</v>
      </c>
      <c r="C11" s="5">
        <v>64320.0</v>
      </c>
      <c r="D11" s="5">
        <v>69120.0</v>
      </c>
      <c r="E11" s="6">
        <v>2000.0</v>
      </c>
      <c r="F11" s="6">
        <v>2500.0</v>
      </c>
      <c r="G11" s="6">
        <f t="shared" si="0"/>
        <v>137940.0</v>
      </c>
    </row>
    <row r="12" spans="8:8">
      <c r="A12" s="3" t="s">
        <v>19</v>
      </c>
      <c r="B12" s="4" t="s">
        <v>13</v>
      </c>
      <c r="C12" s="5">
        <v>64320.0</v>
      </c>
      <c r="D12" s="5">
        <v>69120.0</v>
      </c>
      <c r="E12" s="6">
        <v>2000.0</v>
      </c>
      <c r="F12" s="6">
        <v>2500.0</v>
      </c>
      <c r="G12" s="6">
        <f t="shared" si="0"/>
        <v>137940.0</v>
      </c>
    </row>
    <row r="13" spans="8:8">
      <c r="A13" s="3" t="s">
        <v>20</v>
      </c>
      <c r="B13" s="4" t="s">
        <v>13</v>
      </c>
      <c r="C13" s="5">
        <v>64320.0</v>
      </c>
      <c r="D13" s="5">
        <v>69120.0</v>
      </c>
      <c r="E13" s="6">
        <v>2000.0</v>
      </c>
      <c r="F13" s="6">
        <v>2500.0</v>
      </c>
      <c r="G13" s="6">
        <f t="shared" si="0"/>
        <v>137940.0</v>
      </c>
    </row>
    <row r="14" spans="8:8">
      <c r="A14" s="15" t="s">
        <v>21</v>
      </c>
      <c r="B14" s="16" t="s">
        <v>13</v>
      </c>
      <c r="C14" s="5">
        <v>64320.0</v>
      </c>
      <c r="D14" s="5">
        <v>69120.0</v>
      </c>
      <c r="E14" s="6">
        <v>2000.0</v>
      </c>
      <c r="F14" s="6">
        <v>2500.0</v>
      </c>
      <c r="G14" s="6">
        <f t="shared" si="0"/>
        <v>137940.0</v>
      </c>
    </row>
    <row r="15" spans="8:8">
      <c r="A15" s="15" t="s">
        <v>22</v>
      </c>
      <c r="B15" s="16" t="s">
        <v>13</v>
      </c>
      <c r="C15" s="5">
        <v>64320.0</v>
      </c>
      <c r="D15" s="5">
        <v>69120.0</v>
      </c>
      <c r="E15" s="6">
        <v>2000.0</v>
      </c>
      <c r="F15" s="6">
        <v>2500.0</v>
      </c>
      <c r="G15" s="6">
        <f t="shared" si="0"/>
        <v>137940.0</v>
      </c>
    </row>
    <row r="16" spans="8:8">
      <c r="A16" s="15" t="s">
        <v>23</v>
      </c>
      <c r="B16" s="16" t="s">
        <v>13</v>
      </c>
      <c r="C16" s="5">
        <v>64320.0</v>
      </c>
      <c r="D16" s="5">
        <v>69120.0</v>
      </c>
      <c r="E16" s="6">
        <v>2000.0</v>
      </c>
      <c r="F16" s="6">
        <v>2500.0</v>
      </c>
      <c r="G16" s="6">
        <f t="shared" si="0"/>
        <v>137940.0</v>
      </c>
    </row>
    <row r="17" spans="8:8">
      <c r="A17" s="3" t="s">
        <v>24</v>
      </c>
      <c r="B17" s="4" t="s">
        <v>13</v>
      </c>
      <c r="C17" s="5">
        <v>64320.0</v>
      </c>
      <c r="D17" s="5">
        <v>69120.0</v>
      </c>
      <c r="E17" s="6">
        <v>2000.0</v>
      </c>
      <c r="F17" s="6">
        <v>2500.0</v>
      </c>
      <c r="G17" s="6">
        <f t="shared" si="0"/>
        <v>137940.0</v>
      </c>
    </row>
    <row r="18" spans="8:8">
      <c r="A18" s="3" t="s">
        <v>25</v>
      </c>
      <c r="B18" s="4" t="s">
        <v>13</v>
      </c>
      <c r="C18" s="5">
        <v>64320.0</v>
      </c>
      <c r="D18" s="5">
        <v>69120.0</v>
      </c>
      <c r="E18" s="6">
        <v>2000.0</v>
      </c>
      <c r="F18" s="6">
        <v>2500.0</v>
      </c>
      <c r="G18" s="6">
        <f t="shared" si="0"/>
        <v>137940.0</v>
      </c>
    </row>
    <row r="19" spans="8:8">
      <c r="A19" s="3" t="s">
        <v>26</v>
      </c>
      <c r="B19" s="4" t="s">
        <v>13</v>
      </c>
      <c r="C19" s="5">
        <v>64320.0</v>
      </c>
      <c r="D19" s="5">
        <v>69120.0</v>
      </c>
      <c r="E19" s="6">
        <v>2000.0</v>
      </c>
      <c r="F19" s="6">
        <v>2500.0</v>
      </c>
      <c r="G19" s="6">
        <f t="shared" si="0"/>
        <v>137940.0</v>
      </c>
    </row>
    <row r="20" spans="8:8">
      <c r="A20" s="3" t="s">
        <v>27</v>
      </c>
      <c r="B20" s="4" t="s">
        <v>13</v>
      </c>
      <c r="C20" s="5">
        <v>64320.0</v>
      </c>
      <c r="D20" s="5">
        <v>69120.0</v>
      </c>
      <c r="E20" s="6">
        <v>2000.0</v>
      </c>
      <c r="F20" s="6">
        <v>2500.0</v>
      </c>
      <c r="G20" s="6">
        <f t="shared" si="0"/>
        <v>137940.0</v>
      </c>
    </row>
    <row r="21" spans="8:8">
      <c r="A21" s="3" t="s">
        <v>28</v>
      </c>
      <c r="B21" s="4" t="s">
        <v>13</v>
      </c>
      <c r="C21" s="5">
        <v>64320.0</v>
      </c>
      <c r="D21" s="5">
        <v>69120.0</v>
      </c>
      <c r="E21" s="6">
        <v>2000.0</v>
      </c>
      <c r="F21" s="6">
        <v>2500.0</v>
      </c>
      <c r="G21" s="6">
        <f t="shared" si="0"/>
        <v>137940.0</v>
      </c>
    </row>
    <row r="22" spans="8:8">
      <c r="A22" s="3" t="s">
        <v>29</v>
      </c>
      <c r="B22" s="4" t="s">
        <v>13</v>
      </c>
      <c r="C22" s="5">
        <v>64320.0</v>
      </c>
      <c r="D22" s="5">
        <v>69120.0</v>
      </c>
      <c r="E22" s="6">
        <v>2000.0</v>
      </c>
      <c r="F22" s="6">
        <v>2500.0</v>
      </c>
      <c r="G22" s="6">
        <f t="shared" si="0"/>
        <v>137940.0</v>
      </c>
    </row>
    <row r="23" spans="8:8">
      <c r="A23" s="14" t="s">
        <v>314</v>
      </c>
      <c r="B23" s="4" t="s">
        <v>13</v>
      </c>
      <c r="C23" s="5">
        <v>64320.0</v>
      </c>
      <c r="D23" s="5">
        <v>69120.0</v>
      </c>
      <c r="E23" s="6">
        <v>2000.0</v>
      </c>
      <c r="F23" s="6">
        <v>2500.0</v>
      </c>
      <c r="G23" s="6">
        <f t="shared" si="0"/>
        <v>137940.0</v>
      </c>
    </row>
    <row r="24" spans="8:8">
      <c r="A24" s="3" t="s">
        <v>31</v>
      </c>
      <c r="B24" s="4" t="s">
        <v>13</v>
      </c>
      <c r="C24" s="5">
        <v>64320.0</v>
      </c>
      <c r="D24" s="5">
        <v>69120.0</v>
      </c>
      <c r="E24" s="6">
        <v>2000.0</v>
      </c>
      <c r="F24" s="6">
        <v>2500.0</v>
      </c>
      <c r="G24" s="6">
        <f t="shared" si="0"/>
        <v>137940.0</v>
      </c>
    </row>
    <row r="25" spans="8:8">
      <c r="A25" s="3" t="s">
        <v>32</v>
      </c>
      <c r="B25" s="4" t="s">
        <v>13</v>
      </c>
      <c r="C25" s="5">
        <v>64320.0</v>
      </c>
      <c r="D25" s="5">
        <v>69120.0</v>
      </c>
      <c r="E25" s="6">
        <v>2000.0</v>
      </c>
      <c r="F25" s="6">
        <v>2500.0</v>
      </c>
      <c r="G25" s="6">
        <f t="shared" si="0"/>
        <v>137940.0</v>
      </c>
    </row>
    <row r="26" spans="8:8">
      <c r="A26" s="3" t="s">
        <v>33</v>
      </c>
      <c r="B26" s="4" t="s">
        <v>13</v>
      </c>
      <c r="C26" s="5">
        <v>64320.0</v>
      </c>
      <c r="D26" s="5">
        <v>69120.0</v>
      </c>
      <c r="E26" s="6">
        <v>2000.0</v>
      </c>
      <c r="F26" s="6">
        <v>2500.0</v>
      </c>
      <c r="G26" s="6">
        <f t="shared" si="0"/>
        <v>137940.0</v>
      </c>
    </row>
    <row r="27" spans="8:8">
      <c r="A27" s="3" t="s">
        <v>34</v>
      </c>
      <c r="B27" s="4" t="s">
        <v>13</v>
      </c>
      <c r="C27" s="5">
        <v>54240.0</v>
      </c>
      <c r="D27" s="5">
        <v>30240.0</v>
      </c>
      <c r="E27" s="6">
        <v>2000.0</v>
      </c>
      <c r="F27" s="6">
        <v>2500.0</v>
      </c>
      <c r="G27" s="6">
        <f t="shared" si="0"/>
        <v>88980.0</v>
      </c>
    </row>
    <row r="28" spans="8:8">
      <c r="A28" s="3" t="s">
        <v>35</v>
      </c>
      <c r="B28" s="4" t="s">
        <v>13</v>
      </c>
      <c r="C28" s="5">
        <v>54240.0</v>
      </c>
      <c r="D28" s="5">
        <v>30240.0</v>
      </c>
      <c r="E28" s="6">
        <v>2000.0</v>
      </c>
      <c r="F28" s="6">
        <v>2500.0</v>
      </c>
      <c r="G28" s="6">
        <f t="shared" si="0"/>
        <v>88980.0</v>
      </c>
    </row>
    <row r="29" spans="8:8">
      <c r="A29" s="3" t="s">
        <v>36</v>
      </c>
      <c r="B29" s="4" t="s">
        <v>13</v>
      </c>
      <c r="C29" s="5">
        <v>54240.0</v>
      </c>
      <c r="D29" s="5">
        <v>30240.0</v>
      </c>
      <c r="E29" s="6">
        <v>2000.0</v>
      </c>
      <c r="F29" s="6">
        <v>2500.0</v>
      </c>
      <c r="G29" s="6">
        <f t="shared" si="0"/>
        <v>88980.0</v>
      </c>
    </row>
    <row r="30" spans="8:8">
      <c r="A30" s="3" t="s">
        <v>37</v>
      </c>
      <c r="B30" s="4" t="s">
        <v>13</v>
      </c>
      <c r="C30" s="5">
        <v>54240.0</v>
      </c>
      <c r="D30" s="5">
        <v>30240.0</v>
      </c>
      <c r="E30" s="6">
        <v>2000.0</v>
      </c>
      <c r="F30" s="6">
        <v>2500.0</v>
      </c>
      <c r="G30" s="6">
        <f t="shared" si="0"/>
        <v>88980.0</v>
      </c>
    </row>
    <row r="31" spans="8:8">
      <c r="A31" s="3" t="s">
        <v>38</v>
      </c>
      <c r="B31" s="4" t="s">
        <v>13</v>
      </c>
      <c r="C31" s="5">
        <v>54240.0</v>
      </c>
      <c r="D31" s="5">
        <v>30240.0</v>
      </c>
      <c r="E31" s="6">
        <v>2000.0</v>
      </c>
      <c r="F31" s="6">
        <v>2500.0</v>
      </c>
      <c r="G31" s="6">
        <f t="shared" si="0"/>
        <v>88980.0</v>
      </c>
    </row>
    <row r="32" spans="8:8">
      <c r="A32" s="15" t="s">
        <v>39</v>
      </c>
      <c r="B32" s="16" t="s">
        <v>13</v>
      </c>
      <c r="C32" s="5">
        <v>54240.0</v>
      </c>
      <c r="D32" s="5">
        <v>30240.0</v>
      </c>
      <c r="E32" s="6">
        <v>2000.0</v>
      </c>
      <c r="F32" s="6">
        <v>2500.0</v>
      </c>
      <c r="G32" s="17">
        <f t="shared" si="0"/>
        <v>88980.0</v>
      </c>
    </row>
    <row r="33" spans="8:8">
      <c r="A33" s="3" t="s">
        <v>40</v>
      </c>
      <c r="B33" s="4" t="s">
        <v>13</v>
      </c>
      <c r="C33" s="5">
        <v>54240.0</v>
      </c>
      <c r="D33" s="5">
        <v>30240.0</v>
      </c>
      <c r="E33" s="6">
        <v>2000.0</v>
      </c>
      <c r="F33" s="6">
        <v>2500.0</v>
      </c>
      <c r="G33" s="6">
        <f t="shared" si="0"/>
        <v>88980.0</v>
      </c>
    </row>
    <row r="34" spans="8:8">
      <c r="A34" s="15" t="s">
        <v>41</v>
      </c>
      <c r="B34" s="16" t="s">
        <v>13</v>
      </c>
      <c r="C34" s="5">
        <v>54240.0</v>
      </c>
      <c r="D34" s="5">
        <v>30240.0</v>
      </c>
      <c r="E34" s="6">
        <v>2000.0</v>
      </c>
      <c r="F34" s="6">
        <v>2500.0</v>
      </c>
      <c r="G34" s="17">
        <f t="shared" si="0"/>
        <v>88980.0</v>
      </c>
    </row>
    <row r="35" spans="8:8">
      <c r="A35" s="3" t="s">
        <v>42</v>
      </c>
      <c r="B35" s="4" t="s">
        <v>13</v>
      </c>
      <c r="C35" s="5">
        <v>54240.0</v>
      </c>
      <c r="D35" s="5">
        <v>30240.0</v>
      </c>
      <c r="E35" s="6">
        <v>2000.0</v>
      </c>
      <c r="F35" s="6">
        <v>2500.0</v>
      </c>
      <c r="G35" s="6">
        <f t="shared" si="0"/>
        <v>88980.0</v>
      </c>
    </row>
    <row r="36" spans="8:8">
      <c r="A36" s="3" t="s">
        <v>43</v>
      </c>
      <c r="B36" s="4" t="s">
        <v>13</v>
      </c>
      <c r="C36" s="5">
        <v>54240.0</v>
      </c>
      <c r="D36" s="5">
        <v>30240.0</v>
      </c>
      <c r="E36" s="6">
        <v>2000.0</v>
      </c>
      <c r="F36" s="6">
        <v>2500.0</v>
      </c>
      <c r="G36" s="6">
        <f t="shared" si="0"/>
        <v>88980.0</v>
      </c>
    </row>
    <row r="37" spans="8:8">
      <c r="A37" s="3" t="s">
        <v>44</v>
      </c>
      <c r="B37" s="4" t="s">
        <v>13</v>
      </c>
      <c r="C37" s="5">
        <v>54240.0</v>
      </c>
      <c r="D37" s="5">
        <v>30240.0</v>
      </c>
      <c r="E37" s="6">
        <v>2000.0</v>
      </c>
      <c r="F37" s="6">
        <v>2500.0</v>
      </c>
      <c r="G37" s="6">
        <f t="shared" si="0"/>
        <v>88980.0</v>
      </c>
    </row>
    <row r="38" spans="8:8">
      <c r="A38" s="3" t="s">
        <v>45</v>
      </c>
      <c r="B38" s="4" t="s">
        <v>13</v>
      </c>
      <c r="C38" s="5">
        <v>122640.0</v>
      </c>
      <c r="D38" s="5">
        <v>72000.0</v>
      </c>
      <c r="E38" s="6">
        <v>2000.0</v>
      </c>
      <c r="F38" s="6">
        <v>2500.0</v>
      </c>
      <c r="G38" s="6">
        <f t="shared" si="0"/>
        <v>199140.0</v>
      </c>
    </row>
    <row r="39" spans="8:8">
      <c r="A39" s="3" t="s">
        <v>46</v>
      </c>
      <c r="B39" s="4" t="s">
        <v>13</v>
      </c>
      <c r="C39" s="5">
        <v>122640.0</v>
      </c>
      <c r="D39" s="5">
        <v>72000.0</v>
      </c>
      <c r="E39" s="6">
        <v>2000.0</v>
      </c>
      <c r="F39" s="6">
        <v>2500.0</v>
      </c>
      <c r="G39" s="6">
        <f t="shared" si="0"/>
        <v>199140.0</v>
      </c>
    </row>
    <row r="40" spans="8:8">
      <c r="A40" s="3" t="s">
        <v>47</v>
      </c>
      <c r="B40" s="4" t="s">
        <v>13</v>
      </c>
      <c r="C40" s="5">
        <v>172560.0</v>
      </c>
      <c r="D40" s="5">
        <v>72000.0</v>
      </c>
      <c r="E40" s="6">
        <v>2000.0</v>
      </c>
      <c r="F40" s="6">
        <v>2500.0</v>
      </c>
      <c r="G40" s="6">
        <f t="shared" si="0"/>
        <v>249060.0</v>
      </c>
    </row>
    <row r="41" spans="8:8">
      <c r="A41" s="3" t="s">
        <v>48</v>
      </c>
      <c r="B41" s="4" t="s">
        <v>13</v>
      </c>
      <c r="C41" s="5">
        <v>54240.0</v>
      </c>
      <c r="D41" s="5">
        <v>72000.0</v>
      </c>
      <c r="E41" s="6">
        <v>2000.0</v>
      </c>
      <c r="F41" s="6">
        <v>2500.0</v>
      </c>
      <c r="G41" s="6">
        <f t="shared" si="0"/>
        <v>130740.0</v>
      </c>
    </row>
    <row r="42" spans="8:8">
      <c r="A42" s="3" t="s">
        <v>49</v>
      </c>
      <c r="B42" s="4" t="s">
        <v>13</v>
      </c>
      <c r="C42" s="5">
        <v>54240.0</v>
      </c>
      <c r="D42" s="5">
        <v>30240.0</v>
      </c>
      <c r="E42" s="6">
        <v>2000.0</v>
      </c>
      <c r="F42" s="6">
        <v>2500.0</v>
      </c>
      <c r="G42" s="6">
        <f t="shared" si="0"/>
        <v>88980.0</v>
      </c>
    </row>
    <row r="43" spans="8:8">
      <c r="A43" s="18" t="s">
        <v>315</v>
      </c>
      <c r="B43" s="16" t="s">
        <v>13</v>
      </c>
      <c r="C43" s="5">
        <v>54240.0</v>
      </c>
      <c r="D43" s="5">
        <v>30240.0</v>
      </c>
      <c r="E43" s="6">
        <v>2000.0</v>
      </c>
      <c r="F43" s="6">
        <v>2500.0</v>
      </c>
      <c r="G43" s="17">
        <f t="shared" si="0"/>
        <v>88980.0</v>
      </c>
    </row>
    <row r="44" spans="8:8">
      <c r="A44" s="3" t="s">
        <v>51</v>
      </c>
      <c r="B44" s="4" t="s">
        <v>13</v>
      </c>
      <c r="C44" s="5">
        <v>54240.0</v>
      </c>
      <c r="D44" s="5">
        <v>30240.0</v>
      </c>
      <c r="E44" s="6">
        <v>2000.0</v>
      </c>
      <c r="F44" s="6">
        <v>2500.0</v>
      </c>
      <c r="G44" s="6">
        <f t="shared" si="0"/>
        <v>88980.0</v>
      </c>
    </row>
    <row r="45" spans="8:8">
      <c r="A45" s="3" t="s">
        <v>52</v>
      </c>
      <c r="B45" s="4" t="s">
        <v>13</v>
      </c>
      <c r="C45" s="5">
        <v>54240.0</v>
      </c>
      <c r="D45" s="5">
        <v>30240.0</v>
      </c>
      <c r="E45" s="6">
        <v>2000.0</v>
      </c>
      <c r="F45" s="6">
        <v>2500.0</v>
      </c>
      <c r="G45" s="6">
        <f t="shared" si="0"/>
        <v>88980.0</v>
      </c>
    </row>
    <row r="46" spans="8:8">
      <c r="A46" s="3" t="s">
        <v>53</v>
      </c>
      <c r="B46" s="4" t="s">
        <v>13</v>
      </c>
      <c r="C46" s="5">
        <v>54240.0</v>
      </c>
      <c r="D46" s="5">
        <v>30240.0</v>
      </c>
      <c r="E46" s="6">
        <v>2000.0</v>
      </c>
      <c r="F46" s="6">
        <v>2500.0</v>
      </c>
      <c r="G46" s="6">
        <f t="shared" si="0"/>
        <v>88980.0</v>
      </c>
    </row>
    <row r="47" spans="8:8">
      <c r="A47" s="3" t="s">
        <v>54</v>
      </c>
      <c r="B47" s="4" t="s">
        <v>13</v>
      </c>
      <c r="C47" s="5">
        <v>54240.0</v>
      </c>
      <c r="D47" s="5">
        <v>30240.0</v>
      </c>
      <c r="E47" s="6">
        <v>2000.0</v>
      </c>
      <c r="F47" s="6">
        <v>2500.0</v>
      </c>
      <c r="G47" s="6">
        <f t="shared" si="0"/>
        <v>88980.0</v>
      </c>
    </row>
    <row r="48" spans="8:8">
      <c r="A48" s="15" t="s">
        <v>55</v>
      </c>
      <c r="B48" s="16" t="s">
        <v>13</v>
      </c>
      <c r="C48" s="5">
        <v>201440.0</v>
      </c>
      <c r="D48" s="5">
        <v>30240.0</v>
      </c>
      <c r="E48" s="6">
        <v>2000.0</v>
      </c>
      <c r="F48" s="6">
        <v>2500.0</v>
      </c>
      <c r="G48" s="17">
        <f t="shared" si="0"/>
        <v>236180.0</v>
      </c>
    </row>
    <row r="49" spans="8:8">
      <c r="A49" s="3" t="s">
        <v>56</v>
      </c>
      <c r="B49" s="4" t="s">
        <v>13</v>
      </c>
      <c r="C49" s="5">
        <v>10800.0</v>
      </c>
      <c r="D49" s="5">
        <v>79200.0</v>
      </c>
      <c r="E49" s="6">
        <v>2000.0</v>
      </c>
      <c r="F49" s="6">
        <v>2500.0</v>
      </c>
      <c r="G49" s="6">
        <f t="shared" si="0"/>
        <v>94500.0</v>
      </c>
    </row>
    <row r="50" spans="8:8">
      <c r="A50" s="3" t="s">
        <v>57</v>
      </c>
      <c r="B50" s="4" t="s">
        <v>13</v>
      </c>
      <c r="C50" s="5">
        <v>0.01</v>
      </c>
      <c r="D50" s="5">
        <v>86400.0</v>
      </c>
      <c r="E50" s="6">
        <v>2000.0</v>
      </c>
      <c r="F50" s="6">
        <v>2500.0</v>
      </c>
      <c r="G50" s="6">
        <f t="shared" si="0"/>
        <v>90900.01</v>
      </c>
    </row>
    <row r="51" spans="8:8">
      <c r="A51" s="3" t="s">
        <v>58</v>
      </c>
      <c r="B51" s="4" t="s">
        <v>13</v>
      </c>
      <c r="C51" s="5">
        <v>0.01</v>
      </c>
      <c r="D51" s="5">
        <v>86400.0</v>
      </c>
      <c r="E51" s="6">
        <v>2000.0</v>
      </c>
      <c r="F51" s="6">
        <v>2500.0</v>
      </c>
      <c r="G51" s="6">
        <f t="shared" si="0"/>
        <v>90900.01</v>
      </c>
    </row>
    <row r="52" spans="8:8">
      <c r="A52" s="10" t="s">
        <v>59</v>
      </c>
      <c r="B52" s="11" t="s">
        <v>60</v>
      </c>
      <c r="C52" s="12">
        <v>0.01</v>
      </c>
      <c r="D52" s="12">
        <v>86400.0</v>
      </c>
      <c r="E52" s="13">
        <v>2000.0</v>
      </c>
      <c r="F52" s="13">
        <v>2500.0</v>
      </c>
      <c r="G52" s="13">
        <f t="shared" si="0"/>
        <v>90900.01</v>
      </c>
    </row>
    <row r="53" spans="8:8">
      <c r="A53" s="3" t="s">
        <v>61</v>
      </c>
      <c r="B53" s="4" t="s">
        <v>60</v>
      </c>
      <c r="C53" s="5">
        <v>18000.0</v>
      </c>
      <c r="D53" s="5">
        <v>151200.0</v>
      </c>
      <c r="E53" s="6">
        <v>2000.0</v>
      </c>
      <c r="F53" s="6">
        <v>2500.0</v>
      </c>
      <c r="G53" s="6">
        <f t="shared" si="0"/>
        <v>173700.0</v>
      </c>
    </row>
    <row r="54" spans="8:8">
      <c r="A54" s="3" t="s">
        <v>62</v>
      </c>
      <c r="B54" s="4" t="s">
        <v>60</v>
      </c>
      <c r="C54" s="5">
        <v>0.01</v>
      </c>
      <c r="D54" s="5">
        <v>86400.0</v>
      </c>
      <c r="E54" s="6">
        <v>2000.0</v>
      </c>
      <c r="F54" s="6">
        <v>2500.0</v>
      </c>
      <c r="G54" s="6">
        <f t="shared" si="0"/>
        <v>90900.01</v>
      </c>
    </row>
    <row r="55" spans="8:8">
      <c r="A55" s="3" t="s">
        <v>63</v>
      </c>
      <c r="B55" s="4" t="s">
        <v>60</v>
      </c>
      <c r="C55" s="5">
        <v>0.01</v>
      </c>
      <c r="D55" s="5">
        <v>86400.0</v>
      </c>
      <c r="E55" s="6">
        <v>2000.0</v>
      </c>
      <c r="F55" s="6">
        <v>2500.0</v>
      </c>
      <c r="G55" s="6">
        <f t="shared" si="0"/>
        <v>90900.01</v>
      </c>
    </row>
    <row r="56" spans="8:8">
      <c r="A56" s="10" t="s">
        <v>64</v>
      </c>
      <c r="B56" s="11" t="s">
        <v>65</v>
      </c>
      <c r="C56" s="12">
        <v>0.01</v>
      </c>
      <c r="D56" s="12">
        <v>63600.0</v>
      </c>
      <c r="E56" s="13">
        <v>2000.0</v>
      </c>
      <c r="F56" s="13">
        <v>2500.0</v>
      </c>
      <c r="G56" s="13">
        <f t="shared" si="0"/>
        <v>68100.01000000001</v>
      </c>
    </row>
    <row r="57" spans="8:8">
      <c r="A57" s="3" t="s">
        <v>66</v>
      </c>
      <c r="B57" s="4" t="s">
        <v>65</v>
      </c>
      <c r="C57" s="5">
        <v>0.01</v>
      </c>
      <c r="D57" s="5">
        <v>67680.0</v>
      </c>
      <c r="E57" s="6">
        <v>2000.0</v>
      </c>
      <c r="F57" s="6">
        <v>2500.0</v>
      </c>
      <c r="G57" s="6">
        <f t="shared" si="0"/>
        <v>72180.01</v>
      </c>
    </row>
    <row r="58" spans="8:8">
      <c r="A58" s="3" t="s">
        <v>67</v>
      </c>
      <c r="B58" s="4" t="s">
        <v>65</v>
      </c>
      <c r="C58" s="5">
        <v>0.01</v>
      </c>
      <c r="D58" s="5">
        <v>63600.0</v>
      </c>
      <c r="E58" s="6">
        <v>2000.0</v>
      </c>
      <c r="F58" s="6">
        <v>2500.0</v>
      </c>
      <c r="G58" s="6">
        <f t="shared" si="0"/>
        <v>68100.01000000001</v>
      </c>
    </row>
    <row r="59" spans="8:8">
      <c r="A59" s="3" t="s">
        <v>68</v>
      </c>
      <c r="B59" s="4" t="s">
        <v>65</v>
      </c>
      <c r="C59" s="5">
        <v>0.01</v>
      </c>
      <c r="D59" s="5">
        <v>67680.0</v>
      </c>
      <c r="E59" s="6">
        <v>2000.0</v>
      </c>
      <c r="F59" s="6">
        <v>2500.0</v>
      </c>
      <c r="G59" s="6">
        <f t="shared" si="0"/>
        <v>72180.01</v>
      </c>
    </row>
    <row r="60" spans="8:8">
      <c r="A60" s="3" t="s">
        <v>69</v>
      </c>
      <c r="B60" s="4" t="s">
        <v>65</v>
      </c>
      <c r="C60" s="5">
        <v>0.01</v>
      </c>
      <c r="D60" s="5">
        <v>82560.0</v>
      </c>
      <c r="E60" s="6">
        <v>2000.0</v>
      </c>
      <c r="F60" s="6">
        <v>2500.0</v>
      </c>
      <c r="G60" s="6">
        <f t="shared" si="0"/>
        <v>87060.01</v>
      </c>
    </row>
    <row r="61" spans="8:8">
      <c r="A61" s="3" t="s">
        <v>70</v>
      </c>
      <c r="B61" s="4" t="s">
        <v>65</v>
      </c>
      <c r="C61" s="5">
        <v>0.01</v>
      </c>
      <c r="D61" s="5">
        <v>63600.0</v>
      </c>
      <c r="E61" s="6">
        <v>2000.0</v>
      </c>
      <c r="F61" s="6">
        <v>2500.0</v>
      </c>
      <c r="G61" s="6">
        <f t="shared" si="0"/>
        <v>68100.01000000001</v>
      </c>
    </row>
    <row r="62" spans="8:8">
      <c r="A62" s="15" t="s">
        <v>71</v>
      </c>
      <c r="B62" s="16" t="s">
        <v>65</v>
      </c>
      <c r="C62" s="5">
        <v>0.01</v>
      </c>
      <c r="D62" s="5">
        <v>67680.0</v>
      </c>
      <c r="E62" s="6">
        <v>2000.0</v>
      </c>
      <c r="F62" s="6">
        <v>2500.0</v>
      </c>
      <c r="G62" s="6">
        <f t="shared" si="0"/>
        <v>72180.01</v>
      </c>
    </row>
    <row r="63" spans="8:8">
      <c r="A63" s="15" t="s">
        <v>72</v>
      </c>
      <c r="B63" s="16" t="s">
        <v>65</v>
      </c>
      <c r="C63" s="5">
        <v>0.01</v>
      </c>
      <c r="D63" s="5">
        <v>74880.0</v>
      </c>
      <c r="E63" s="6">
        <v>2000.0</v>
      </c>
      <c r="F63" s="6">
        <v>2500.0</v>
      </c>
      <c r="G63" s="6">
        <f t="shared" si="0"/>
        <v>79380.01</v>
      </c>
    </row>
    <row r="64" spans="8:8">
      <c r="A64" s="3" t="s">
        <v>73</v>
      </c>
      <c r="B64" s="4" t="s">
        <v>65</v>
      </c>
      <c r="C64" s="5">
        <v>0.01</v>
      </c>
      <c r="D64" s="5">
        <v>63600.0</v>
      </c>
      <c r="E64" s="6">
        <v>2000.0</v>
      </c>
      <c r="F64" s="6">
        <v>2500.0</v>
      </c>
      <c r="G64" s="6">
        <f t="shared" si="0"/>
        <v>68100.01000000001</v>
      </c>
    </row>
    <row r="65" spans="8:8">
      <c r="A65" s="3" t="s">
        <v>74</v>
      </c>
      <c r="B65" s="4" t="s">
        <v>65</v>
      </c>
      <c r="C65" s="5">
        <v>0.01</v>
      </c>
      <c r="D65" s="5">
        <v>67680.0</v>
      </c>
      <c r="E65" s="6">
        <v>2000.0</v>
      </c>
      <c r="F65" s="6">
        <v>2500.0</v>
      </c>
      <c r="G65" s="6">
        <f t="shared" si="0"/>
        <v>72180.01</v>
      </c>
    </row>
    <row r="66" spans="8:8">
      <c r="A66" s="3" t="s">
        <v>75</v>
      </c>
      <c r="B66" s="4" t="s">
        <v>65</v>
      </c>
      <c r="C66" s="5">
        <v>0.01</v>
      </c>
      <c r="D66" s="5">
        <v>104400.0</v>
      </c>
      <c r="E66" s="6">
        <v>2000.0</v>
      </c>
      <c r="F66" s="6">
        <v>2500.0</v>
      </c>
      <c r="G66" s="6">
        <f t="shared" si="1" ref="G66:G129">SUM(C66:F66)</f>
        <v>108900.01</v>
      </c>
    </row>
    <row r="67" spans="8:8">
      <c r="A67" s="3" t="s">
        <v>76</v>
      </c>
      <c r="B67" s="4" t="s">
        <v>65</v>
      </c>
      <c r="C67" s="5">
        <v>0.01</v>
      </c>
      <c r="D67" s="5">
        <v>63600.0</v>
      </c>
      <c r="E67" s="6">
        <v>2000.0</v>
      </c>
      <c r="F67" s="6">
        <v>2500.0</v>
      </c>
      <c r="G67" s="6">
        <f t="shared" si="1"/>
        <v>68100.01000000001</v>
      </c>
    </row>
    <row r="68" spans="8:8">
      <c r="A68" s="3" t="s">
        <v>77</v>
      </c>
      <c r="B68" s="4" t="s">
        <v>65</v>
      </c>
      <c r="C68" s="5">
        <v>0.01</v>
      </c>
      <c r="D68" s="5">
        <v>67680.0</v>
      </c>
      <c r="E68" s="6">
        <v>2000.0</v>
      </c>
      <c r="F68" s="6">
        <v>2500.0</v>
      </c>
      <c r="G68" s="6">
        <f t="shared" si="1"/>
        <v>72180.01</v>
      </c>
    </row>
    <row r="69" spans="8:8">
      <c r="A69" s="3" t="s">
        <v>78</v>
      </c>
      <c r="B69" s="4" t="s">
        <v>65</v>
      </c>
      <c r="C69" s="5">
        <v>0.01</v>
      </c>
      <c r="D69" s="5">
        <v>74880.0</v>
      </c>
      <c r="E69" s="6">
        <v>2000.0</v>
      </c>
      <c r="F69" s="6">
        <v>2500.0</v>
      </c>
      <c r="G69" s="6">
        <f t="shared" si="1"/>
        <v>79380.01</v>
      </c>
    </row>
    <row r="70" spans="8:8">
      <c r="A70" s="3" t="s">
        <v>79</v>
      </c>
      <c r="B70" s="4" t="s">
        <v>65</v>
      </c>
      <c r="C70" s="5">
        <v>0.01</v>
      </c>
      <c r="D70" s="5">
        <v>82560.0</v>
      </c>
      <c r="E70" s="6">
        <v>2000.0</v>
      </c>
      <c r="F70" s="6">
        <v>2500.0</v>
      </c>
      <c r="G70" s="6">
        <f t="shared" si="1"/>
        <v>87060.01</v>
      </c>
    </row>
    <row r="71" spans="8:8">
      <c r="A71" s="3" t="s">
        <v>80</v>
      </c>
      <c r="B71" s="4" t="s">
        <v>65</v>
      </c>
      <c r="C71" s="5">
        <v>0.01</v>
      </c>
      <c r="D71" s="5">
        <v>63600.0</v>
      </c>
      <c r="E71" s="6">
        <v>2000.0</v>
      </c>
      <c r="F71" s="6">
        <v>2500.0</v>
      </c>
      <c r="G71" s="6">
        <f t="shared" si="1"/>
        <v>68100.01000000001</v>
      </c>
    </row>
    <row r="72" spans="8:8">
      <c r="A72" s="3" t="s">
        <v>81</v>
      </c>
      <c r="B72" s="4" t="s">
        <v>65</v>
      </c>
      <c r="C72" s="5">
        <v>0.01</v>
      </c>
      <c r="D72" s="5">
        <v>67680.0</v>
      </c>
      <c r="E72" s="6">
        <v>2000.0</v>
      </c>
      <c r="F72" s="6">
        <v>2500.0</v>
      </c>
      <c r="G72" s="6">
        <f t="shared" si="1"/>
        <v>72180.01</v>
      </c>
    </row>
    <row r="73" spans="8:8">
      <c r="A73" s="3" t="s">
        <v>82</v>
      </c>
      <c r="B73" s="4" t="s">
        <v>65</v>
      </c>
      <c r="C73" s="5">
        <v>0.01</v>
      </c>
      <c r="D73" s="5">
        <v>127200.0</v>
      </c>
      <c r="E73" s="6">
        <v>2000.0</v>
      </c>
      <c r="F73" s="6">
        <v>2500.0</v>
      </c>
      <c r="G73" s="6">
        <f t="shared" si="1"/>
        <v>131700.01</v>
      </c>
    </row>
    <row r="74" spans="8:8">
      <c r="A74" s="3" t="s">
        <v>83</v>
      </c>
      <c r="B74" s="4" t="s">
        <v>65</v>
      </c>
      <c r="C74" s="5">
        <v>0.01</v>
      </c>
      <c r="D74" s="5">
        <v>135360.0</v>
      </c>
      <c r="E74" s="6">
        <v>2000.0</v>
      </c>
      <c r="F74" s="6">
        <v>2500.0</v>
      </c>
      <c r="G74" s="6">
        <f t="shared" si="1"/>
        <v>139860.01</v>
      </c>
    </row>
    <row r="75" spans="8:8">
      <c r="A75" s="3" t="s">
        <v>84</v>
      </c>
      <c r="B75" s="4" t="s">
        <v>65</v>
      </c>
      <c r="C75" s="5">
        <v>0.01</v>
      </c>
      <c r="D75" s="5">
        <v>67680.0</v>
      </c>
      <c r="E75" s="6">
        <v>2000.0</v>
      </c>
      <c r="F75" s="6">
        <v>2500.0</v>
      </c>
      <c r="G75" s="6">
        <f t="shared" si="1"/>
        <v>72180.01</v>
      </c>
    </row>
    <row r="76" spans="8:8">
      <c r="A76" s="3" t="s">
        <v>85</v>
      </c>
      <c r="B76" s="4" t="s">
        <v>65</v>
      </c>
      <c r="C76" s="5">
        <v>0.01</v>
      </c>
      <c r="D76" s="5">
        <v>135360.0</v>
      </c>
      <c r="E76" s="6">
        <v>2000.0</v>
      </c>
      <c r="F76" s="6">
        <v>2500.0</v>
      </c>
      <c r="G76" s="6">
        <f t="shared" si="1"/>
        <v>139860.01</v>
      </c>
    </row>
    <row r="77" spans="8:8">
      <c r="A77" s="3" t="s">
        <v>86</v>
      </c>
      <c r="B77" s="4" t="s">
        <v>65</v>
      </c>
      <c r="C77" s="5">
        <v>0.01</v>
      </c>
      <c r="D77" s="5">
        <v>67680.0</v>
      </c>
      <c r="E77" s="6">
        <v>2000.0</v>
      </c>
      <c r="F77" s="6">
        <v>2500.0</v>
      </c>
      <c r="G77" s="6">
        <f t="shared" si="1"/>
        <v>72180.01</v>
      </c>
    </row>
    <row r="78" spans="8:8">
      <c r="A78" s="3" t="s">
        <v>87</v>
      </c>
      <c r="B78" s="4" t="s">
        <v>65</v>
      </c>
      <c r="C78" s="5">
        <v>0.01</v>
      </c>
      <c r="D78" s="5">
        <v>74880.0</v>
      </c>
      <c r="E78" s="6">
        <v>2000.0</v>
      </c>
      <c r="F78" s="6">
        <v>2500.0</v>
      </c>
      <c r="G78" s="6">
        <f t="shared" si="1"/>
        <v>79380.01</v>
      </c>
    </row>
    <row r="79" spans="8:8">
      <c r="A79" s="3" t="s">
        <v>88</v>
      </c>
      <c r="B79" s="4" t="s">
        <v>65</v>
      </c>
      <c r="C79" s="5">
        <v>0.01</v>
      </c>
      <c r="D79" s="5">
        <v>82560.0</v>
      </c>
      <c r="E79" s="6">
        <v>2000.0</v>
      </c>
      <c r="F79" s="6">
        <v>2500.0</v>
      </c>
      <c r="G79" s="6">
        <f t="shared" si="1"/>
        <v>87060.01</v>
      </c>
    </row>
    <row r="80" spans="8:8">
      <c r="A80" s="3" t="s">
        <v>89</v>
      </c>
      <c r="B80" s="4" t="s">
        <v>65</v>
      </c>
      <c r="C80" s="5">
        <v>0.01</v>
      </c>
      <c r="D80" s="5">
        <v>93600.0</v>
      </c>
      <c r="E80" s="6">
        <v>2000.0</v>
      </c>
      <c r="F80" s="6">
        <v>2500.0</v>
      </c>
      <c r="G80" s="6">
        <f t="shared" si="1"/>
        <v>98100.01</v>
      </c>
    </row>
    <row r="81" spans="8:8">
      <c r="A81" s="3" t="s">
        <v>90</v>
      </c>
      <c r="B81" s="4" t="s">
        <v>65</v>
      </c>
      <c r="C81" s="5">
        <v>0.01</v>
      </c>
      <c r="D81" s="5">
        <v>100560.0</v>
      </c>
      <c r="E81" s="6">
        <v>2000.0</v>
      </c>
      <c r="F81" s="6">
        <v>2500.0</v>
      </c>
      <c r="G81" s="6">
        <f t="shared" si="1"/>
        <v>105060.01</v>
      </c>
    </row>
    <row r="82" spans="8:8">
      <c r="A82" s="3" t="s">
        <v>91</v>
      </c>
      <c r="B82" s="4" t="s">
        <v>65</v>
      </c>
      <c r="C82" s="5">
        <v>0.01</v>
      </c>
      <c r="D82" s="5">
        <v>106560.0</v>
      </c>
      <c r="E82" s="6">
        <v>2000.0</v>
      </c>
      <c r="F82" s="6">
        <v>2500.0</v>
      </c>
      <c r="G82" s="6">
        <f t="shared" si="1"/>
        <v>111060.01</v>
      </c>
    </row>
    <row r="83" spans="8:8">
      <c r="A83" s="3" t="s">
        <v>92</v>
      </c>
      <c r="B83" s="4" t="s">
        <v>65</v>
      </c>
      <c r="C83" s="5">
        <v>0.01</v>
      </c>
      <c r="D83" s="5">
        <v>63600.0</v>
      </c>
      <c r="E83" s="6">
        <v>2000.0</v>
      </c>
      <c r="F83" s="6">
        <v>2500.0</v>
      </c>
      <c r="G83" s="6">
        <f t="shared" si="1"/>
        <v>68100.01000000001</v>
      </c>
    </row>
    <row r="84" spans="8:8">
      <c r="A84" s="3" t="s">
        <v>93</v>
      </c>
      <c r="B84" s="4" t="s">
        <v>65</v>
      </c>
      <c r="C84" s="5">
        <v>0.01</v>
      </c>
      <c r="D84" s="5">
        <v>67680.0</v>
      </c>
      <c r="E84" s="6">
        <v>2000.0</v>
      </c>
      <c r="F84" s="6">
        <v>2500.0</v>
      </c>
      <c r="G84" s="6">
        <f t="shared" si="1"/>
        <v>72180.01</v>
      </c>
    </row>
    <row r="85" spans="8:8">
      <c r="A85" s="3" t="s">
        <v>94</v>
      </c>
      <c r="B85" s="4" t="s">
        <v>65</v>
      </c>
      <c r="C85" s="5">
        <v>0.01</v>
      </c>
      <c r="D85" s="5">
        <v>82560.0</v>
      </c>
      <c r="E85" s="6">
        <v>2000.0</v>
      </c>
      <c r="F85" s="6">
        <v>2500.0</v>
      </c>
      <c r="G85" s="6">
        <f t="shared" si="1"/>
        <v>87060.01</v>
      </c>
    </row>
    <row r="86" spans="8:8">
      <c r="A86" s="3" t="s">
        <v>95</v>
      </c>
      <c r="B86" s="4" t="s">
        <v>65</v>
      </c>
      <c r="C86" s="5">
        <v>0.01</v>
      </c>
      <c r="D86" s="5">
        <v>67680.0</v>
      </c>
      <c r="E86" s="6">
        <v>2000.0</v>
      </c>
      <c r="F86" s="6">
        <v>2500.0</v>
      </c>
      <c r="G86" s="6">
        <f t="shared" si="1"/>
        <v>72180.01</v>
      </c>
    </row>
    <row r="87" spans="8:8">
      <c r="A87" s="3" t="s">
        <v>96</v>
      </c>
      <c r="B87" s="4" t="s">
        <v>65</v>
      </c>
      <c r="C87" s="5">
        <v>0.01</v>
      </c>
      <c r="D87" s="5">
        <v>82560.0</v>
      </c>
      <c r="E87" s="6">
        <v>2000.0</v>
      </c>
      <c r="F87" s="6">
        <v>2500.0</v>
      </c>
      <c r="G87" s="6">
        <f t="shared" si="1"/>
        <v>87060.01</v>
      </c>
    </row>
    <row r="88" spans="8:8">
      <c r="A88" s="3" t="s">
        <v>97</v>
      </c>
      <c r="B88" s="4" t="s">
        <v>65</v>
      </c>
      <c r="C88" s="5">
        <v>0.01</v>
      </c>
      <c r="D88" s="5">
        <v>63600.0</v>
      </c>
      <c r="E88" s="6">
        <v>2000.0</v>
      </c>
      <c r="F88" s="6">
        <v>2500.0</v>
      </c>
      <c r="G88" s="6">
        <f t="shared" si="1"/>
        <v>68100.01000000001</v>
      </c>
    </row>
    <row r="89" spans="8:8">
      <c r="A89" s="3" t="s">
        <v>98</v>
      </c>
      <c r="B89" s="4" t="s">
        <v>65</v>
      </c>
      <c r="C89" s="5">
        <v>0.01</v>
      </c>
      <c r="D89" s="5">
        <v>67680.0</v>
      </c>
      <c r="E89" s="6">
        <v>2000.0</v>
      </c>
      <c r="F89" s="6">
        <v>2500.0</v>
      </c>
      <c r="G89" s="6">
        <f t="shared" si="1"/>
        <v>72180.01</v>
      </c>
    </row>
    <row r="90" spans="8:8">
      <c r="A90" s="3" t="s">
        <v>99</v>
      </c>
      <c r="B90" s="4" t="s">
        <v>65</v>
      </c>
      <c r="C90" s="5">
        <v>0.01</v>
      </c>
      <c r="D90" s="5">
        <v>82560.0</v>
      </c>
      <c r="E90" s="6">
        <v>2000.0</v>
      </c>
      <c r="F90" s="6">
        <v>2500.0</v>
      </c>
      <c r="G90" s="6">
        <f t="shared" si="1"/>
        <v>87060.01</v>
      </c>
    </row>
    <row r="91" spans="8:8">
      <c r="A91" s="3" t="s">
        <v>100</v>
      </c>
      <c r="B91" s="4" t="s">
        <v>65</v>
      </c>
      <c r="C91" s="5">
        <v>0.01</v>
      </c>
      <c r="D91" s="5">
        <v>100560.0</v>
      </c>
      <c r="E91" s="6">
        <v>2000.0</v>
      </c>
      <c r="F91" s="6">
        <v>2500.0</v>
      </c>
      <c r="G91" s="6">
        <f t="shared" si="1"/>
        <v>105060.01</v>
      </c>
    </row>
    <row r="92" spans="8:8">
      <c r="A92" s="3" t="s">
        <v>101</v>
      </c>
      <c r="B92" s="4" t="s">
        <v>65</v>
      </c>
      <c r="C92" s="5">
        <v>0.01</v>
      </c>
      <c r="D92" s="5">
        <v>106560.0</v>
      </c>
      <c r="E92" s="6">
        <v>2000.0</v>
      </c>
      <c r="F92" s="6">
        <v>2500.0</v>
      </c>
      <c r="G92" s="6">
        <f t="shared" si="1"/>
        <v>111060.01</v>
      </c>
    </row>
    <row r="93" spans="8:8">
      <c r="A93" s="3" t="s">
        <v>102</v>
      </c>
      <c r="B93" s="4" t="s">
        <v>65</v>
      </c>
      <c r="C93" s="5">
        <v>0.01</v>
      </c>
      <c r="D93" s="5">
        <v>66960.0</v>
      </c>
      <c r="E93" s="6">
        <v>2000.0</v>
      </c>
      <c r="F93" s="6">
        <v>2500.0</v>
      </c>
      <c r="G93" s="6">
        <f t="shared" si="1"/>
        <v>71460.01</v>
      </c>
    </row>
    <row r="94" spans="8:8">
      <c r="A94" s="3" t="s">
        <v>103</v>
      </c>
      <c r="B94" s="4" t="s">
        <v>65</v>
      </c>
      <c r="C94" s="19">
        <v>0.01</v>
      </c>
      <c r="D94" s="5">
        <v>63600.0</v>
      </c>
      <c r="E94" s="6">
        <v>2000.0</v>
      </c>
      <c r="F94" s="6">
        <v>2500.0</v>
      </c>
      <c r="G94" s="6">
        <f t="shared" si="1"/>
        <v>68100.01000000001</v>
      </c>
    </row>
    <row r="95" spans="8:8">
      <c r="A95" s="3" t="s">
        <v>104</v>
      </c>
      <c r="B95" s="4" t="s">
        <v>65</v>
      </c>
      <c r="C95" s="19">
        <v>0.01</v>
      </c>
      <c r="D95" s="5">
        <v>67680.0</v>
      </c>
      <c r="E95" s="6">
        <v>2000.0</v>
      </c>
      <c r="F95" s="6">
        <v>2500.0</v>
      </c>
      <c r="G95" s="6">
        <f t="shared" si="1"/>
        <v>72180.01</v>
      </c>
    </row>
    <row r="96" spans="8:8">
      <c r="A96" s="3" t="s">
        <v>105</v>
      </c>
      <c r="B96" s="4" t="s">
        <v>65</v>
      </c>
      <c r="C96" s="19">
        <v>0.01</v>
      </c>
      <c r="D96" s="5">
        <v>74880.0</v>
      </c>
      <c r="E96" s="6">
        <v>2000.0</v>
      </c>
      <c r="F96" s="6">
        <v>2500.0</v>
      </c>
      <c r="G96" s="6">
        <f t="shared" si="1"/>
        <v>79380.01</v>
      </c>
    </row>
    <row r="97" spans="8:8">
      <c r="A97" s="3" t="s">
        <v>106</v>
      </c>
      <c r="B97" s="4" t="s">
        <v>65</v>
      </c>
      <c r="C97" s="19">
        <v>0.01</v>
      </c>
      <c r="D97" s="5">
        <v>63600.0</v>
      </c>
      <c r="E97" s="6">
        <v>2000.0</v>
      </c>
      <c r="F97" s="6">
        <v>2500.0</v>
      </c>
      <c r="G97" s="6">
        <f t="shared" si="1"/>
        <v>68100.01000000001</v>
      </c>
    </row>
    <row r="98" spans="8:8">
      <c r="A98" s="3" t="s">
        <v>107</v>
      </c>
      <c r="B98" s="4" t="s">
        <v>65</v>
      </c>
      <c r="C98" s="19">
        <v>0.01</v>
      </c>
      <c r="D98" s="5">
        <v>67680.0</v>
      </c>
      <c r="E98" s="6">
        <v>2000.0</v>
      </c>
      <c r="F98" s="6">
        <v>2500.0</v>
      </c>
      <c r="G98" s="6">
        <f t="shared" si="1"/>
        <v>72180.01</v>
      </c>
    </row>
    <row r="99" spans="8:8">
      <c r="A99" s="3" t="s">
        <v>108</v>
      </c>
      <c r="B99" s="4" t="s">
        <v>65</v>
      </c>
      <c r="C99" s="19">
        <v>0.01</v>
      </c>
      <c r="D99" s="5">
        <v>67680.0</v>
      </c>
      <c r="E99" s="6">
        <v>2000.0</v>
      </c>
      <c r="F99" s="6">
        <v>2500.0</v>
      </c>
      <c r="G99" s="6">
        <f t="shared" si="1"/>
        <v>72180.01</v>
      </c>
    </row>
    <row r="100" spans="8:8">
      <c r="A100" s="3" t="s">
        <v>109</v>
      </c>
      <c r="B100" s="4" t="s">
        <v>65</v>
      </c>
      <c r="C100" s="19">
        <v>0.01</v>
      </c>
      <c r="D100" s="5">
        <v>74880.0</v>
      </c>
      <c r="E100" s="6">
        <v>2000.0</v>
      </c>
      <c r="F100" s="6">
        <v>2500.0</v>
      </c>
      <c r="G100" s="6">
        <f t="shared" si="1"/>
        <v>79380.01</v>
      </c>
    </row>
    <row r="101" spans="8:8">
      <c r="A101" s="3" t="s">
        <v>110</v>
      </c>
      <c r="B101" s="4" t="s">
        <v>65</v>
      </c>
      <c r="C101" s="5">
        <v>36000.0</v>
      </c>
      <c r="D101" s="5">
        <v>62160.0</v>
      </c>
      <c r="E101" s="6">
        <v>2000.0</v>
      </c>
      <c r="F101" s="6">
        <v>2500.0</v>
      </c>
      <c r="G101" s="6">
        <f t="shared" si="1"/>
        <v>102660.0</v>
      </c>
    </row>
    <row r="102" spans="8:8">
      <c r="A102" s="3" t="s">
        <v>111</v>
      </c>
      <c r="B102" s="4" t="s">
        <v>65</v>
      </c>
      <c r="C102" s="19">
        <v>0.01</v>
      </c>
      <c r="D102" s="5">
        <v>63600.0</v>
      </c>
      <c r="E102" s="6">
        <v>2000.0</v>
      </c>
      <c r="F102" s="6">
        <v>2500.0</v>
      </c>
      <c r="G102" s="6">
        <f t="shared" si="1"/>
        <v>68100.01000000001</v>
      </c>
    </row>
    <row r="103" spans="8:8">
      <c r="A103" s="3" t="s">
        <v>112</v>
      </c>
      <c r="B103" s="4" t="s">
        <v>65</v>
      </c>
      <c r="C103" s="19">
        <v>0.01</v>
      </c>
      <c r="D103" s="5">
        <v>67680.0</v>
      </c>
      <c r="E103" s="6">
        <v>2000.0</v>
      </c>
      <c r="F103" s="6">
        <v>2500.0</v>
      </c>
      <c r="G103" s="6">
        <f t="shared" si="1"/>
        <v>72180.01</v>
      </c>
    </row>
    <row r="104" spans="8:8">
      <c r="A104" s="3" t="s">
        <v>113</v>
      </c>
      <c r="B104" s="4" t="s">
        <v>65</v>
      </c>
      <c r="C104" s="19">
        <v>0.01</v>
      </c>
      <c r="D104" s="5">
        <v>74880.0</v>
      </c>
      <c r="E104" s="6">
        <v>2000.0</v>
      </c>
      <c r="F104" s="6">
        <v>2500.0</v>
      </c>
      <c r="G104" s="6">
        <f t="shared" si="1"/>
        <v>79380.01</v>
      </c>
    </row>
    <row r="105" spans="8:8">
      <c r="A105" s="3" t="s">
        <v>114</v>
      </c>
      <c r="B105" s="4" t="s">
        <v>65</v>
      </c>
      <c r="C105" s="19">
        <v>0.01</v>
      </c>
      <c r="D105" s="5">
        <v>63600.0</v>
      </c>
      <c r="E105" s="6">
        <v>2000.0</v>
      </c>
      <c r="F105" s="6">
        <v>2500.0</v>
      </c>
      <c r="G105" s="6">
        <f t="shared" si="1"/>
        <v>68100.01000000001</v>
      </c>
    </row>
    <row r="106" spans="8:8">
      <c r="A106" s="3" t="s">
        <v>115</v>
      </c>
      <c r="B106" s="4" t="s">
        <v>65</v>
      </c>
      <c r="C106" s="19">
        <v>0.01</v>
      </c>
      <c r="D106" s="5">
        <v>67680.0</v>
      </c>
      <c r="E106" s="6">
        <v>2000.0</v>
      </c>
      <c r="F106" s="6">
        <v>2500.0</v>
      </c>
      <c r="G106" s="6">
        <f t="shared" si="1"/>
        <v>72180.01</v>
      </c>
    </row>
    <row r="107" spans="8:8">
      <c r="A107" s="3" t="s">
        <v>116</v>
      </c>
      <c r="B107" s="4" t="s">
        <v>65</v>
      </c>
      <c r="C107" s="19">
        <v>0.01</v>
      </c>
      <c r="D107" s="5">
        <v>74880.0</v>
      </c>
      <c r="E107" s="6">
        <v>2000.0</v>
      </c>
      <c r="F107" s="6">
        <v>2500.0</v>
      </c>
      <c r="G107" s="6">
        <f t="shared" si="1"/>
        <v>79380.01</v>
      </c>
    </row>
    <row r="108" spans="8:8">
      <c r="A108" s="3" t="s">
        <v>117</v>
      </c>
      <c r="B108" s="4" t="s">
        <v>65</v>
      </c>
      <c r="C108" s="19">
        <v>0.01</v>
      </c>
      <c r="D108" s="5">
        <v>67680.0</v>
      </c>
      <c r="E108" s="6">
        <v>2000.0</v>
      </c>
      <c r="F108" s="6">
        <v>2500.0</v>
      </c>
      <c r="G108" s="6">
        <f t="shared" si="1"/>
        <v>72180.01</v>
      </c>
    </row>
    <row r="109" spans="8:8">
      <c r="A109" s="3" t="s">
        <v>118</v>
      </c>
      <c r="B109" s="4" t="s">
        <v>65</v>
      </c>
      <c r="C109" s="19">
        <v>0.01</v>
      </c>
      <c r="D109" s="5">
        <v>63600.0</v>
      </c>
      <c r="E109" s="6">
        <v>2000.0</v>
      </c>
      <c r="F109" s="6">
        <v>2500.0</v>
      </c>
      <c r="G109" s="6">
        <f t="shared" si="1"/>
        <v>68100.01000000001</v>
      </c>
    </row>
    <row r="110" spans="8:8">
      <c r="A110" s="3" t="s">
        <v>119</v>
      </c>
      <c r="B110" s="4" t="s">
        <v>65</v>
      </c>
      <c r="C110" s="19">
        <v>0.01</v>
      </c>
      <c r="D110" s="5">
        <v>67680.0</v>
      </c>
      <c r="E110" s="6">
        <v>2000.0</v>
      </c>
      <c r="F110" s="6">
        <v>2500.0</v>
      </c>
      <c r="G110" s="6">
        <f t="shared" si="1"/>
        <v>72180.01</v>
      </c>
    </row>
    <row r="111" spans="8:8">
      <c r="A111" s="3" t="s">
        <v>120</v>
      </c>
      <c r="B111" s="4" t="s">
        <v>65</v>
      </c>
      <c r="C111" s="19">
        <v>0.01</v>
      </c>
      <c r="D111" s="5">
        <v>127200.0</v>
      </c>
      <c r="E111" s="6">
        <v>2000.0</v>
      </c>
      <c r="F111" s="6">
        <v>2500.0</v>
      </c>
      <c r="G111" s="6">
        <f t="shared" si="1"/>
        <v>131700.01</v>
      </c>
    </row>
    <row r="112" spans="8:8">
      <c r="A112" s="3" t="s">
        <v>121</v>
      </c>
      <c r="B112" s="4" t="s">
        <v>65</v>
      </c>
      <c r="C112" s="19">
        <v>0.01</v>
      </c>
      <c r="D112" s="5">
        <v>135360.0</v>
      </c>
      <c r="E112" s="6">
        <v>2000.0</v>
      </c>
      <c r="F112" s="6">
        <v>2500.0</v>
      </c>
      <c r="G112" s="6">
        <f t="shared" si="1"/>
        <v>139860.01</v>
      </c>
    </row>
    <row r="113" spans="8:8">
      <c r="A113" s="3" t="s">
        <v>122</v>
      </c>
      <c r="B113" s="4" t="s">
        <v>65</v>
      </c>
      <c r="C113" s="19">
        <v>0.01</v>
      </c>
      <c r="D113" s="5">
        <v>63600.0</v>
      </c>
      <c r="E113" s="6">
        <v>2000.0</v>
      </c>
      <c r="F113" s="6">
        <v>2500.0</v>
      </c>
      <c r="G113" s="6">
        <f t="shared" si="1"/>
        <v>68100.01000000001</v>
      </c>
    </row>
    <row r="114" spans="8:8">
      <c r="A114" s="3" t="s">
        <v>123</v>
      </c>
      <c r="B114" s="4" t="s">
        <v>65</v>
      </c>
      <c r="C114" s="19">
        <v>0.01</v>
      </c>
      <c r="D114" s="5">
        <v>67680.0</v>
      </c>
      <c r="E114" s="6">
        <v>2000.0</v>
      </c>
      <c r="F114" s="6">
        <v>2500.0</v>
      </c>
      <c r="G114" s="6">
        <f t="shared" si="1"/>
        <v>72180.01</v>
      </c>
    </row>
    <row r="115" spans="8:8">
      <c r="A115" s="3" t="s">
        <v>124</v>
      </c>
      <c r="B115" s="4" t="s">
        <v>65</v>
      </c>
      <c r="C115" s="19">
        <v>0.01</v>
      </c>
      <c r="D115" s="5">
        <v>74880.0</v>
      </c>
      <c r="E115" s="6">
        <v>2000.0</v>
      </c>
      <c r="F115" s="6">
        <v>2500.0</v>
      </c>
      <c r="G115" s="6">
        <f t="shared" si="1"/>
        <v>79380.01</v>
      </c>
    </row>
    <row r="116" spans="8:8">
      <c r="A116" s="3" t="s">
        <v>125</v>
      </c>
      <c r="B116" s="4" t="s">
        <v>65</v>
      </c>
      <c r="C116" s="19">
        <v>0.01</v>
      </c>
      <c r="D116" s="5">
        <v>82560.0</v>
      </c>
      <c r="E116" s="6">
        <v>2000.0</v>
      </c>
      <c r="F116" s="6">
        <v>2500.0</v>
      </c>
      <c r="G116" s="6">
        <f t="shared" si="1"/>
        <v>87060.01</v>
      </c>
    </row>
    <row r="117" spans="8:8">
      <c r="A117" s="3" t="s">
        <v>126</v>
      </c>
      <c r="B117" s="4" t="s">
        <v>65</v>
      </c>
      <c r="C117" s="19">
        <v>0.01</v>
      </c>
      <c r="D117" s="5">
        <v>93600.0</v>
      </c>
      <c r="E117" s="6">
        <v>2000.0</v>
      </c>
      <c r="F117" s="6">
        <v>2500.0</v>
      </c>
      <c r="G117" s="6">
        <f t="shared" si="1"/>
        <v>98100.01</v>
      </c>
    </row>
    <row r="118" spans="8:8">
      <c r="A118" s="3" t="s">
        <v>127</v>
      </c>
      <c r="B118" s="4" t="s">
        <v>65</v>
      </c>
      <c r="C118" s="19">
        <v>0.01</v>
      </c>
      <c r="D118" s="5">
        <v>127200.0</v>
      </c>
      <c r="E118" s="6">
        <v>2000.0</v>
      </c>
      <c r="F118" s="6">
        <v>2500.0</v>
      </c>
      <c r="G118" s="6">
        <f t="shared" si="1"/>
        <v>131700.01</v>
      </c>
    </row>
    <row r="119" spans="8:8">
      <c r="A119" s="3" t="s">
        <v>128</v>
      </c>
      <c r="B119" s="4" t="s">
        <v>65</v>
      </c>
      <c r="C119" s="19">
        <v>0.01</v>
      </c>
      <c r="D119" s="5">
        <v>135360.0</v>
      </c>
      <c r="E119" s="6">
        <v>2000.0</v>
      </c>
      <c r="F119" s="6">
        <v>2500.0</v>
      </c>
      <c r="G119" s="6">
        <f t="shared" si="1"/>
        <v>139860.01</v>
      </c>
    </row>
    <row r="120" spans="8:8">
      <c r="A120" s="3" t="s">
        <v>129</v>
      </c>
      <c r="B120" s="4" t="s">
        <v>65</v>
      </c>
      <c r="C120" s="19">
        <v>0.01</v>
      </c>
      <c r="D120" s="5">
        <v>149760.0</v>
      </c>
      <c r="E120" s="6">
        <v>2000.0</v>
      </c>
      <c r="F120" s="6">
        <v>2500.0</v>
      </c>
      <c r="G120" s="6">
        <f t="shared" si="1"/>
        <v>154260.01</v>
      </c>
    </row>
    <row r="121" spans="8:8">
      <c r="A121" s="3" t="s">
        <v>130</v>
      </c>
      <c r="B121" s="4" t="s">
        <v>65</v>
      </c>
      <c r="C121" s="19">
        <v>0.01</v>
      </c>
      <c r="D121" s="5">
        <v>165120.0</v>
      </c>
      <c r="E121" s="6">
        <v>2000.0</v>
      </c>
      <c r="F121" s="6">
        <v>2500.0</v>
      </c>
      <c r="G121" s="6">
        <f t="shared" si="1"/>
        <v>169620.01</v>
      </c>
    </row>
    <row r="122" spans="8:8">
      <c r="A122" s="3" t="s">
        <v>131</v>
      </c>
      <c r="B122" s="4" t="s">
        <v>65</v>
      </c>
      <c r="C122" s="19">
        <v>0.01</v>
      </c>
      <c r="D122" s="5">
        <v>187200.0</v>
      </c>
      <c r="E122" s="6">
        <v>2000.0</v>
      </c>
      <c r="F122" s="6">
        <v>2500.0</v>
      </c>
      <c r="G122" s="6">
        <f t="shared" si="1"/>
        <v>191700.01</v>
      </c>
    </row>
    <row r="123" spans="8:8">
      <c r="A123" s="3" t="s">
        <v>132</v>
      </c>
      <c r="B123" s="4" t="s">
        <v>65</v>
      </c>
      <c r="C123" s="19">
        <v>0.01</v>
      </c>
      <c r="D123" s="5">
        <v>63600.0</v>
      </c>
      <c r="E123" s="6">
        <v>2000.0</v>
      </c>
      <c r="F123" s="6">
        <v>2500.0</v>
      </c>
      <c r="G123" s="6">
        <f t="shared" si="1"/>
        <v>68100.01000000001</v>
      </c>
    </row>
    <row r="124" spans="8:8">
      <c r="A124" s="3" t="s">
        <v>133</v>
      </c>
      <c r="B124" s="4" t="s">
        <v>65</v>
      </c>
      <c r="C124" s="19">
        <v>0.01</v>
      </c>
      <c r="D124" s="5">
        <v>67680.0</v>
      </c>
      <c r="E124" s="6">
        <v>2000.0</v>
      </c>
      <c r="F124" s="6">
        <v>2500.0</v>
      </c>
      <c r="G124" s="6">
        <f t="shared" si="1"/>
        <v>72180.01</v>
      </c>
    </row>
    <row r="125" spans="8:8">
      <c r="A125" s="3" t="s">
        <v>134</v>
      </c>
      <c r="B125" s="4" t="s">
        <v>65</v>
      </c>
      <c r="C125" s="19">
        <v>0.01</v>
      </c>
      <c r="D125" s="5">
        <v>74880.0</v>
      </c>
      <c r="E125" s="6">
        <v>2000.0</v>
      </c>
      <c r="F125" s="6">
        <v>2500.0</v>
      </c>
      <c r="G125" s="6">
        <f t="shared" si="1"/>
        <v>79380.01</v>
      </c>
    </row>
    <row r="126" spans="8:8">
      <c r="A126" s="3" t="s">
        <v>135</v>
      </c>
      <c r="B126" s="4" t="s">
        <v>65</v>
      </c>
      <c r="C126" s="19">
        <v>0.01</v>
      </c>
      <c r="D126" s="5">
        <v>63600.0</v>
      </c>
      <c r="E126" s="6">
        <v>2000.0</v>
      </c>
      <c r="F126" s="6">
        <v>2500.0</v>
      </c>
      <c r="G126" s="6">
        <f t="shared" si="1"/>
        <v>68100.01000000001</v>
      </c>
    </row>
    <row r="127" spans="8:8">
      <c r="A127" s="3" t="s">
        <v>136</v>
      </c>
      <c r="B127" s="4" t="s">
        <v>65</v>
      </c>
      <c r="C127" s="19">
        <v>0.01</v>
      </c>
      <c r="D127" s="5">
        <v>67680.0</v>
      </c>
      <c r="E127" s="6">
        <v>2000.0</v>
      </c>
      <c r="F127" s="6">
        <v>2500.0</v>
      </c>
      <c r="G127" s="6">
        <f t="shared" si="1"/>
        <v>72180.01</v>
      </c>
    </row>
    <row r="128" spans="8:8">
      <c r="A128" s="3" t="s">
        <v>137</v>
      </c>
      <c r="B128" s="4" t="s">
        <v>65</v>
      </c>
      <c r="C128" s="19">
        <v>0.01</v>
      </c>
      <c r="D128" s="5">
        <v>127200.0</v>
      </c>
      <c r="E128" s="6">
        <v>2000.0</v>
      </c>
      <c r="F128" s="6">
        <v>2500.0</v>
      </c>
      <c r="G128" s="6">
        <f t="shared" si="1"/>
        <v>131700.01</v>
      </c>
    </row>
    <row r="129" spans="8:8">
      <c r="A129" s="3" t="s">
        <v>138</v>
      </c>
      <c r="B129" s="4" t="s">
        <v>65</v>
      </c>
      <c r="C129" s="19">
        <v>0.01</v>
      </c>
      <c r="D129" s="5">
        <v>135360.0</v>
      </c>
      <c r="E129" s="6">
        <v>2000.0</v>
      </c>
      <c r="F129" s="6">
        <v>2500.0</v>
      </c>
      <c r="G129" s="6">
        <f t="shared" si="1"/>
        <v>139860.01</v>
      </c>
    </row>
    <row r="130" spans="8:8">
      <c r="A130" s="3" t="s">
        <v>139</v>
      </c>
      <c r="B130" s="4" t="s">
        <v>65</v>
      </c>
      <c r="C130" s="19">
        <v>0.01</v>
      </c>
      <c r="D130" s="5">
        <v>63600.0</v>
      </c>
      <c r="E130" s="6">
        <v>2000.0</v>
      </c>
      <c r="F130" s="6">
        <v>2500.0</v>
      </c>
      <c r="G130" s="6">
        <f t="shared" si="2" ref="G130:G193">SUM(C130:F130)</f>
        <v>68100.01000000001</v>
      </c>
    </row>
    <row r="131" spans="8:8">
      <c r="A131" s="3" t="s">
        <v>140</v>
      </c>
      <c r="B131" s="4" t="s">
        <v>65</v>
      </c>
      <c r="C131" s="19">
        <v>0.01</v>
      </c>
      <c r="D131" s="5">
        <v>67680.0</v>
      </c>
      <c r="E131" s="6">
        <v>2000.0</v>
      </c>
      <c r="F131" s="6">
        <v>2500.0</v>
      </c>
      <c r="G131" s="6">
        <f t="shared" si="2"/>
        <v>72180.01</v>
      </c>
    </row>
    <row r="132" spans="8:8">
      <c r="A132" s="3" t="s">
        <v>141</v>
      </c>
      <c r="B132" s="4" t="s">
        <v>65</v>
      </c>
      <c r="C132" s="19">
        <v>0.01</v>
      </c>
      <c r="D132" s="5">
        <v>74880.0</v>
      </c>
      <c r="E132" s="6">
        <v>2000.0</v>
      </c>
      <c r="F132" s="6">
        <v>2500.0</v>
      </c>
      <c r="G132" s="6">
        <f t="shared" si="2"/>
        <v>79380.01</v>
      </c>
    </row>
    <row r="133" spans="8:8">
      <c r="A133" s="3" t="s">
        <v>142</v>
      </c>
      <c r="B133" s="4" t="s">
        <v>65</v>
      </c>
      <c r="C133" s="19">
        <v>0.01</v>
      </c>
      <c r="D133" s="5">
        <v>127200.0</v>
      </c>
      <c r="E133" s="6">
        <v>2000.0</v>
      </c>
      <c r="F133" s="6">
        <v>2500.0</v>
      </c>
      <c r="G133" s="6">
        <f t="shared" si="2"/>
        <v>131700.01</v>
      </c>
    </row>
    <row r="134" spans="8:8">
      <c r="A134" s="3" t="s">
        <v>143</v>
      </c>
      <c r="B134" s="4" t="s">
        <v>65</v>
      </c>
      <c r="C134" s="19">
        <v>0.01</v>
      </c>
      <c r="D134" s="5">
        <v>135360.0</v>
      </c>
      <c r="E134" s="6">
        <v>2000.0</v>
      </c>
      <c r="F134" s="6">
        <v>2500.0</v>
      </c>
      <c r="G134" s="6">
        <f t="shared" si="2"/>
        <v>139860.01</v>
      </c>
    </row>
    <row r="135" spans="8:8">
      <c r="A135" s="3" t="s">
        <v>144</v>
      </c>
      <c r="B135" s="4" t="s">
        <v>65</v>
      </c>
      <c r="C135" s="19">
        <v>0.01</v>
      </c>
      <c r="D135" s="5">
        <v>149760.0</v>
      </c>
      <c r="E135" s="6">
        <v>2000.0</v>
      </c>
      <c r="F135" s="6">
        <v>2500.0</v>
      </c>
      <c r="G135" s="6">
        <f t="shared" si="2"/>
        <v>154260.01</v>
      </c>
    </row>
    <row r="136" spans="8:8">
      <c r="A136" s="3" t="s">
        <v>145</v>
      </c>
      <c r="B136" s="4" t="s">
        <v>65</v>
      </c>
      <c r="C136" s="19">
        <v>0.01</v>
      </c>
      <c r="D136" s="5">
        <v>63600.0</v>
      </c>
      <c r="E136" s="6">
        <v>2000.0</v>
      </c>
      <c r="F136" s="6">
        <v>2500.0</v>
      </c>
      <c r="G136" s="6">
        <f t="shared" si="2"/>
        <v>68100.01000000001</v>
      </c>
    </row>
    <row r="137" spans="8:8">
      <c r="A137" s="3" t="s">
        <v>146</v>
      </c>
      <c r="B137" s="4" t="s">
        <v>65</v>
      </c>
      <c r="C137" s="19">
        <v>0.01</v>
      </c>
      <c r="D137" s="5">
        <v>67680.0</v>
      </c>
      <c r="E137" s="6">
        <v>2000.0</v>
      </c>
      <c r="F137" s="6">
        <v>2500.0</v>
      </c>
      <c r="G137" s="6">
        <f t="shared" si="2"/>
        <v>72180.01</v>
      </c>
    </row>
    <row r="138" spans="8:8">
      <c r="A138" s="3" t="s">
        <v>147</v>
      </c>
      <c r="B138" s="4" t="s">
        <v>65</v>
      </c>
      <c r="C138" s="19">
        <v>0.01</v>
      </c>
      <c r="D138" s="5">
        <v>74880.0</v>
      </c>
      <c r="E138" s="6">
        <v>2000.0</v>
      </c>
      <c r="F138" s="6">
        <v>2500.0</v>
      </c>
      <c r="G138" s="6">
        <f t="shared" si="2"/>
        <v>79380.01</v>
      </c>
    </row>
    <row r="139" spans="8:8">
      <c r="A139" s="3" t="s">
        <v>148</v>
      </c>
      <c r="B139" s="4" t="s">
        <v>65</v>
      </c>
      <c r="C139" s="19">
        <v>0.01</v>
      </c>
      <c r="D139" s="5">
        <v>67680.0</v>
      </c>
      <c r="E139" s="6">
        <v>2000.0</v>
      </c>
      <c r="F139" s="6">
        <v>2500.0</v>
      </c>
      <c r="G139" s="6">
        <f t="shared" si="2"/>
        <v>72180.01</v>
      </c>
    </row>
    <row r="140" spans="8:8">
      <c r="A140" s="3" t="s">
        <v>149</v>
      </c>
      <c r="B140" s="4" t="s">
        <v>65</v>
      </c>
      <c r="C140" s="19">
        <v>0.01</v>
      </c>
      <c r="D140" s="5">
        <v>74880.0</v>
      </c>
      <c r="E140" s="6">
        <v>2000.0</v>
      </c>
      <c r="F140" s="6">
        <v>2500.0</v>
      </c>
      <c r="G140" s="6">
        <f t="shared" si="2"/>
        <v>79380.01</v>
      </c>
    </row>
    <row r="141" spans="8:8">
      <c r="A141" s="3" t="s">
        <v>150</v>
      </c>
      <c r="B141" s="4" t="s">
        <v>65</v>
      </c>
      <c r="C141" s="19">
        <v>0.01</v>
      </c>
      <c r="D141" s="5">
        <v>100560.0</v>
      </c>
      <c r="E141" s="6">
        <v>2000.0</v>
      </c>
      <c r="F141" s="6">
        <v>2500.0</v>
      </c>
      <c r="G141" s="6">
        <f t="shared" si="2"/>
        <v>105060.01</v>
      </c>
    </row>
    <row r="142" spans="8:8">
      <c r="A142" s="3" t="s">
        <v>151</v>
      </c>
      <c r="B142" s="4" t="s">
        <v>65</v>
      </c>
      <c r="C142" s="19">
        <v>0.01</v>
      </c>
      <c r="D142" s="5">
        <v>135360.0</v>
      </c>
      <c r="E142" s="6">
        <v>2000.0</v>
      </c>
      <c r="F142" s="6">
        <v>2500.0</v>
      </c>
      <c r="G142" s="6">
        <f t="shared" si="2"/>
        <v>139860.01</v>
      </c>
    </row>
    <row r="143" spans="8:8">
      <c r="A143" s="3" t="s">
        <v>152</v>
      </c>
      <c r="B143" s="4" t="s">
        <v>65</v>
      </c>
      <c r="C143" s="19">
        <v>0.01</v>
      </c>
      <c r="D143" s="5">
        <v>149760.0</v>
      </c>
      <c r="E143" s="6">
        <v>2000.0</v>
      </c>
      <c r="F143" s="6">
        <v>2500.0</v>
      </c>
      <c r="G143" s="6">
        <f t="shared" si="2"/>
        <v>154260.01</v>
      </c>
    </row>
    <row r="144" spans="8:8">
      <c r="A144" s="3" t="s">
        <v>153</v>
      </c>
      <c r="B144" s="4" t="s">
        <v>65</v>
      </c>
      <c r="C144" s="19">
        <v>0.01</v>
      </c>
      <c r="D144" s="5">
        <v>312000.0</v>
      </c>
      <c r="E144" s="6">
        <v>2000.0</v>
      </c>
      <c r="F144" s="6">
        <v>2500.0</v>
      </c>
      <c r="G144" s="6">
        <f t="shared" si="2"/>
        <v>316500.01</v>
      </c>
    </row>
    <row r="145" spans="8:8">
      <c r="A145" s="3" t="s">
        <v>154</v>
      </c>
      <c r="B145" s="4" t="s">
        <v>65</v>
      </c>
      <c r="C145" s="19">
        <v>0.01</v>
      </c>
      <c r="D145" s="5">
        <v>60000.0</v>
      </c>
      <c r="E145" s="6">
        <v>2000.0</v>
      </c>
      <c r="F145" s="6">
        <v>2500.0</v>
      </c>
      <c r="G145" s="6">
        <f t="shared" si="2"/>
        <v>64500.01</v>
      </c>
    </row>
    <row r="146" spans="8:8">
      <c r="A146" s="3" t="s">
        <v>155</v>
      </c>
      <c r="B146" s="4" t="s">
        <v>65</v>
      </c>
      <c r="C146" s="19">
        <v>0.01</v>
      </c>
      <c r="D146" s="5">
        <v>63600.0</v>
      </c>
      <c r="E146" s="6">
        <v>2000.0</v>
      </c>
      <c r="F146" s="6">
        <v>2500.0</v>
      </c>
      <c r="G146" s="6">
        <f t="shared" si="2"/>
        <v>68100.01000000001</v>
      </c>
    </row>
    <row r="147" spans="8:8">
      <c r="A147" s="3" t="s">
        <v>156</v>
      </c>
      <c r="B147" s="4" t="s">
        <v>65</v>
      </c>
      <c r="C147" s="19">
        <v>0.01</v>
      </c>
      <c r="D147" s="5">
        <v>67680.0</v>
      </c>
      <c r="E147" s="6">
        <v>2000.0</v>
      </c>
      <c r="F147" s="6">
        <v>2500.0</v>
      </c>
      <c r="G147" s="6">
        <f t="shared" si="2"/>
        <v>72180.01</v>
      </c>
    </row>
    <row r="148" spans="8:8">
      <c r="A148" s="3" t="s">
        <v>157</v>
      </c>
      <c r="B148" s="4" t="s">
        <v>65</v>
      </c>
      <c r="C148" s="19">
        <v>0.01</v>
      </c>
      <c r="D148" s="5">
        <v>63600.0</v>
      </c>
      <c r="E148" s="6">
        <v>2000.0</v>
      </c>
      <c r="F148" s="6">
        <v>2500.0</v>
      </c>
      <c r="G148" s="6">
        <f t="shared" si="2"/>
        <v>68100.01000000001</v>
      </c>
    </row>
    <row r="149" spans="8:8">
      <c r="A149" s="3" t="s">
        <v>158</v>
      </c>
      <c r="B149" s="4" t="s">
        <v>65</v>
      </c>
      <c r="C149" s="19">
        <v>0.01</v>
      </c>
      <c r="D149" s="5">
        <v>67680.0</v>
      </c>
      <c r="E149" s="6">
        <v>2000.0</v>
      </c>
      <c r="F149" s="6">
        <v>2500.0</v>
      </c>
      <c r="G149" s="6">
        <f t="shared" si="2"/>
        <v>72180.01</v>
      </c>
    </row>
    <row r="150" spans="8:8">
      <c r="A150" s="3" t="s">
        <v>159</v>
      </c>
      <c r="B150" s="4" t="s">
        <v>65</v>
      </c>
      <c r="C150" s="19">
        <v>0.01</v>
      </c>
      <c r="D150" s="5">
        <v>74880.0</v>
      </c>
      <c r="E150" s="6">
        <v>2000.0</v>
      </c>
      <c r="F150" s="6">
        <v>2500.0</v>
      </c>
      <c r="G150" s="6">
        <f t="shared" si="2"/>
        <v>79380.01</v>
      </c>
    </row>
    <row r="151" spans="8:8">
      <c r="A151" s="3" t="s">
        <v>160</v>
      </c>
      <c r="B151" s="4" t="s">
        <v>65</v>
      </c>
      <c r="C151" s="19">
        <v>0.01</v>
      </c>
      <c r="D151" s="5">
        <v>67680.0</v>
      </c>
      <c r="E151" s="6">
        <v>2000.0</v>
      </c>
      <c r="F151" s="6">
        <v>2500.0</v>
      </c>
      <c r="G151" s="6">
        <f t="shared" si="2"/>
        <v>72180.01</v>
      </c>
    </row>
    <row r="152" spans="8:8">
      <c r="A152" s="3" t="s">
        <v>161</v>
      </c>
      <c r="B152" s="4" t="s">
        <v>65</v>
      </c>
      <c r="C152" s="19">
        <v>0.01</v>
      </c>
      <c r="D152" s="5">
        <v>74880.0</v>
      </c>
      <c r="E152" s="6">
        <v>2000.0</v>
      </c>
      <c r="F152" s="6">
        <v>2500.0</v>
      </c>
      <c r="G152" s="6">
        <f t="shared" si="2"/>
        <v>79380.01</v>
      </c>
    </row>
    <row r="153" spans="8:8">
      <c r="A153" s="3" t="s">
        <v>162</v>
      </c>
      <c r="B153" s="4" t="s">
        <v>65</v>
      </c>
      <c r="C153" s="19">
        <v>0.01</v>
      </c>
      <c r="D153" s="5">
        <v>135360.0</v>
      </c>
      <c r="E153" s="6">
        <v>2000.0</v>
      </c>
      <c r="F153" s="6">
        <v>2500.0</v>
      </c>
      <c r="G153" s="6">
        <f t="shared" si="2"/>
        <v>139860.01</v>
      </c>
    </row>
    <row r="154" spans="8:8">
      <c r="A154" s="3" t="s">
        <v>163</v>
      </c>
      <c r="B154" s="4" t="s">
        <v>65</v>
      </c>
      <c r="C154" s="19">
        <v>0.01</v>
      </c>
      <c r="D154" s="5">
        <v>149760.0</v>
      </c>
      <c r="E154" s="6">
        <v>2000.0</v>
      </c>
      <c r="F154" s="6">
        <v>2500.0</v>
      </c>
      <c r="G154" s="6">
        <f t="shared" si="2"/>
        <v>154260.01</v>
      </c>
    </row>
    <row r="155" spans="8:8">
      <c r="A155" s="3" t="s">
        <v>164</v>
      </c>
      <c r="B155" s="4" t="s">
        <v>65</v>
      </c>
      <c r="C155" s="19">
        <v>0.01</v>
      </c>
      <c r="D155" s="5">
        <v>58560.0</v>
      </c>
      <c r="E155" s="6">
        <v>2000.0</v>
      </c>
      <c r="F155" s="6">
        <v>2500.0</v>
      </c>
      <c r="G155" s="6">
        <f t="shared" si="2"/>
        <v>63060.01</v>
      </c>
    </row>
    <row r="156" spans="8:8">
      <c r="A156" s="3" t="s">
        <v>165</v>
      </c>
      <c r="B156" s="4" t="s">
        <v>65</v>
      </c>
      <c r="C156" s="19">
        <v>0.01</v>
      </c>
      <c r="D156" s="5">
        <v>65760.0</v>
      </c>
      <c r="E156" s="6">
        <v>2000.0</v>
      </c>
      <c r="F156" s="6">
        <v>2500.0</v>
      </c>
      <c r="G156" s="6">
        <f t="shared" si="2"/>
        <v>70260.01</v>
      </c>
    </row>
    <row r="157" spans="8:8">
      <c r="A157" s="3" t="s">
        <v>166</v>
      </c>
      <c r="B157" s="4" t="s">
        <v>65</v>
      </c>
      <c r="C157" s="19">
        <v>0.01</v>
      </c>
      <c r="D157" s="5">
        <v>63600.0</v>
      </c>
      <c r="E157" s="6">
        <v>2000.0</v>
      </c>
      <c r="F157" s="6">
        <v>2500.0</v>
      </c>
      <c r="G157" s="6">
        <f t="shared" si="2"/>
        <v>68100.01000000001</v>
      </c>
    </row>
    <row r="158" spans="8:8">
      <c r="A158" s="3" t="s">
        <v>167</v>
      </c>
      <c r="B158" s="4" t="s">
        <v>65</v>
      </c>
      <c r="C158" s="19">
        <v>0.01</v>
      </c>
      <c r="D158" s="5">
        <v>67680.0</v>
      </c>
      <c r="E158" s="6">
        <v>2000.0</v>
      </c>
      <c r="F158" s="6">
        <v>2500.0</v>
      </c>
      <c r="G158" s="6">
        <f t="shared" si="2"/>
        <v>72180.01</v>
      </c>
    </row>
    <row r="159" spans="8:8">
      <c r="A159" s="3" t="s">
        <v>168</v>
      </c>
      <c r="B159" s="4" t="s">
        <v>65</v>
      </c>
      <c r="C159" s="19">
        <v>0.01</v>
      </c>
      <c r="D159" s="5">
        <v>127200.0</v>
      </c>
      <c r="E159" s="6">
        <v>2000.0</v>
      </c>
      <c r="F159" s="6">
        <v>2500.0</v>
      </c>
      <c r="G159" s="6">
        <f t="shared" si="2"/>
        <v>131700.01</v>
      </c>
    </row>
    <row r="160" spans="8:8">
      <c r="A160" s="3" t="s">
        <v>169</v>
      </c>
      <c r="B160" s="4" t="s">
        <v>65</v>
      </c>
      <c r="C160" s="19">
        <v>0.01</v>
      </c>
      <c r="D160" s="5">
        <v>135360.0</v>
      </c>
      <c r="E160" s="6">
        <v>2000.0</v>
      </c>
      <c r="F160" s="6">
        <v>2500.0</v>
      </c>
      <c r="G160" s="6">
        <f t="shared" si="2"/>
        <v>139860.01</v>
      </c>
    </row>
    <row r="161" spans="8:8">
      <c r="A161" s="3" t="s">
        <v>170</v>
      </c>
      <c r="B161" s="4" t="s">
        <v>65</v>
      </c>
      <c r="C161" s="19">
        <v>0.01</v>
      </c>
      <c r="D161" s="5">
        <v>63600.0</v>
      </c>
      <c r="E161" s="6">
        <v>2000.0</v>
      </c>
      <c r="F161" s="6">
        <v>2500.0</v>
      </c>
      <c r="G161" s="6">
        <f t="shared" si="2"/>
        <v>68100.01000000001</v>
      </c>
    </row>
    <row r="162" spans="8:8">
      <c r="A162" s="3" t="s">
        <v>171</v>
      </c>
      <c r="B162" s="4" t="s">
        <v>65</v>
      </c>
      <c r="C162" s="19">
        <v>0.01</v>
      </c>
      <c r="D162" s="5">
        <v>67680.0</v>
      </c>
      <c r="E162" s="6">
        <v>2000.0</v>
      </c>
      <c r="F162" s="6">
        <v>2500.0</v>
      </c>
      <c r="G162" s="6">
        <f t="shared" si="2"/>
        <v>72180.01</v>
      </c>
    </row>
    <row r="163" spans="8:8">
      <c r="A163" s="3" t="s">
        <v>172</v>
      </c>
      <c r="B163" s="4" t="s">
        <v>65</v>
      </c>
      <c r="C163" s="19">
        <v>0.01</v>
      </c>
      <c r="D163" s="5">
        <v>74880.0</v>
      </c>
      <c r="E163" s="6">
        <v>2000.0</v>
      </c>
      <c r="F163" s="6">
        <v>2500.0</v>
      </c>
      <c r="G163" s="6">
        <f t="shared" si="2"/>
        <v>79380.01</v>
      </c>
    </row>
    <row r="164" spans="8:8">
      <c r="A164" s="3" t="s">
        <v>173</v>
      </c>
      <c r="B164" s="4" t="s">
        <v>65</v>
      </c>
      <c r="C164" s="19">
        <v>0.01</v>
      </c>
      <c r="D164" s="5">
        <v>127200.0</v>
      </c>
      <c r="E164" s="6">
        <v>2000.0</v>
      </c>
      <c r="F164" s="6">
        <v>2500.0</v>
      </c>
      <c r="G164" s="6">
        <f t="shared" si="2"/>
        <v>131700.01</v>
      </c>
    </row>
    <row r="165" spans="8:8">
      <c r="A165" s="3" t="s">
        <v>174</v>
      </c>
      <c r="B165" s="4" t="s">
        <v>65</v>
      </c>
      <c r="C165" s="19">
        <v>0.01</v>
      </c>
      <c r="D165" s="5">
        <v>135360.0</v>
      </c>
      <c r="E165" s="6">
        <v>2000.0</v>
      </c>
      <c r="F165" s="6">
        <v>2500.0</v>
      </c>
      <c r="G165" s="6">
        <f t="shared" si="2"/>
        <v>139860.01</v>
      </c>
    </row>
    <row r="166" spans="8:8">
      <c r="A166" s="3" t="s">
        <v>175</v>
      </c>
      <c r="B166" s="4" t="s">
        <v>65</v>
      </c>
      <c r="C166" s="19">
        <v>0.01</v>
      </c>
      <c r="D166" s="5">
        <v>149760.0</v>
      </c>
      <c r="E166" s="6">
        <v>2000.0</v>
      </c>
      <c r="F166" s="6">
        <v>2500.0</v>
      </c>
      <c r="G166" s="6">
        <f t="shared" si="2"/>
        <v>154260.01</v>
      </c>
    </row>
    <row r="167" spans="8:8">
      <c r="A167" s="3" t="s">
        <v>176</v>
      </c>
      <c r="B167" s="4" t="s">
        <v>65</v>
      </c>
      <c r="C167" s="19">
        <v>0.01</v>
      </c>
      <c r="D167" s="5">
        <v>59280.0</v>
      </c>
      <c r="E167" s="6">
        <v>2000.0</v>
      </c>
      <c r="F167" s="6">
        <v>2500.0</v>
      </c>
      <c r="G167" s="6">
        <f t="shared" si="2"/>
        <v>63780.01</v>
      </c>
    </row>
    <row r="168" spans="8:8">
      <c r="A168" s="3" t="s">
        <v>177</v>
      </c>
      <c r="B168" s="4" t="s">
        <v>65</v>
      </c>
      <c r="C168" s="19">
        <v>0.01</v>
      </c>
      <c r="D168" s="5">
        <v>74880.0</v>
      </c>
      <c r="E168" s="6">
        <v>2000.0</v>
      </c>
      <c r="F168" s="6">
        <v>2500.0</v>
      </c>
      <c r="G168" s="6">
        <f t="shared" si="2"/>
        <v>79380.01</v>
      </c>
    </row>
    <row r="169" spans="8:8">
      <c r="A169" s="3" t="s">
        <v>178</v>
      </c>
      <c r="B169" s="4" t="s">
        <v>65</v>
      </c>
      <c r="C169" s="5">
        <v>43200.0</v>
      </c>
      <c r="D169" s="5">
        <v>1124880.0</v>
      </c>
      <c r="E169" s="6">
        <v>2000.0</v>
      </c>
      <c r="F169" s="6">
        <v>2500.0</v>
      </c>
      <c r="G169" s="6">
        <f t="shared" si="2"/>
        <v>1172580.0</v>
      </c>
    </row>
    <row r="170" spans="8:8">
      <c r="A170" s="3" t="s">
        <v>179</v>
      </c>
      <c r="B170" s="4" t="s">
        <v>65</v>
      </c>
      <c r="C170" s="19">
        <v>0.01</v>
      </c>
      <c r="D170" s="5">
        <v>144240.0</v>
      </c>
      <c r="E170" s="6">
        <v>2000.0</v>
      </c>
      <c r="F170" s="6">
        <v>2500.0</v>
      </c>
      <c r="G170" s="6">
        <f t="shared" si="2"/>
        <v>148740.01</v>
      </c>
    </row>
    <row r="171" spans="8:8">
      <c r="A171" s="3" t="s">
        <v>180</v>
      </c>
      <c r="B171" s="4" t="s">
        <v>65</v>
      </c>
      <c r="C171" s="19">
        <v>0.01</v>
      </c>
      <c r="D171" s="5">
        <v>67680.0</v>
      </c>
      <c r="E171" s="6">
        <v>2000.0</v>
      </c>
      <c r="F171" s="6">
        <v>2500.0</v>
      </c>
      <c r="G171" s="6">
        <f t="shared" si="2"/>
        <v>72180.01</v>
      </c>
    </row>
    <row r="172" spans="8:8">
      <c r="A172" s="3" t="s">
        <v>181</v>
      </c>
      <c r="B172" s="4" t="s">
        <v>65</v>
      </c>
      <c r="C172" s="19">
        <v>0.01</v>
      </c>
      <c r="D172" s="5">
        <v>135360.0</v>
      </c>
      <c r="E172" s="6">
        <v>2000.0</v>
      </c>
      <c r="F172" s="6">
        <v>2500.0</v>
      </c>
      <c r="G172" s="6">
        <f t="shared" si="2"/>
        <v>139860.01</v>
      </c>
    </row>
    <row r="173" spans="8:8">
      <c r="A173" s="3" t="s">
        <v>182</v>
      </c>
      <c r="B173" s="4" t="s">
        <v>65</v>
      </c>
      <c r="C173" s="19">
        <v>0.01</v>
      </c>
      <c r="D173" s="5">
        <v>63600.0</v>
      </c>
      <c r="E173" s="6">
        <v>2000.0</v>
      </c>
      <c r="F173" s="6">
        <v>2500.0</v>
      </c>
      <c r="G173" s="6">
        <f t="shared" si="2"/>
        <v>68100.01000000001</v>
      </c>
    </row>
    <row r="174" spans="8:8">
      <c r="A174" s="3" t="s">
        <v>183</v>
      </c>
      <c r="B174" s="4" t="s">
        <v>65</v>
      </c>
      <c r="C174" s="19">
        <v>0.01</v>
      </c>
      <c r="D174" s="5">
        <v>67680.0</v>
      </c>
      <c r="E174" s="6">
        <v>2000.0</v>
      </c>
      <c r="F174" s="6">
        <v>2500.0</v>
      </c>
      <c r="G174" s="6">
        <f t="shared" si="2"/>
        <v>72180.01</v>
      </c>
    </row>
    <row r="175" spans="8:8">
      <c r="A175" s="3" t="s">
        <v>184</v>
      </c>
      <c r="B175" s="4" t="s">
        <v>65</v>
      </c>
      <c r="C175" s="19">
        <v>0.01</v>
      </c>
      <c r="D175" s="5">
        <v>74880.0</v>
      </c>
      <c r="E175" s="6">
        <v>2000.0</v>
      </c>
      <c r="F175" s="6">
        <v>2500.0</v>
      </c>
      <c r="G175" s="6">
        <f t="shared" si="2"/>
        <v>79380.01</v>
      </c>
    </row>
    <row r="176" spans="8:8">
      <c r="A176" s="3" t="s">
        <v>185</v>
      </c>
      <c r="B176" s="4" t="s">
        <v>65</v>
      </c>
      <c r="C176" s="19">
        <v>0.01</v>
      </c>
      <c r="D176" s="5">
        <v>127200.0</v>
      </c>
      <c r="E176" s="6">
        <v>2000.0</v>
      </c>
      <c r="F176" s="6">
        <v>2500.0</v>
      </c>
      <c r="G176" s="6">
        <f t="shared" si="2"/>
        <v>131700.01</v>
      </c>
    </row>
    <row r="177" spans="8:8">
      <c r="A177" s="3" t="s">
        <v>186</v>
      </c>
      <c r="B177" s="4" t="s">
        <v>65</v>
      </c>
      <c r="C177" s="19">
        <v>0.01</v>
      </c>
      <c r="D177" s="5">
        <v>135360.0</v>
      </c>
      <c r="E177" s="6">
        <v>2000.0</v>
      </c>
      <c r="F177" s="6">
        <v>2500.0</v>
      </c>
      <c r="G177" s="6">
        <f t="shared" si="2"/>
        <v>139860.01</v>
      </c>
    </row>
    <row r="178" spans="8:8">
      <c r="A178" s="3" t="s">
        <v>187</v>
      </c>
      <c r="B178" s="4" t="s">
        <v>65</v>
      </c>
      <c r="C178" s="19">
        <v>0.01</v>
      </c>
      <c r="D178" s="5">
        <v>149760.0</v>
      </c>
      <c r="E178" s="6">
        <v>2000.0</v>
      </c>
      <c r="F178" s="6">
        <v>2500.0</v>
      </c>
      <c r="G178" s="6">
        <f t="shared" si="2"/>
        <v>154260.01</v>
      </c>
    </row>
    <row r="179" spans="8:8">
      <c r="A179" s="15" t="s">
        <v>188</v>
      </c>
      <c r="B179" s="16" t="s">
        <v>65</v>
      </c>
      <c r="C179" s="19">
        <v>0.01</v>
      </c>
      <c r="D179" s="5">
        <v>63600.0</v>
      </c>
      <c r="E179" s="6">
        <v>2000.0</v>
      </c>
      <c r="F179" s="6">
        <v>2500.0</v>
      </c>
      <c r="G179" s="17">
        <f t="shared" si="2"/>
        <v>68100.01000000001</v>
      </c>
    </row>
    <row r="180" spans="8:8">
      <c r="A180" s="3" t="s">
        <v>189</v>
      </c>
      <c r="B180" s="4" t="s">
        <v>65</v>
      </c>
      <c r="C180" s="19">
        <v>0.01</v>
      </c>
      <c r="D180" s="5">
        <v>67680.0</v>
      </c>
      <c r="E180" s="6">
        <v>2000.0</v>
      </c>
      <c r="F180" s="6">
        <v>2500.0</v>
      </c>
      <c r="G180" s="6">
        <f t="shared" si="2"/>
        <v>72180.01</v>
      </c>
    </row>
    <row r="181" spans="8:8">
      <c r="A181" s="3" t="s">
        <v>190</v>
      </c>
      <c r="B181" s="4" t="s">
        <v>65</v>
      </c>
      <c r="C181" s="19">
        <v>0.01</v>
      </c>
      <c r="D181" s="5">
        <v>63600.0</v>
      </c>
      <c r="E181" s="6">
        <v>2000.0</v>
      </c>
      <c r="F181" s="6">
        <v>2500.0</v>
      </c>
      <c r="G181" s="6">
        <f t="shared" si="2"/>
        <v>68100.01000000001</v>
      </c>
    </row>
    <row r="182" spans="8:8">
      <c r="A182" s="3" t="s">
        <v>191</v>
      </c>
      <c r="B182" s="4" t="s">
        <v>65</v>
      </c>
      <c r="C182" s="19">
        <v>0.01</v>
      </c>
      <c r="D182" s="5">
        <v>67680.0</v>
      </c>
      <c r="E182" s="6">
        <v>2000.0</v>
      </c>
      <c r="F182" s="6">
        <v>2500.0</v>
      </c>
      <c r="G182" s="6">
        <f t="shared" si="2"/>
        <v>72180.01</v>
      </c>
    </row>
    <row r="183" spans="8:8">
      <c r="A183" s="3" t="s">
        <v>192</v>
      </c>
      <c r="B183" s="4" t="s">
        <v>65</v>
      </c>
      <c r="C183" s="19">
        <v>0.01</v>
      </c>
      <c r="D183" s="5">
        <v>74880.0</v>
      </c>
      <c r="E183" s="6">
        <v>2000.0</v>
      </c>
      <c r="F183" s="6">
        <v>2500.0</v>
      </c>
      <c r="G183" s="6">
        <f t="shared" si="2"/>
        <v>79380.01</v>
      </c>
    </row>
    <row r="184" spans="8:8">
      <c r="A184" s="3" t="s">
        <v>193</v>
      </c>
      <c r="B184" s="4" t="s">
        <v>65</v>
      </c>
      <c r="C184" s="19">
        <v>0.01</v>
      </c>
      <c r="D184" s="5">
        <v>63600.0</v>
      </c>
      <c r="E184" s="6">
        <v>2000.0</v>
      </c>
      <c r="F184" s="6">
        <v>2500.0</v>
      </c>
      <c r="G184" s="6">
        <f t="shared" si="2"/>
        <v>68100.01000000001</v>
      </c>
    </row>
    <row r="185" spans="8:8">
      <c r="A185" s="3" t="s">
        <v>194</v>
      </c>
      <c r="B185" s="4" t="s">
        <v>65</v>
      </c>
      <c r="C185" s="19">
        <v>0.01</v>
      </c>
      <c r="D185" s="5">
        <v>67680.0</v>
      </c>
      <c r="E185" s="6">
        <v>2000.0</v>
      </c>
      <c r="F185" s="6">
        <v>2500.0</v>
      </c>
      <c r="G185" s="6">
        <f t="shared" si="2"/>
        <v>72180.01</v>
      </c>
    </row>
    <row r="186" spans="8:8">
      <c r="A186" s="10" t="s">
        <v>195</v>
      </c>
      <c r="B186" s="11" t="s">
        <v>196</v>
      </c>
      <c r="C186" s="12">
        <v>31680.0</v>
      </c>
      <c r="D186" s="12">
        <v>217440.0</v>
      </c>
      <c r="E186" s="13">
        <v>2000.0</v>
      </c>
      <c r="F186" s="13">
        <v>2500.0</v>
      </c>
      <c r="G186" s="13">
        <f t="shared" si="2"/>
        <v>253620.0</v>
      </c>
    </row>
    <row r="187" spans="8:8">
      <c r="A187" s="3" t="s">
        <v>197</v>
      </c>
      <c r="B187" s="4" t="s">
        <v>196</v>
      </c>
      <c r="C187" s="19">
        <v>0.01</v>
      </c>
      <c r="D187" s="5">
        <v>264720.0</v>
      </c>
      <c r="E187" s="6">
        <v>2000.0</v>
      </c>
      <c r="F187" s="6">
        <v>2500.0</v>
      </c>
      <c r="G187" s="6">
        <f t="shared" si="2"/>
        <v>269220.01</v>
      </c>
    </row>
    <row r="188" spans="8:8">
      <c r="A188" s="3" t="s">
        <v>198</v>
      </c>
      <c r="B188" s="4" t="s">
        <v>196</v>
      </c>
      <c r="C188" s="19">
        <v>0.01</v>
      </c>
      <c r="D188" s="5">
        <v>2635920.0</v>
      </c>
      <c r="E188" s="6">
        <v>2000.0</v>
      </c>
      <c r="F188" s="6">
        <v>2500.0</v>
      </c>
      <c r="G188" s="6">
        <f t="shared" si="2"/>
        <v>2640420.01</v>
      </c>
    </row>
    <row r="189" spans="8:8">
      <c r="A189" s="3" t="s">
        <v>199</v>
      </c>
      <c r="B189" s="4" t="s">
        <v>196</v>
      </c>
      <c r="C189" s="19">
        <v>0.01</v>
      </c>
      <c r="D189" s="5">
        <v>264240.0</v>
      </c>
      <c r="E189" s="6">
        <v>2000.0</v>
      </c>
      <c r="F189" s="6">
        <v>2500.0</v>
      </c>
      <c r="G189" s="6">
        <f t="shared" si="2"/>
        <v>268740.01</v>
      </c>
    </row>
    <row r="190" spans="8:8">
      <c r="A190" s="18" t="s">
        <v>316</v>
      </c>
      <c r="B190" s="16" t="s">
        <v>196</v>
      </c>
      <c r="C190" s="19">
        <v>0.01</v>
      </c>
      <c r="D190" s="5">
        <v>528480.0</v>
      </c>
      <c r="E190" s="6">
        <v>2000.0</v>
      </c>
      <c r="F190" s="6">
        <v>2500.0</v>
      </c>
      <c r="G190" s="6">
        <f t="shared" si="2"/>
        <v>532980.01</v>
      </c>
    </row>
    <row r="191" spans="8:8">
      <c r="A191" s="3" t="s">
        <v>201</v>
      </c>
      <c r="B191" s="4" t="s">
        <v>196</v>
      </c>
      <c r="C191" s="19">
        <v>0.01</v>
      </c>
      <c r="D191" s="5">
        <v>264240.0</v>
      </c>
      <c r="E191" s="6">
        <v>2000.0</v>
      </c>
      <c r="F191" s="6">
        <v>2500.0</v>
      </c>
      <c r="G191" s="6">
        <f t="shared" si="2"/>
        <v>268740.01</v>
      </c>
    </row>
    <row r="192" spans="8:8">
      <c r="A192" s="3" t="s">
        <v>202</v>
      </c>
      <c r="B192" s="4" t="s">
        <v>196</v>
      </c>
      <c r="C192" s="19">
        <v>0.01</v>
      </c>
      <c r="D192" s="5">
        <v>264240.0</v>
      </c>
      <c r="E192" s="6">
        <v>2000.0</v>
      </c>
      <c r="F192" s="6">
        <v>2500.0</v>
      </c>
      <c r="G192" s="6">
        <f t="shared" si="2"/>
        <v>268740.01</v>
      </c>
    </row>
    <row r="193" spans="8:8">
      <c r="A193" s="3" t="s">
        <v>203</v>
      </c>
      <c r="B193" s="4" t="s">
        <v>196</v>
      </c>
      <c r="C193" s="19">
        <v>0.01</v>
      </c>
      <c r="D193" s="5">
        <v>264240.0</v>
      </c>
      <c r="E193" s="6">
        <v>2000.0</v>
      </c>
      <c r="F193" s="6">
        <v>2500.0</v>
      </c>
      <c r="G193" s="6">
        <f t="shared" si="2"/>
        <v>268740.01</v>
      </c>
    </row>
    <row r="194" spans="8:8">
      <c r="A194" s="3" t="s">
        <v>204</v>
      </c>
      <c r="B194" s="4" t="s">
        <v>196</v>
      </c>
      <c r="C194" s="19">
        <v>0.01</v>
      </c>
      <c r="D194" s="5">
        <v>264240.0</v>
      </c>
      <c r="E194" s="6">
        <v>2000.0</v>
      </c>
      <c r="F194" s="6">
        <v>2500.0</v>
      </c>
      <c r="G194" s="6">
        <f t="shared" si="3" ref="G194:G257">SUM(C194:F194)</f>
        <v>268740.01</v>
      </c>
    </row>
    <row r="195" spans="8:8">
      <c r="A195" s="3" t="s">
        <v>205</v>
      </c>
      <c r="B195" s="4" t="s">
        <v>196</v>
      </c>
      <c r="C195" s="19">
        <v>0.01</v>
      </c>
      <c r="D195" s="5">
        <v>264240.0</v>
      </c>
      <c r="E195" s="6">
        <v>2000.0</v>
      </c>
      <c r="F195" s="6">
        <v>2500.0</v>
      </c>
      <c r="G195" s="6">
        <f t="shared" si="3"/>
        <v>268740.01</v>
      </c>
    </row>
    <row r="196" spans="8:8">
      <c r="A196" s="3" t="s">
        <v>206</v>
      </c>
      <c r="B196" s="4" t="s">
        <v>196</v>
      </c>
      <c r="C196" s="19">
        <v>0.01</v>
      </c>
      <c r="D196" s="5">
        <v>264240.0</v>
      </c>
      <c r="E196" s="6">
        <v>2000.0</v>
      </c>
      <c r="F196" s="6">
        <v>2500.0</v>
      </c>
      <c r="G196" s="6">
        <f t="shared" si="3"/>
        <v>268740.01</v>
      </c>
    </row>
    <row r="197" spans="8:8">
      <c r="A197" s="3" t="s">
        <v>207</v>
      </c>
      <c r="B197" s="4" t="s">
        <v>196</v>
      </c>
      <c r="C197" s="19">
        <v>0.01</v>
      </c>
      <c r="D197" s="5">
        <v>264240.0</v>
      </c>
      <c r="E197" s="6">
        <v>2000.0</v>
      </c>
      <c r="F197" s="6">
        <v>2500.0</v>
      </c>
      <c r="G197" s="6">
        <f t="shared" si="3"/>
        <v>268740.01</v>
      </c>
    </row>
    <row r="198" spans="8:8">
      <c r="A198" s="3" t="s">
        <v>208</v>
      </c>
      <c r="B198" s="4" t="s">
        <v>196</v>
      </c>
      <c r="C198" s="19">
        <v>0.01</v>
      </c>
      <c r="D198" s="5">
        <v>264240.0</v>
      </c>
      <c r="E198" s="6">
        <v>2000.0</v>
      </c>
      <c r="F198" s="6">
        <v>2500.0</v>
      </c>
      <c r="G198" s="6">
        <f t="shared" si="3"/>
        <v>268740.01</v>
      </c>
    </row>
    <row r="199" spans="8:8">
      <c r="A199" s="3" t="s">
        <v>209</v>
      </c>
      <c r="B199" s="4" t="s">
        <v>196</v>
      </c>
      <c r="C199" s="19">
        <v>0.01</v>
      </c>
      <c r="D199" s="5">
        <v>264240.0</v>
      </c>
      <c r="E199" s="6">
        <v>2000.0</v>
      </c>
      <c r="F199" s="6">
        <v>2500.0</v>
      </c>
      <c r="G199" s="6">
        <f t="shared" si="3"/>
        <v>268740.01</v>
      </c>
    </row>
    <row r="200" spans="8:8">
      <c r="A200" s="3" t="s">
        <v>210</v>
      </c>
      <c r="B200" s="4" t="s">
        <v>196</v>
      </c>
      <c r="C200" s="19">
        <v>0.01</v>
      </c>
      <c r="D200" s="5">
        <v>264240.0</v>
      </c>
      <c r="E200" s="6">
        <v>2000.0</v>
      </c>
      <c r="F200" s="6">
        <v>2500.0</v>
      </c>
      <c r="G200" s="6">
        <f t="shared" si="3"/>
        <v>268740.01</v>
      </c>
    </row>
    <row r="201" spans="8:8">
      <c r="A201" s="3" t="s">
        <v>211</v>
      </c>
      <c r="B201" s="4" t="s">
        <v>196</v>
      </c>
      <c r="C201" s="19">
        <v>0.01</v>
      </c>
      <c r="D201" s="5">
        <v>264240.0</v>
      </c>
      <c r="E201" s="6">
        <v>2000.0</v>
      </c>
      <c r="F201" s="6">
        <v>2500.0</v>
      </c>
      <c r="G201" s="6">
        <f t="shared" si="3"/>
        <v>268740.01</v>
      </c>
    </row>
    <row r="202" spans="8:8">
      <c r="A202" s="3" t="s">
        <v>212</v>
      </c>
      <c r="B202" s="4" t="s">
        <v>196</v>
      </c>
      <c r="C202" s="19">
        <v>0.01</v>
      </c>
      <c r="D202" s="5">
        <v>264240.0</v>
      </c>
      <c r="E202" s="6">
        <v>2000.0</v>
      </c>
      <c r="F202" s="6">
        <v>2500.0</v>
      </c>
      <c r="G202" s="6">
        <f t="shared" si="3"/>
        <v>268740.01</v>
      </c>
    </row>
    <row r="203" spans="8:8">
      <c r="A203" s="3" t="s">
        <v>213</v>
      </c>
      <c r="B203" s="4" t="s">
        <v>196</v>
      </c>
      <c r="C203" s="19">
        <v>0.01</v>
      </c>
      <c r="D203" s="5">
        <v>264240.0</v>
      </c>
      <c r="E203" s="6">
        <v>2000.0</v>
      </c>
      <c r="F203" s="6">
        <v>2500.0</v>
      </c>
      <c r="G203" s="6">
        <f t="shared" si="3"/>
        <v>268740.01</v>
      </c>
    </row>
    <row r="204" spans="8:8">
      <c r="A204" s="3" t="s">
        <v>214</v>
      </c>
      <c r="B204" s="4" t="s">
        <v>196</v>
      </c>
      <c r="C204" s="19">
        <v>0.01</v>
      </c>
      <c r="D204" s="5">
        <v>264240.0</v>
      </c>
      <c r="E204" s="6">
        <v>2000.0</v>
      </c>
      <c r="F204" s="6">
        <v>2500.0</v>
      </c>
      <c r="G204" s="6">
        <f t="shared" si="3"/>
        <v>268740.01</v>
      </c>
    </row>
    <row r="205" spans="8:8">
      <c r="A205" s="3" t="s">
        <v>215</v>
      </c>
      <c r="B205" s="4" t="s">
        <v>196</v>
      </c>
      <c r="C205" s="19">
        <v>0.02</v>
      </c>
      <c r="D205" s="5">
        <v>264240.0</v>
      </c>
      <c r="E205" s="6">
        <v>2000.0</v>
      </c>
      <c r="F205" s="6">
        <v>2500.0</v>
      </c>
      <c r="G205" s="6">
        <f t="shared" si="3"/>
        <v>268740.02</v>
      </c>
    </row>
    <row r="206" spans="8:8">
      <c r="A206" s="3" t="s">
        <v>216</v>
      </c>
      <c r="B206" s="4" t="s">
        <v>196</v>
      </c>
      <c r="C206" s="19">
        <v>0.01</v>
      </c>
      <c r="D206" s="5">
        <v>264240.0</v>
      </c>
      <c r="E206" s="6">
        <v>2000.0</v>
      </c>
      <c r="F206" s="6">
        <v>2500.0</v>
      </c>
      <c r="G206" s="6">
        <f t="shared" si="3"/>
        <v>268740.01</v>
      </c>
    </row>
    <row r="207" spans="8:8">
      <c r="A207" s="3" t="s">
        <v>217</v>
      </c>
      <c r="B207" s="4" t="s">
        <v>196</v>
      </c>
      <c r="C207" s="19">
        <v>0.01</v>
      </c>
      <c r="D207" s="5">
        <v>264240.0</v>
      </c>
      <c r="E207" s="6">
        <v>2000.0</v>
      </c>
      <c r="F207" s="6">
        <v>2500.0</v>
      </c>
      <c r="G207" s="6">
        <f t="shared" si="3"/>
        <v>268740.01</v>
      </c>
    </row>
    <row r="208" spans="8:8">
      <c r="A208" s="3" t="s">
        <v>218</v>
      </c>
      <c r="B208" s="4" t="s">
        <v>196</v>
      </c>
      <c r="C208" s="19">
        <v>0.01</v>
      </c>
      <c r="D208" s="5">
        <v>264240.0</v>
      </c>
      <c r="E208" s="6">
        <v>2000.0</v>
      </c>
      <c r="F208" s="6">
        <v>2500.0</v>
      </c>
      <c r="G208" s="6">
        <f t="shared" si="3"/>
        <v>268740.01</v>
      </c>
    </row>
    <row r="209" spans="8:8">
      <c r="A209" s="3" t="s">
        <v>219</v>
      </c>
      <c r="B209" s="4" t="s">
        <v>196</v>
      </c>
      <c r="C209" s="19">
        <v>0.01</v>
      </c>
      <c r="D209" s="5">
        <v>264240.0</v>
      </c>
      <c r="E209" s="6">
        <v>2000.0</v>
      </c>
      <c r="F209" s="6">
        <v>2500.0</v>
      </c>
      <c r="G209" s="6">
        <f t="shared" si="3"/>
        <v>268740.01</v>
      </c>
    </row>
    <row r="210" spans="8:8">
      <c r="A210" s="3" t="s">
        <v>220</v>
      </c>
      <c r="B210" s="4" t="s">
        <v>196</v>
      </c>
      <c r="C210" s="19">
        <v>0.01</v>
      </c>
      <c r="D210" s="5">
        <v>264240.0</v>
      </c>
      <c r="E210" s="6">
        <v>2000.0</v>
      </c>
      <c r="F210" s="6">
        <v>2500.0</v>
      </c>
      <c r="G210" s="6">
        <f t="shared" si="3"/>
        <v>268740.01</v>
      </c>
    </row>
    <row r="211" spans="8:8">
      <c r="A211" s="18" t="s">
        <v>317</v>
      </c>
      <c r="B211" s="16" t="s">
        <v>196</v>
      </c>
      <c r="C211" s="19">
        <v>0.01</v>
      </c>
      <c r="D211" s="5">
        <v>264240.0</v>
      </c>
      <c r="E211" s="6">
        <v>2000.0</v>
      </c>
      <c r="F211" s="6">
        <v>2500.0</v>
      </c>
      <c r="G211" s="17">
        <f t="shared" si="3"/>
        <v>268740.01</v>
      </c>
    </row>
    <row r="212" spans="8:8">
      <c r="A212" s="3" t="s">
        <v>222</v>
      </c>
      <c r="B212" s="4" t="s">
        <v>196</v>
      </c>
      <c r="C212" s="19">
        <v>0.01</v>
      </c>
      <c r="D212" s="5">
        <v>528480.0</v>
      </c>
      <c r="E212" s="6">
        <v>2000.0</v>
      </c>
      <c r="F212" s="6">
        <v>2500.0</v>
      </c>
      <c r="G212" s="6">
        <f t="shared" si="3"/>
        <v>532980.01</v>
      </c>
    </row>
    <row r="213" spans="8:8">
      <c r="A213" s="3" t="s">
        <v>223</v>
      </c>
      <c r="B213" s="4" t="s">
        <v>196</v>
      </c>
      <c r="C213" s="19">
        <v>0.01</v>
      </c>
      <c r="D213" s="5">
        <v>264240.0</v>
      </c>
      <c r="E213" s="6">
        <v>2000.0</v>
      </c>
      <c r="F213" s="6">
        <v>2500.0</v>
      </c>
      <c r="G213" s="6">
        <f t="shared" si="3"/>
        <v>268740.01</v>
      </c>
    </row>
    <row r="214" spans="8:8">
      <c r="A214" s="3" t="s">
        <v>224</v>
      </c>
      <c r="B214" s="4" t="s">
        <v>196</v>
      </c>
      <c r="C214" s="19">
        <v>0.01</v>
      </c>
      <c r="D214" s="5">
        <v>264240.0</v>
      </c>
      <c r="E214" s="6">
        <v>2000.0</v>
      </c>
      <c r="F214" s="6">
        <v>2500.0</v>
      </c>
      <c r="G214" s="6">
        <f t="shared" si="3"/>
        <v>268740.01</v>
      </c>
    </row>
    <row r="215" spans="8:8">
      <c r="A215" s="3" t="s">
        <v>225</v>
      </c>
      <c r="B215" s="4" t="s">
        <v>196</v>
      </c>
      <c r="C215" s="19">
        <v>0.01</v>
      </c>
      <c r="D215" s="5">
        <v>264240.0</v>
      </c>
      <c r="E215" s="6">
        <v>2000.0</v>
      </c>
      <c r="F215" s="6">
        <v>2500.0</v>
      </c>
      <c r="G215" s="6">
        <f t="shared" si="3"/>
        <v>268740.01</v>
      </c>
    </row>
    <row r="216" spans="8:8">
      <c r="A216" s="3" t="s">
        <v>226</v>
      </c>
      <c r="B216" s="4" t="s">
        <v>196</v>
      </c>
      <c r="C216" s="19">
        <v>0.01</v>
      </c>
      <c r="D216" s="5">
        <v>347280.0</v>
      </c>
      <c r="E216" s="6">
        <v>2000.0</v>
      </c>
      <c r="F216" s="6">
        <v>2500.0</v>
      </c>
      <c r="G216" s="6">
        <f t="shared" si="3"/>
        <v>351780.01</v>
      </c>
    </row>
    <row r="217" spans="8:8">
      <c r="A217" s="3" t="s">
        <v>227</v>
      </c>
      <c r="B217" s="4" t="s">
        <v>196</v>
      </c>
      <c r="C217" s="19">
        <v>0.01</v>
      </c>
      <c r="D217" s="5">
        <v>427200.0</v>
      </c>
      <c r="E217" s="6">
        <v>2000.0</v>
      </c>
      <c r="F217" s="6">
        <v>2500.0</v>
      </c>
      <c r="G217" s="6">
        <f t="shared" si="3"/>
        <v>431700.01</v>
      </c>
    </row>
    <row r="218" spans="8:8">
      <c r="A218" s="3" t="s">
        <v>228</v>
      </c>
      <c r="B218" s="4" t="s">
        <v>196</v>
      </c>
      <c r="C218" s="19">
        <v>0.01</v>
      </c>
      <c r="D218" s="5">
        <v>264240.0</v>
      </c>
      <c r="E218" s="6">
        <v>2000.0</v>
      </c>
      <c r="F218" s="6">
        <v>2500.0</v>
      </c>
      <c r="G218" s="6">
        <f t="shared" si="3"/>
        <v>268740.01</v>
      </c>
    </row>
    <row r="219" spans="8:8">
      <c r="A219" s="3" t="s">
        <v>229</v>
      </c>
      <c r="B219" s="4" t="s">
        <v>196</v>
      </c>
      <c r="C219" s="19">
        <v>0.01</v>
      </c>
      <c r="D219" s="5">
        <v>264240.0</v>
      </c>
      <c r="E219" s="6">
        <v>2000.0</v>
      </c>
      <c r="F219" s="6">
        <v>2500.0</v>
      </c>
      <c r="G219" s="6">
        <f t="shared" si="3"/>
        <v>268740.01</v>
      </c>
    </row>
    <row r="220" spans="8:8">
      <c r="A220" s="3" t="s">
        <v>230</v>
      </c>
      <c r="B220" s="4" t="s">
        <v>196</v>
      </c>
      <c r="C220" s="19">
        <v>0.01</v>
      </c>
      <c r="D220" s="5">
        <v>264240.0</v>
      </c>
      <c r="E220" s="6">
        <v>2000.0</v>
      </c>
      <c r="F220" s="6">
        <v>2500.0</v>
      </c>
      <c r="G220" s="6">
        <f t="shared" si="3"/>
        <v>268740.01</v>
      </c>
    </row>
    <row r="221" spans="8:8">
      <c r="A221" s="3" t="s">
        <v>231</v>
      </c>
      <c r="B221" s="4" t="s">
        <v>196</v>
      </c>
      <c r="C221" s="19">
        <v>0.01</v>
      </c>
      <c r="D221" s="5">
        <v>264240.0</v>
      </c>
      <c r="E221" s="6">
        <v>2000.0</v>
      </c>
      <c r="F221" s="6">
        <v>2500.0</v>
      </c>
      <c r="G221" s="6">
        <f t="shared" si="3"/>
        <v>268740.01</v>
      </c>
    </row>
    <row r="222" spans="8:8">
      <c r="A222" s="3" t="s">
        <v>232</v>
      </c>
      <c r="B222" s="4" t="s">
        <v>196</v>
      </c>
      <c r="C222" s="19">
        <v>0.01</v>
      </c>
      <c r="D222" s="5">
        <v>264240.0</v>
      </c>
      <c r="E222" s="6">
        <v>2000.0</v>
      </c>
      <c r="F222" s="6">
        <v>2500.0</v>
      </c>
      <c r="G222" s="6">
        <f t="shared" si="3"/>
        <v>268740.01</v>
      </c>
    </row>
    <row r="223" spans="8:8">
      <c r="A223" s="3" t="s">
        <v>233</v>
      </c>
      <c r="B223" s="4" t="s">
        <v>196</v>
      </c>
      <c r="C223" s="19">
        <v>0.01</v>
      </c>
      <c r="D223" s="5">
        <v>264240.0</v>
      </c>
      <c r="E223" s="6">
        <v>2000.0</v>
      </c>
      <c r="F223" s="6">
        <v>2500.0</v>
      </c>
      <c r="G223" s="6">
        <f t="shared" si="3"/>
        <v>268740.01</v>
      </c>
    </row>
    <row r="224" spans="8:8">
      <c r="A224" s="3" t="s">
        <v>234</v>
      </c>
      <c r="B224" s="4" t="s">
        <v>196</v>
      </c>
      <c r="C224" s="19">
        <v>0.01</v>
      </c>
      <c r="D224" s="5">
        <v>264240.0</v>
      </c>
      <c r="E224" s="6">
        <v>2000.0</v>
      </c>
      <c r="F224" s="6">
        <v>2500.0</v>
      </c>
      <c r="G224" s="6">
        <f t="shared" si="3"/>
        <v>268740.01</v>
      </c>
    </row>
    <row r="225" spans="8:8">
      <c r="A225" s="3" t="s">
        <v>235</v>
      </c>
      <c r="B225" s="4" t="s">
        <v>196</v>
      </c>
      <c r="C225" s="19">
        <v>0.01</v>
      </c>
      <c r="D225" s="5">
        <v>264240.0</v>
      </c>
      <c r="E225" s="6">
        <v>2000.0</v>
      </c>
      <c r="F225" s="6">
        <v>2500.0</v>
      </c>
      <c r="G225" s="6">
        <f t="shared" si="3"/>
        <v>268740.01</v>
      </c>
    </row>
    <row r="226" spans="8:8">
      <c r="A226" s="3" t="s">
        <v>236</v>
      </c>
      <c r="B226" s="4" t="s">
        <v>196</v>
      </c>
      <c r="C226" s="19">
        <v>0.01</v>
      </c>
      <c r="D226" s="5">
        <v>264240.0</v>
      </c>
      <c r="E226" s="6">
        <v>2000.0</v>
      </c>
      <c r="F226" s="6">
        <v>2500.0</v>
      </c>
      <c r="G226" s="6">
        <f t="shared" si="3"/>
        <v>268740.01</v>
      </c>
    </row>
    <row r="227" spans="8:8">
      <c r="A227" s="3" t="s">
        <v>237</v>
      </c>
      <c r="B227" s="4" t="s">
        <v>196</v>
      </c>
      <c r="C227" s="19">
        <v>0.01</v>
      </c>
      <c r="D227" s="5">
        <v>264240.0</v>
      </c>
      <c r="E227" s="6">
        <v>2000.0</v>
      </c>
      <c r="F227" s="6">
        <v>2500.0</v>
      </c>
      <c r="G227" s="6">
        <f t="shared" si="3"/>
        <v>268740.01</v>
      </c>
    </row>
    <row r="228" spans="8:8">
      <c r="A228" s="3" t="s">
        <v>238</v>
      </c>
      <c r="B228" s="4" t="s">
        <v>196</v>
      </c>
      <c r="C228" s="19">
        <v>0.01</v>
      </c>
      <c r="D228" s="5">
        <v>264240.0</v>
      </c>
      <c r="E228" s="6">
        <v>2000.0</v>
      </c>
      <c r="F228" s="6">
        <v>2500.0</v>
      </c>
      <c r="G228" s="6">
        <f t="shared" si="3"/>
        <v>268740.01</v>
      </c>
    </row>
    <row r="229" spans="8:8">
      <c r="A229" s="3" t="s">
        <v>239</v>
      </c>
      <c r="B229" s="4" t="s">
        <v>196</v>
      </c>
      <c r="C229" s="19">
        <v>0.01</v>
      </c>
      <c r="D229" s="5">
        <v>264240.0</v>
      </c>
      <c r="E229" s="6">
        <v>2000.0</v>
      </c>
      <c r="F229" s="6">
        <v>2500.0</v>
      </c>
      <c r="G229" s="6">
        <f t="shared" si="3"/>
        <v>268740.01</v>
      </c>
    </row>
    <row r="230" spans="8:8">
      <c r="A230" s="3" t="s">
        <v>240</v>
      </c>
      <c r="B230" s="4" t="s">
        <v>196</v>
      </c>
      <c r="C230" s="19">
        <v>0.01</v>
      </c>
      <c r="D230" s="5">
        <v>264240.0</v>
      </c>
      <c r="E230" s="6">
        <v>2000.0</v>
      </c>
      <c r="F230" s="6">
        <v>2500.0</v>
      </c>
      <c r="G230" s="6">
        <f t="shared" si="3"/>
        <v>268740.01</v>
      </c>
    </row>
    <row r="231" spans="8:8">
      <c r="A231" s="3" t="s">
        <v>241</v>
      </c>
      <c r="B231" s="4" t="s">
        <v>196</v>
      </c>
      <c r="C231" s="19">
        <v>0.01</v>
      </c>
      <c r="D231" s="5">
        <v>264240.0</v>
      </c>
      <c r="E231" s="6">
        <v>2000.0</v>
      </c>
      <c r="F231" s="6">
        <v>2500.0</v>
      </c>
      <c r="G231" s="6">
        <f t="shared" si="3"/>
        <v>268740.01</v>
      </c>
    </row>
    <row r="232" spans="8:8">
      <c r="A232" s="3" t="s">
        <v>242</v>
      </c>
      <c r="B232" s="4" t="s">
        <v>196</v>
      </c>
      <c r="C232" s="19">
        <v>0.01</v>
      </c>
      <c r="D232" s="5">
        <v>264240.0</v>
      </c>
      <c r="E232" s="6">
        <v>2000.0</v>
      </c>
      <c r="F232" s="6">
        <v>2500.0</v>
      </c>
      <c r="G232" s="6">
        <f t="shared" si="3"/>
        <v>268740.01</v>
      </c>
    </row>
    <row r="233" spans="8:8">
      <c r="A233" s="3" t="s">
        <v>243</v>
      </c>
      <c r="B233" s="4" t="s">
        <v>196</v>
      </c>
      <c r="C233" s="19">
        <v>0.01</v>
      </c>
      <c r="D233" s="5">
        <v>264240.0</v>
      </c>
      <c r="E233" s="6">
        <v>2000.0</v>
      </c>
      <c r="F233" s="6">
        <v>2500.0</v>
      </c>
      <c r="G233" s="6">
        <f t="shared" si="3"/>
        <v>268740.01</v>
      </c>
    </row>
    <row r="234" spans="8:8">
      <c r="A234" s="3" t="s">
        <v>244</v>
      </c>
      <c r="B234" s="4" t="s">
        <v>196</v>
      </c>
      <c r="C234" s="19">
        <v>0.01</v>
      </c>
      <c r="D234" s="5">
        <v>264240.0</v>
      </c>
      <c r="E234" s="6">
        <v>2000.0</v>
      </c>
      <c r="F234" s="6">
        <v>2500.0</v>
      </c>
      <c r="G234" s="6">
        <f t="shared" si="3"/>
        <v>268740.01</v>
      </c>
    </row>
    <row r="235" spans="8:8">
      <c r="A235" s="3" t="s">
        <v>245</v>
      </c>
      <c r="B235" s="4" t="s">
        <v>196</v>
      </c>
      <c r="C235" s="19">
        <v>0.01</v>
      </c>
      <c r="D235" s="5">
        <v>427200.0</v>
      </c>
      <c r="E235" s="6">
        <v>2000.0</v>
      </c>
      <c r="F235" s="6">
        <v>2500.0</v>
      </c>
      <c r="G235" s="6">
        <f t="shared" si="3"/>
        <v>431700.01</v>
      </c>
    </row>
    <row r="236" spans="8:8">
      <c r="A236" s="3" t="s">
        <v>246</v>
      </c>
      <c r="B236" s="4" t="s">
        <v>196</v>
      </c>
      <c r="C236" s="19">
        <v>0.01</v>
      </c>
      <c r="D236" s="5">
        <v>264240.0</v>
      </c>
      <c r="E236" s="6">
        <v>2000.0</v>
      </c>
      <c r="F236" s="6">
        <v>2500.0</v>
      </c>
      <c r="G236" s="6">
        <f t="shared" si="3"/>
        <v>268740.01</v>
      </c>
    </row>
    <row r="237" spans="8:8">
      <c r="A237" s="3" t="s">
        <v>247</v>
      </c>
      <c r="B237" s="4" t="s">
        <v>196</v>
      </c>
      <c r="C237" s="19">
        <v>0.01</v>
      </c>
      <c r="D237" s="5">
        <v>264240.0</v>
      </c>
      <c r="E237" s="6">
        <v>2000.0</v>
      </c>
      <c r="F237" s="6">
        <v>2500.0</v>
      </c>
      <c r="G237" s="6">
        <f t="shared" si="3"/>
        <v>268740.01</v>
      </c>
    </row>
    <row r="238" spans="8:8">
      <c r="A238" s="3" t="s">
        <v>248</v>
      </c>
      <c r="B238" s="4" t="s">
        <v>196</v>
      </c>
      <c r="C238" s="19">
        <v>0.01</v>
      </c>
      <c r="D238" s="5">
        <v>264240.0</v>
      </c>
      <c r="E238" s="6">
        <v>2000.0</v>
      </c>
      <c r="F238" s="6">
        <v>2500.0</v>
      </c>
      <c r="G238" s="6">
        <f t="shared" si="3"/>
        <v>268740.01</v>
      </c>
    </row>
    <row r="239" spans="8:8">
      <c r="A239" s="3" t="s">
        <v>249</v>
      </c>
      <c r="B239" s="4" t="s">
        <v>196</v>
      </c>
      <c r="C239" s="19">
        <v>0.01</v>
      </c>
      <c r="D239" s="5">
        <v>264240.0</v>
      </c>
      <c r="E239" s="6">
        <v>2000.0</v>
      </c>
      <c r="F239" s="6">
        <v>2500.0</v>
      </c>
      <c r="G239" s="6">
        <f t="shared" si="3"/>
        <v>268740.01</v>
      </c>
    </row>
    <row r="240" spans="8:8">
      <c r="A240" s="3" t="s">
        <v>250</v>
      </c>
      <c r="B240" s="4" t="s">
        <v>196</v>
      </c>
      <c r="C240" s="19">
        <v>0.01</v>
      </c>
      <c r="D240" s="5">
        <v>264240.0</v>
      </c>
      <c r="E240" s="6">
        <v>2000.0</v>
      </c>
      <c r="F240" s="6">
        <v>2500.0</v>
      </c>
      <c r="G240" s="6">
        <f t="shared" si="3"/>
        <v>268740.01</v>
      </c>
    </row>
    <row r="241" spans="8:8">
      <c r="A241" s="3" t="s">
        <v>251</v>
      </c>
      <c r="B241" s="4" t="s">
        <v>196</v>
      </c>
      <c r="C241" s="19">
        <v>0.01</v>
      </c>
      <c r="D241" s="5">
        <v>264240.0</v>
      </c>
      <c r="E241" s="6">
        <v>2000.0</v>
      </c>
      <c r="F241" s="6">
        <v>2500.0</v>
      </c>
      <c r="G241" s="6">
        <f t="shared" si="3"/>
        <v>268740.01</v>
      </c>
    </row>
    <row r="242" spans="8:8">
      <c r="A242" s="3" t="s">
        <v>252</v>
      </c>
      <c r="B242" s="4" t="s">
        <v>196</v>
      </c>
      <c r="C242" s="19">
        <v>0.01</v>
      </c>
      <c r="D242" s="5">
        <v>264240.0</v>
      </c>
      <c r="E242" s="6">
        <v>2000.0</v>
      </c>
      <c r="F242" s="6">
        <v>2500.0</v>
      </c>
      <c r="G242" s="6">
        <f t="shared" si="3"/>
        <v>268740.01</v>
      </c>
    </row>
    <row r="243" spans="8:8">
      <c r="A243" s="3" t="s">
        <v>253</v>
      </c>
      <c r="B243" s="4" t="s">
        <v>196</v>
      </c>
      <c r="C243" s="19">
        <v>0.01</v>
      </c>
      <c r="D243" s="5">
        <v>264240.0</v>
      </c>
      <c r="E243" s="6">
        <v>2000.0</v>
      </c>
      <c r="F243" s="6">
        <v>2500.0</v>
      </c>
      <c r="G243" s="6">
        <f t="shared" si="3"/>
        <v>268740.01</v>
      </c>
    </row>
    <row r="244" spans="8:8">
      <c r="A244" s="3" t="s">
        <v>254</v>
      </c>
      <c r="B244" s="4" t="s">
        <v>196</v>
      </c>
      <c r="C244" s="19">
        <v>0.01</v>
      </c>
      <c r="D244" s="5">
        <v>264240.0</v>
      </c>
      <c r="E244" s="6">
        <v>2000.0</v>
      </c>
      <c r="F244" s="6">
        <v>2500.0</v>
      </c>
      <c r="G244" s="6">
        <f t="shared" si="3"/>
        <v>268740.01</v>
      </c>
    </row>
    <row r="245" spans="8:8">
      <c r="A245" s="3" t="s">
        <v>255</v>
      </c>
      <c r="B245" s="4" t="s">
        <v>196</v>
      </c>
      <c r="C245" s="19">
        <v>0.01</v>
      </c>
      <c r="D245" s="5">
        <v>264240.0</v>
      </c>
      <c r="E245" s="6">
        <v>2000.0</v>
      </c>
      <c r="F245" s="6">
        <v>2500.0</v>
      </c>
      <c r="G245" s="6">
        <f t="shared" si="3"/>
        <v>268740.01</v>
      </c>
    </row>
    <row r="246" spans="8:8">
      <c r="A246" s="3" t="s">
        <v>256</v>
      </c>
      <c r="B246" s="4" t="s">
        <v>196</v>
      </c>
      <c r="C246" s="19">
        <v>0.01</v>
      </c>
      <c r="D246" s="5">
        <v>264240.0</v>
      </c>
      <c r="E246" s="6">
        <v>2000.0</v>
      </c>
      <c r="F246" s="6">
        <v>2500.0</v>
      </c>
      <c r="G246" s="6">
        <f t="shared" si="3"/>
        <v>268740.01</v>
      </c>
    </row>
    <row r="247" spans="8:8">
      <c r="A247" s="3" t="s">
        <v>257</v>
      </c>
      <c r="B247" s="4" t="s">
        <v>196</v>
      </c>
      <c r="C247" s="19">
        <v>0.01</v>
      </c>
      <c r="D247" s="5">
        <v>264240.0</v>
      </c>
      <c r="E247" s="6">
        <v>2000.0</v>
      </c>
      <c r="F247" s="6">
        <v>2500.0</v>
      </c>
      <c r="G247" s="6">
        <f t="shared" si="3"/>
        <v>268740.01</v>
      </c>
    </row>
    <row r="248" spans="8:8">
      <c r="A248" s="3" t="s">
        <v>258</v>
      </c>
      <c r="B248" s="4" t="s">
        <v>196</v>
      </c>
      <c r="C248" s="19">
        <v>0.01</v>
      </c>
      <c r="D248" s="5">
        <v>264240.0</v>
      </c>
      <c r="E248" s="6">
        <v>2000.0</v>
      </c>
      <c r="F248" s="6">
        <v>2500.0</v>
      </c>
      <c r="G248" s="6">
        <f t="shared" si="3"/>
        <v>268740.01</v>
      </c>
    </row>
    <row r="249" spans="8:8">
      <c r="A249" s="3" t="s">
        <v>259</v>
      </c>
      <c r="B249" s="4" t="s">
        <v>196</v>
      </c>
      <c r="C249" s="19">
        <v>0.01</v>
      </c>
      <c r="D249" s="5">
        <v>264240.0</v>
      </c>
      <c r="E249" s="6">
        <v>2000.0</v>
      </c>
      <c r="F249" s="6">
        <v>2500.0</v>
      </c>
      <c r="G249" s="6">
        <f t="shared" si="3"/>
        <v>268740.01</v>
      </c>
    </row>
    <row r="250" spans="8:8">
      <c r="A250" s="3" t="s">
        <v>260</v>
      </c>
      <c r="B250" s="4" t="s">
        <v>196</v>
      </c>
      <c r="C250" s="19">
        <v>0.01</v>
      </c>
      <c r="D250" s="5">
        <v>264240.0</v>
      </c>
      <c r="E250" s="6">
        <v>2000.0</v>
      </c>
      <c r="F250" s="6">
        <v>2500.0</v>
      </c>
      <c r="G250" s="6">
        <f t="shared" si="3"/>
        <v>268740.01</v>
      </c>
    </row>
    <row r="251" spans="8:8">
      <c r="A251" s="3" t="s">
        <v>261</v>
      </c>
      <c r="B251" s="4" t="s">
        <v>196</v>
      </c>
      <c r="C251" s="19">
        <v>0.01</v>
      </c>
      <c r="D251" s="5">
        <v>264240.0</v>
      </c>
      <c r="E251" s="6">
        <v>2000.0</v>
      </c>
      <c r="F251" s="6">
        <v>2500.0</v>
      </c>
      <c r="G251" s="6">
        <f t="shared" si="3"/>
        <v>268740.01</v>
      </c>
    </row>
    <row r="252" spans="8:8">
      <c r="A252" s="3" t="s">
        <v>262</v>
      </c>
      <c r="B252" s="4" t="s">
        <v>196</v>
      </c>
      <c r="C252" s="19">
        <v>0.01</v>
      </c>
      <c r="D252" s="5">
        <v>264240.0</v>
      </c>
      <c r="E252" s="6">
        <v>2000.0</v>
      </c>
      <c r="F252" s="6">
        <v>2500.0</v>
      </c>
      <c r="G252" s="6">
        <f t="shared" si="3"/>
        <v>268740.01</v>
      </c>
    </row>
    <row r="253" spans="8:8">
      <c r="A253" s="3" t="s">
        <v>263</v>
      </c>
      <c r="B253" s="4" t="s">
        <v>196</v>
      </c>
      <c r="C253" s="19">
        <v>0.01</v>
      </c>
      <c r="D253" s="5">
        <v>264240.0</v>
      </c>
      <c r="E253" s="6">
        <v>2000.0</v>
      </c>
      <c r="F253" s="6">
        <v>2500.0</v>
      </c>
      <c r="G253" s="6">
        <f t="shared" si="3"/>
        <v>268740.01</v>
      </c>
    </row>
    <row r="254" spans="8:8">
      <c r="A254" s="3" t="s">
        <v>264</v>
      </c>
      <c r="B254" s="4" t="s">
        <v>196</v>
      </c>
      <c r="C254" s="19">
        <v>0.01</v>
      </c>
      <c r="D254" s="5">
        <v>264240.0</v>
      </c>
      <c r="E254" s="6">
        <v>2000.0</v>
      </c>
      <c r="F254" s="6">
        <v>2500.0</v>
      </c>
      <c r="G254" s="6">
        <f t="shared" si="3"/>
        <v>268740.01</v>
      </c>
    </row>
    <row r="255" spans="8:8">
      <c r="A255" s="3" t="s">
        <v>265</v>
      </c>
      <c r="B255" s="4" t="s">
        <v>196</v>
      </c>
      <c r="C255" s="19">
        <v>0.01</v>
      </c>
      <c r="D255" s="5">
        <v>264240.0</v>
      </c>
      <c r="E255" s="6">
        <v>2000.0</v>
      </c>
      <c r="F255" s="6">
        <v>2500.0</v>
      </c>
      <c r="G255" s="6">
        <f t="shared" si="3"/>
        <v>268740.01</v>
      </c>
    </row>
    <row r="256" spans="8:8">
      <c r="A256" s="3" t="s">
        <v>266</v>
      </c>
      <c r="B256" s="4" t="s">
        <v>196</v>
      </c>
      <c r="C256" s="19">
        <v>0.01</v>
      </c>
      <c r="D256" s="5">
        <v>264240.0</v>
      </c>
      <c r="E256" s="6">
        <v>2000.0</v>
      </c>
      <c r="F256" s="6">
        <v>2500.0</v>
      </c>
      <c r="G256" s="6">
        <f t="shared" si="3"/>
        <v>268740.01</v>
      </c>
    </row>
    <row r="257" spans="8:8">
      <c r="A257" s="3" t="s">
        <v>267</v>
      </c>
      <c r="B257" s="4" t="s">
        <v>196</v>
      </c>
      <c r="C257" s="19">
        <v>0.01</v>
      </c>
      <c r="D257" s="5">
        <v>264240.0</v>
      </c>
      <c r="E257" s="6">
        <v>2000.0</v>
      </c>
      <c r="F257" s="6">
        <v>2500.0</v>
      </c>
      <c r="G257" s="6">
        <f t="shared" si="3"/>
        <v>268740.01</v>
      </c>
    </row>
    <row r="258" spans="8:8">
      <c r="A258" s="3" t="s">
        <v>268</v>
      </c>
      <c r="B258" s="4" t="s">
        <v>196</v>
      </c>
      <c r="C258" s="19">
        <v>0.01</v>
      </c>
      <c r="D258" s="5">
        <v>264240.0</v>
      </c>
      <c r="E258" s="6">
        <v>2000.0</v>
      </c>
      <c r="F258" s="6">
        <v>2500.0</v>
      </c>
      <c r="G258" s="6">
        <f t="shared" si="4" ref="G258:G270">SUM(C258:F258)</f>
        <v>268740.01</v>
      </c>
    </row>
    <row r="259" spans="8:8">
      <c r="A259" s="3" t="s">
        <v>269</v>
      </c>
      <c r="B259" s="4" t="s">
        <v>196</v>
      </c>
      <c r="C259" s="19">
        <v>0.01</v>
      </c>
      <c r="D259" s="5">
        <v>264240.0</v>
      </c>
      <c r="E259" s="6">
        <v>2000.0</v>
      </c>
      <c r="F259" s="6">
        <v>2500.0</v>
      </c>
      <c r="G259" s="6">
        <f t="shared" si="4"/>
        <v>268740.01</v>
      </c>
    </row>
    <row r="260" spans="8:8">
      <c r="A260" s="3" t="s">
        <v>270</v>
      </c>
      <c r="B260" s="4" t="s">
        <v>196</v>
      </c>
      <c r="C260" s="19">
        <v>0.01</v>
      </c>
      <c r="D260" s="5">
        <v>264240.0</v>
      </c>
      <c r="E260" s="6">
        <v>2000.0</v>
      </c>
      <c r="F260" s="6">
        <v>2500.0</v>
      </c>
      <c r="G260" s="6">
        <f t="shared" si="4"/>
        <v>268740.01</v>
      </c>
    </row>
    <row r="261" spans="8:8">
      <c r="A261" s="3" t="s">
        <v>271</v>
      </c>
      <c r="B261" s="4" t="s">
        <v>196</v>
      </c>
      <c r="C261" s="19">
        <v>0.01</v>
      </c>
      <c r="D261" s="5">
        <v>264240.0</v>
      </c>
      <c r="E261" s="6">
        <v>2000.0</v>
      </c>
      <c r="F261" s="6">
        <v>2500.0</v>
      </c>
      <c r="G261" s="6">
        <f t="shared" si="4"/>
        <v>268740.01</v>
      </c>
    </row>
    <row r="262" spans="8:8">
      <c r="A262" s="3" t="s">
        <v>272</v>
      </c>
      <c r="B262" s="4" t="s">
        <v>196</v>
      </c>
      <c r="C262" s="19">
        <v>0.01</v>
      </c>
      <c r="D262" s="5">
        <v>264240.0</v>
      </c>
      <c r="E262" s="6">
        <v>2000.0</v>
      </c>
      <c r="F262" s="6">
        <v>2500.0</v>
      </c>
      <c r="G262" s="6">
        <f t="shared" si="4"/>
        <v>268740.01</v>
      </c>
    </row>
    <row r="263" spans="8:8">
      <c r="A263" s="3" t="s">
        <v>273</v>
      </c>
      <c r="B263" s="4" t="s">
        <v>196</v>
      </c>
      <c r="C263" s="19">
        <v>0.01</v>
      </c>
      <c r="D263" s="5">
        <v>264240.0</v>
      </c>
      <c r="E263" s="6">
        <v>2000.0</v>
      </c>
      <c r="F263" s="6">
        <v>2500.0</v>
      </c>
      <c r="G263" s="6">
        <f t="shared" si="4"/>
        <v>268740.01</v>
      </c>
    </row>
    <row r="264" spans="8:8">
      <c r="A264" s="3" t="s">
        <v>274</v>
      </c>
      <c r="B264" s="4" t="s">
        <v>196</v>
      </c>
      <c r="C264" s="19">
        <v>0.01</v>
      </c>
      <c r="D264" s="5">
        <v>264240.0</v>
      </c>
      <c r="E264" s="6">
        <v>2000.0</v>
      </c>
      <c r="F264" s="6">
        <v>2500.0</v>
      </c>
      <c r="G264" s="6">
        <f t="shared" si="4"/>
        <v>268740.01</v>
      </c>
    </row>
    <row r="265" spans="8:8">
      <c r="A265" s="3" t="s">
        <v>275</v>
      </c>
      <c r="B265" s="4" t="s">
        <v>196</v>
      </c>
      <c r="C265" s="19">
        <v>0.01</v>
      </c>
      <c r="D265" s="5">
        <v>264240.0</v>
      </c>
      <c r="E265" s="6">
        <v>2000.0</v>
      </c>
      <c r="F265" s="6">
        <v>2500.0</v>
      </c>
      <c r="G265" s="6">
        <f t="shared" si="4"/>
        <v>268740.01</v>
      </c>
    </row>
    <row r="266" spans="8:8">
      <c r="A266" s="3" t="s">
        <v>276</v>
      </c>
      <c r="B266" s="4" t="s">
        <v>196</v>
      </c>
      <c r="C266" s="19">
        <v>0.01</v>
      </c>
      <c r="D266" s="5">
        <v>264240.0</v>
      </c>
      <c r="E266" s="6">
        <v>2000.0</v>
      </c>
      <c r="F266" s="6">
        <v>2500.0</v>
      </c>
      <c r="G266" s="6">
        <f t="shared" si="4"/>
        <v>268740.01</v>
      </c>
    </row>
    <row r="267" spans="8:8">
      <c r="A267" s="15" t="s">
        <v>277</v>
      </c>
      <c r="B267" s="16" t="s">
        <v>196</v>
      </c>
      <c r="C267" s="20">
        <v>0.01</v>
      </c>
      <c r="D267" s="5">
        <v>264240.0</v>
      </c>
      <c r="E267" s="6">
        <v>2000.0</v>
      </c>
      <c r="F267" s="6">
        <v>2500.0</v>
      </c>
      <c r="G267" s="17">
        <f t="shared" si="4"/>
        <v>268740.01</v>
      </c>
    </row>
    <row r="268" spans="8:8">
      <c r="A268" s="14" t="s">
        <v>318</v>
      </c>
      <c r="B268" s="4" t="s">
        <v>196</v>
      </c>
      <c r="C268" s="19">
        <v>0.01</v>
      </c>
      <c r="D268" s="5">
        <v>528480.0</v>
      </c>
      <c r="E268" s="6">
        <v>2000.0</v>
      </c>
      <c r="F268" s="6">
        <v>2500.0</v>
      </c>
      <c r="G268" s="6">
        <f t="shared" si="4"/>
        <v>532980.01</v>
      </c>
    </row>
    <row r="269" spans="8:8">
      <c r="A269" s="3" t="s">
        <v>279</v>
      </c>
      <c r="B269" s="4" t="s">
        <v>196</v>
      </c>
      <c r="C269" s="19">
        <v>0.01</v>
      </c>
      <c r="D269" s="5">
        <v>450480.0</v>
      </c>
      <c r="E269" s="6">
        <v>2000.0</v>
      </c>
      <c r="F269" s="6">
        <v>2500.0</v>
      </c>
      <c r="G269" s="6">
        <f t="shared" si="4"/>
        <v>454980.01</v>
      </c>
    </row>
    <row r="270" spans="8:8">
      <c r="A270" s="3" t="s">
        <v>280</v>
      </c>
      <c r="B270" s="4" t="s">
        <v>196</v>
      </c>
      <c r="C270" s="5">
        <v>66960.0</v>
      </c>
      <c r="D270" s="5">
        <v>264480.0</v>
      </c>
      <c r="E270" s="6">
        <v>2000.0</v>
      </c>
      <c r="F270" s="6">
        <v>2500.0</v>
      </c>
      <c r="G270" s="6">
        <f t="shared" si="4"/>
        <v>335940.0</v>
      </c>
    </row>
    <row r="271" spans="8:8">
      <c r="A271" s="10" t="s">
        <v>281</v>
      </c>
      <c r="B271" s="11" t="s">
        <v>282</v>
      </c>
      <c r="C271" s="12">
        <v>264720.01</v>
      </c>
      <c r="D271" s="21" t="s">
        <v>292</v>
      </c>
      <c r="E271" s="22"/>
      <c r="F271" s="22"/>
      <c r="G271" s="13">
        <f>(C271)</f>
        <v>264720.01</v>
      </c>
    </row>
    <row r="272" spans="8:8">
      <c r="A272" s="3" t="s">
        <v>283</v>
      </c>
      <c r="B272" s="4" t="s">
        <v>282</v>
      </c>
      <c r="C272" s="19">
        <v>540.0</v>
      </c>
      <c r="D272" s="23" t="s">
        <v>292</v>
      </c>
      <c r="E272" s="24"/>
      <c r="F272" s="24"/>
      <c r="G272" s="6">
        <f t="shared" si="5" ref="G272:G278">(C272)</f>
        <v>540.0</v>
      </c>
    </row>
    <row r="273" spans="8:8">
      <c r="A273" s="10" t="s">
        <v>284</v>
      </c>
      <c r="B273" s="25" t="s">
        <v>285</v>
      </c>
      <c r="C273" s="26">
        <v>1000.0</v>
      </c>
      <c r="D273" s="21" t="s">
        <v>292</v>
      </c>
      <c r="E273" s="22"/>
      <c r="F273" s="22"/>
      <c r="G273" s="13">
        <f t="shared" si="5"/>
        <v>1000.0</v>
      </c>
    </row>
    <row r="274" spans="8:8">
      <c r="A274" s="3" t="s">
        <v>286</v>
      </c>
      <c r="B274" s="16" t="s">
        <v>285</v>
      </c>
      <c r="C274" s="27">
        <v>2000.0</v>
      </c>
      <c r="D274" s="23" t="s">
        <v>292</v>
      </c>
      <c r="E274" s="24"/>
      <c r="F274" s="24"/>
      <c r="G274" s="6">
        <f t="shared" si="5"/>
        <v>2000.0</v>
      </c>
    </row>
    <row r="275" spans="8:8">
      <c r="A275" s="15" t="s">
        <v>4</v>
      </c>
      <c r="B275" s="16" t="s">
        <v>285</v>
      </c>
      <c r="C275" s="27">
        <v>2000.0</v>
      </c>
      <c r="D275" s="23" t="s">
        <v>292</v>
      </c>
      <c r="E275" s="28"/>
      <c r="F275" s="28"/>
      <c r="G275" s="17">
        <f t="shared" si="5"/>
        <v>2000.0</v>
      </c>
    </row>
    <row r="276" spans="8:8">
      <c r="A276" s="3" t="s">
        <v>287</v>
      </c>
      <c r="B276" s="16" t="s">
        <v>285</v>
      </c>
      <c r="C276" s="27">
        <v>250000.0</v>
      </c>
      <c r="D276" s="23" t="s">
        <v>292</v>
      </c>
      <c r="E276" s="24"/>
      <c r="F276" s="24"/>
      <c r="G276" s="6">
        <f t="shared" si="5"/>
        <v>250000.0</v>
      </c>
    </row>
    <row r="277" spans="8:8">
      <c r="A277" s="15" t="s">
        <v>5</v>
      </c>
      <c r="B277" s="16" t="s">
        <v>285</v>
      </c>
      <c r="C277" s="27">
        <v>2500.0</v>
      </c>
      <c r="D277" s="23" t="s">
        <v>292</v>
      </c>
      <c r="E277" s="28"/>
      <c r="F277" s="28"/>
      <c r="G277" s="17">
        <f t="shared" si="5"/>
        <v>2500.0</v>
      </c>
    </row>
    <row r="278" spans="8:8">
      <c r="A278" s="15" t="s">
        <v>288</v>
      </c>
      <c r="B278" s="16" t="s">
        <v>285</v>
      </c>
      <c r="C278" s="27">
        <v>30000.0</v>
      </c>
      <c r="D278" s="23" t="s">
        <v>292</v>
      </c>
      <c r="E278" s="28"/>
      <c r="F278" s="28"/>
      <c r="G278" s="17">
        <f t="shared" si="5"/>
        <v>30000.0</v>
      </c>
    </row>
    <row r="279" spans="8:8">
      <c r="A279" s="10" t="s">
        <v>289</v>
      </c>
      <c r="B279" s="25" t="s">
        <v>290</v>
      </c>
      <c r="C279" s="12">
        <v>0.01</v>
      </c>
      <c r="D279" s="12">
        <v>78960.0</v>
      </c>
      <c r="E279" s="13">
        <v>2000.0</v>
      </c>
      <c r="F279" s="13">
        <v>2500.0</v>
      </c>
      <c r="G279" s="13">
        <f>SUM(C279:F279)</f>
        <v>83460.01</v>
      </c>
    </row>
    <row r="280" spans="8:8">
      <c r="A280" s="3" t="s">
        <v>291</v>
      </c>
      <c r="B280" s="16" t="s">
        <v>290</v>
      </c>
      <c r="C280" s="5">
        <v>30000.0</v>
      </c>
      <c r="D280" s="5">
        <v>18720.0</v>
      </c>
      <c r="E280" s="13">
        <v>2000.0</v>
      </c>
      <c r="F280" s="6">
        <v>2500.0</v>
      </c>
      <c r="G280" s="13">
        <f>SUM(C280:F280)</f>
        <v>53220.0</v>
      </c>
    </row>
    <row r="281" spans="8:8">
      <c r="A281" s="3" t="s">
        <v>276</v>
      </c>
      <c r="B281" s="4" t="s">
        <v>196</v>
      </c>
      <c r="C281" s="19">
        <v>0.01</v>
      </c>
      <c r="D281" s="5">
        <v>264240.0</v>
      </c>
      <c r="E281" s="6">
        <v>2000.0</v>
      </c>
      <c r="F281" s="6">
        <v>2500.0</v>
      </c>
      <c r="G281" s="6">
        <f t="shared" si="6" ref="G281:G285">SUM(C281:F281)</f>
        <v>268740.01</v>
      </c>
    </row>
    <row r="282" spans="8:8">
      <c r="A282" s="15" t="s">
        <v>277</v>
      </c>
      <c r="B282" s="16" t="s">
        <v>196</v>
      </c>
      <c r="C282" s="20">
        <v>0.01</v>
      </c>
      <c r="D282" s="5">
        <v>264240.0</v>
      </c>
      <c r="E282" s="6">
        <v>2000.0</v>
      </c>
      <c r="F282" s="6">
        <v>2500.0</v>
      </c>
      <c r="G282" s="17">
        <f t="shared" si="6"/>
        <v>268740.01</v>
      </c>
    </row>
    <row r="283" spans="8:8">
      <c r="A283" s="3" t="s">
        <v>278</v>
      </c>
      <c r="B283" s="4" t="s">
        <v>196</v>
      </c>
      <c r="C283" s="19">
        <v>0.01</v>
      </c>
      <c r="D283" s="5">
        <v>528480.0</v>
      </c>
      <c r="E283" s="6">
        <v>2000.0</v>
      </c>
      <c r="F283" s="6">
        <v>2500.0</v>
      </c>
      <c r="G283" s="6">
        <f t="shared" si="6"/>
        <v>532980.01</v>
      </c>
    </row>
    <row r="284" spans="8:8">
      <c r="A284" s="3" t="s">
        <v>279</v>
      </c>
      <c r="B284" s="4" t="s">
        <v>196</v>
      </c>
      <c r="C284" s="19">
        <v>0.01</v>
      </c>
      <c r="D284" s="5">
        <v>450480.0</v>
      </c>
      <c r="E284" s="6">
        <v>2000.0</v>
      </c>
      <c r="F284" s="6">
        <v>2500.0</v>
      </c>
      <c r="G284" s="6">
        <f t="shared" si="6"/>
        <v>454980.01</v>
      </c>
    </row>
    <row r="285" spans="8:8">
      <c r="A285" s="29" t="s">
        <v>280</v>
      </c>
      <c r="B285" s="30" t="s">
        <v>196</v>
      </c>
      <c r="C285" s="7">
        <v>66960.0</v>
      </c>
      <c r="D285" s="7">
        <v>264480.0</v>
      </c>
      <c r="E285" s="31">
        <v>2000.0</v>
      </c>
      <c r="F285" s="31">
        <v>2500.0</v>
      </c>
      <c r="G285" s="31">
        <f t="shared" si="6"/>
        <v>335940.0</v>
      </c>
    </row>
    <row r="286" spans="8:8">
      <c r="A286" s="3" t="s">
        <v>281</v>
      </c>
      <c r="B286" s="4" t="s">
        <v>282</v>
      </c>
      <c r="C286" s="5">
        <v>264720.01</v>
      </c>
      <c r="D286" s="23" t="s">
        <v>292</v>
      </c>
      <c r="E286" s="24"/>
      <c r="F286" s="24"/>
      <c r="G286" s="6">
        <f>(C286)</f>
        <v>264720.01</v>
      </c>
    </row>
    <row r="287" spans="8:8">
      <c r="A287" s="3" t="s">
        <v>283</v>
      </c>
      <c r="B287" s="4" t="s">
        <v>282</v>
      </c>
      <c r="C287" s="19">
        <v>540.0</v>
      </c>
      <c r="D287" s="23" t="s">
        <v>292</v>
      </c>
      <c r="E287" s="24"/>
      <c r="F287" s="24"/>
      <c r="G287" s="6">
        <f t="shared" si="7" ref="G287:G294">(C287)</f>
        <v>540.0</v>
      </c>
    </row>
    <row r="288" spans="8:8">
      <c r="A288" s="10" t="s">
        <v>284</v>
      </c>
      <c r="B288" s="25" t="s">
        <v>285</v>
      </c>
      <c r="C288" s="26">
        <v>1000.0</v>
      </c>
      <c r="D288" s="21" t="s">
        <v>292</v>
      </c>
      <c r="E288" s="22"/>
      <c r="F288" s="22"/>
      <c r="G288" s="13">
        <f t="shared" si="7"/>
        <v>1000.0</v>
      </c>
    </row>
    <row r="289" spans="8:8">
      <c r="A289" s="3" t="s">
        <v>286</v>
      </c>
      <c r="B289" s="16" t="s">
        <v>285</v>
      </c>
      <c r="C289" s="27">
        <v>2000.0</v>
      </c>
      <c r="D289" s="23" t="s">
        <v>292</v>
      </c>
      <c r="E289" s="24"/>
      <c r="F289" s="24"/>
      <c r="G289" s="6">
        <f t="shared" si="7"/>
        <v>2000.0</v>
      </c>
    </row>
    <row r="290" spans="8:8">
      <c r="A290" s="15" t="s">
        <v>4</v>
      </c>
      <c r="B290" s="16" t="s">
        <v>285</v>
      </c>
      <c r="C290" s="27">
        <v>2000.0</v>
      </c>
      <c r="D290" s="23" t="s">
        <v>292</v>
      </c>
      <c r="E290" s="28"/>
      <c r="F290" s="28"/>
      <c r="G290" s="17">
        <f t="shared" si="7"/>
        <v>2000.0</v>
      </c>
    </row>
    <row r="291" spans="8:8">
      <c r="A291" s="3" t="s">
        <v>287</v>
      </c>
      <c r="B291" s="16" t="s">
        <v>285</v>
      </c>
      <c r="C291" s="27">
        <v>25000.0</v>
      </c>
      <c r="D291" s="23" t="s">
        <v>292</v>
      </c>
      <c r="E291" s="24"/>
      <c r="F291" s="24"/>
      <c r="G291" s="6">
        <f t="shared" si="7"/>
        <v>25000.0</v>
      </c>
    </row>
    <row r="292" spans="8:8">
      <c r="A292" s="14" t="s">
        <v>312</v>
      </c>
      <c r="B292" s="16" t="s">
        <v>285</v>
      </c>
      <c r="C292" s="27">
        <v>3600.0</v>
      </c>
      <c r="D292" s="23" t="s">
        <v>292</v>
      </c>
      <c r="E292" s="24"/>
      <c r="F292" s="24"/>
      <c r="G292" s="6">
        <f t="shared" si="8" ref="G292">(C292)</f>
        <v>3600.0</v>
      </c>
    </row>
    <row r="293" spans="8:8">
      <c r="A293" s="15" t="s">
        <v>5</v>
      </c>
      <c r="B293" s="16" t="s">
        <v>285</v>
      </c>
      <c r="C293" s="27">
        <v>2500.0</v>
      </c>
      <c r="D293" s="23" t="s">
        <v>292</v>
      </c>
      <c r="E293" s="28"/>
      <c r="F293" s="28"/>
      <c r="G293" s="17">
        <f t="shared" si="7"/>
        <v>2500.0</v>
      </c>
    </row>
    <row r="294" spans="8:8">
      <c r="A294" s="32" t="s">
        <v>288</v>
      </c>
      <c r="B294" s="33" t="s">
        <v>285</v>
      </c>
      <c r="C294" s="34">
        <v>30000.0</v>
      </c>
      <c r="D294" s="35" t="s">
        <v>292</v>
      </c>
      <c r="E294" s="36"/>
      <c r="F294" s="36"/>
      <c r="G294" s="37">
        <f t="shared" si="7"/>
        <v>30000.0</v>
      </c>
    </row>
    <row r="295" spans="8:8">
      <c r="A295" s="3" t="s">
        <v>289</v>
      </c>
      <c r="B295" s="16" t="s">
        <v>290</v>
      </c>
      <c r="C295" s="5">
        <v>0.01</v>
      </c>
      <c r="D295" s="5">
        <v>78960.0</v>
      </c>
      <c r="E295" s="6">
        <v>2000.0</v>
      </c>
      <c r="F295" s="6">
        <v>2500.0</v>
      </c>
      <c r="G295" s="6">
        <f>SUM(C295:F295)</f>
        <v>83460.01</v>
      </c>
    </row>
    <row r="296" spans="8:8">
      <c r="A296" s="3" t="s">
        <v>291</v>
      </c>
      <c r="B296" s="16" t="s">
        <v>290</v>
      </c>
      <c r="C296" s="5">
        <v>30000.0</v>
      </c>
      <c r="D296" s="5">
        <v>18720.0</v>
      </c>
      <c r="E296" s="6">
        <v>2000.0</v>
      </c>
      <c r="F296" s="6">
        <v>2500.0</v>
      </c>
      <c r="G296" s="6">
        <f>SUM(C296:F296)</f>
        <v>53220.0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K400"/>
  <sheetViews>
    <sheetView workbookViewId="0" topLeftCell="A15">
      <selection activeCell="B46" sqref="B46"/>
    </sheetView>
  </sheetViews>
  <sheetFormatPr defaultRowHeight="15.0" defaultColWidth="10"/>
  <cols>
    <col min="1" max="1" customWidth="1" width="57.570312" style="38"/>
    <col min="2" max="2" customWidth="1" width="13.5703125" style="39"/>
    <col min="3" max="3" hidden="1" customWidth="1" width="14.5703125" style="40"/>
    <col min="4" max="4" hidden="1" customWidth="1" width="17.855469" style="40"/>
    <col min="5" max="5" hidden="1" customWidth="1" width="16.570312" style="40"/>
    <col min="6" max="6" hidden="1" customWidth="1" width="0.85546875" style="40"/>
    <col min="7" max="7" customWidth="1" width="11.285156" style="41"/>
    <col min="8" max="16384" customWidth="0" width="11.425781" style="39"/>
  </cols>
  <sheetData>
    <row r="1" spans="8: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2" t="s">
        <v>294</v>
      </c>
    </row>
    <row r="2" spans="8:8">
      <c r="A2" s="3" t="s">
        <v>7</v>
      </c>
      <c r="B2" s="4" t="s">
        <v>8</v>
      </c>
      <c r="C2" s="19">
        <v>0.01</v>
      </c>
      <c r="D2" s="19">
        <v>16992.0</v>
      </c>
      <c r="E2" s="43">
        <v>1242.0</v>
      </c>
      <c r="F2" s="43">
        <v>200.0</v>
      </c>
      <c r="G2" s="44">
        <f t="shared" si="0" ref="G2:G61">SUM(C2:F2)</f>
        <v>18434.01</v>
      </c>
    </row>
    <row r="3" spans="8:8">
      <c r="A3" s="3" t="s">
        <v>9</v>
      </c>
      <c r="B3" s="4" t="s">
        <v>8</v>
      </c>
      <c r="C3" s="19">
        <v>0.01</v>
      </c>
      <c r="D3" s="19">
        <v>16992.0</v>
      </c>
      <c r="E3" s="43">
        <v>1242.0</v>
      </c>
      <c r="F3" s="43">
        <v>200.0</v>
      </c>
      <c r="G3" s="44">
        <f t="shared" si="0"/>
        <v>18434.01</v>
      </c>
    </row>
    <row r="4" spans="8:8">
      <c r="A4" s="3" t="s">
        <v>10</v>
      </c>
      <c r="B4" s="4" t="s">
        <v>8</v>
      </c>
      <c r="C4" s="19">
        <v>0.01</v>
      </c>
      <c r="D4" s="19">
        <v>16992.0</v>
      </c>
      <c r="E4" s="43">
        <v>1242.0</v>
      </c>
      <c r="F4" s="43">
        <v>200.0</v>
      </c>
      <c r="G4" s="44">
        <f t="shared" si="0"/>
        <v>18434.01</v>
      </c>
    </row>
    <row r="5" spans="8:8">
      <c r="A5" s="3" t="s">
        <v>11</v>
      </c>
      <c r="B5" s="4" t="s">
        <v>8</v>
      </c>
      <c r="C5" s="20">
        <v>0.01</v>
      </c>
      <c r="D5" s="20">
        <v>14352.0</v>
      </c>
      <c r="E5" s="43">
        <v>1242.0</v>
      </c>
      <c r="F5" s="43">
        <v>200.0</v>
      </c>
      <c r="G5" s="44">
        <f t="shared" si="0"/>
        <v>15794.01</v>
      </c>
    </row>
    <row r="6" spans="8:8">
      <c r="A6" s="10" t="s">
        <v>12</v>
      </c>
      <c r="B6" s="11" t="s">
        <v>13</v>
      </c>
      <c r="C6" s="45">
        <v>10080.0</v>
      </c>
      <c r="D6" s="45">
        <v>6048.0</v>
      </c>
      <c r="E6" s="46">
        <v>1242.0</v>
      </c>
      <c r="F6" s="46">
        <v>200.0</v>
      </c>
      <c r="G6" s="47">
        <f t="shared" si="0"/>
        <v>17570.0</v>
      </c>
      <c r="I6" s="48"/>
    </row>
    <row r="7" spans="8:8">
      <c r="A7" s="14" t="s">
        <v>311</v>
      </c>
      <c r="B7" s="4" t="s">
        <v>13</v>
      </c>
      <c r="C7" s="19">
        <v>20160.0</v>
      </c>
      <c r="D7" s="19">
        <v>7488.0</v>
      </c>
      <c r="E7" s="43">
        <v>1242.0</v>
      </c>
      <c r="F7" s="43">
        <v>200.0</v>
      </c>
      <c r="G7" s="44">
        <f t="shared" si="0"/>
        <v>29090.0</v>
      </c>
    </row>
    <row r="8" spans="8:8">
      <c r="A8" s="3" t="s">
        <v>15</v>
      </c>
      <c r="B8" s="4" t="s">
        <v>13</v>
      </c>
      <c r="C8" s="19">
        <v>8544.0</v>
      </c>
      <c r="D8" s="19">
        <v>6048.0</v>
      </c>
      <c r="E8" s="43">
        <v>1242.0</v>
      </c>
      <c r="F8" s="43">
        <v>200.0</v>
      </c>
      <c r="G8" s="44">
        <f t="shared" si="0"/>
        <v>16034.0</v>
      </c>
    </row>
    <row r="9" spans="8:8">
      <c r="A9" s="3" t="s">
        <v>16</v>
      </c>
      <c r="B9" s="4" t="s">
        <v>13</v>
      </c>
      <c r="C9" s="19">
        <v>10848.0</v>
      </c>
      <c r="D9" s="19">
        <v>6048.0</v>
      </c>
      <c r="E9" s="43">
        <v>1242.0</v>
      </c>
      <c r="F9" s="43">
        <v>200.0</v>
      </c>
      <c r="G9" s="44">
        <f t="shared" si="0"/>
        <v>18338.0</v>
      </c>
    </row>
    <row r="10" spans="8:8">
      <c r="A10" s="14" t="s">
        <v>17</v>
      </c>
      <c r="B10" s="4" t="s">
        <v>13</v>
      </c>
      <c r="C10" s="19">
        <v>37776.0</v>
      </c>
      <c r="D10" s="19">
        <v>13824.0</v>
      </c>
      <c r="E10" s="43">
        <v>1242.0</v>
      </c>
      <c r="F10" s="43">
        <v>200.0</v>
      </c>
      <c r="G10" s="44">
        <f t="shared" si="0"/>
        <v>53042.0</v>
      </c>
    </row>
    <row r="11" spans="8:8">
      <c r="A11" s="3" t="s">
        <v>18</v>
      </c>
      <c r="B11" s="4" t="s">
        <v>13</v>
      </c>
      <c r="C11" s="19">
        <v>20016.0</v>
      </c>
      <c r="D11" s="19">
        <v>13824.0</v>
      </c>
      <c r="E11" s="43">
        <v>1242.0</v>
      </c>
      <c r="F11" s="43">
        <v>200.0</v>
      </c>
      <c r="G11" s="44">
        <f t="shared" si="0"/>
        <v>35282.0</v>
      </c>
    </row>
    <row r="12" spans="8:8">
      <c r="A12" s="3" t="s">
        <v>19</v>
      </c>
      <c r="B12" s="4" t="s">
        <v>13</v>
      </c>
      <c r="C12" s="19">
        <v>9648.0</v>
      </c>
      <c r="D12" s="19">
        <v>13824.0</v>
      </c>
      <c r="E12" s="43">
        <v>1242.0</v>
      </c>
      <c r="F12" s="43">
        <v>200.0</v>
      </c>
      <c r="G12" s="44">
        <f t="shared" si="0"/>
        <v>24914.0</v>
      </c>
    </row>
    <row r="13" spans="8:8">
      <c r="A13" s="3" t="s">
        <v>20</v>
      </c>
      <c r="B13" s="4" t="s">
        <v>13</v>
      </c>
      <c r="C13" s="19">
        <v>10512.0</v>
      </c>
      <c r="D13" s="19">
        <v>15264.0</v>
      </c>
      <c r="E13" s="43">
        <v>1242.0</v>
      </c>
      <c r="F13" s="43">
        <v>200.0</v>
      </c>
      <c r="G13" s="44">
        <f t="shared" si="0"/>
        <v>27218.0</v>
      </c>
    </row>
    <row r="14" spans="8:8">
      <c r="A14" s="15" t="s">
        <v>21</v>
      </c>
      <c r="B14" s="16" t="s">
        <v>13</v>
      </c>
      <c r="C14" s="19">
        <v>10512.0</v>
      </c>
      <c r="D14" s="19">
        <v>15264.0</v>
      </c>
      <c r="E14" s="43">
        <v>1242.0</v>
      </c>
      <c r="F14" s="43">
        <v>200.0</v>
      </c>
      <c r="G14" s="44">
        <f t="shared" si="0"/>
        <v>27218.0</v>
      </c>
    </row>
    <row r="15" spans="8:8">
      <c r="A15" s="18" t="s">
        <v>310</v>
      </c>
      <c r="B15" s="16" t="s">
        <v>13</v>
      </c>
      <c r="C15" s="19">
        <v>10512.0</v>
      </c>
      <c r="D15" s="19">
        <v>14400.0</v>
      </c>
      <c r="E15" s="43">
        <v>1242.0</v>
      </c>
      <c r="F15" s="43">
        <v>200.0</v>
      </c>
      <c r="G15" s="44">
        <f t="shared" si="0"/>
        <v>26354.0</v>
      </c>
    </row>
    <row r="16" spans="8:8">
      <c r="A16" s="15" t="s">
        <v>23</v>
      </c>
      <c r="B16" s="16" t="s">
        <v>13</v>
      </c>
      <c r="C16" s="19">
        <v>10512.0</v>
      </c>
      <c r="D16" s="19">
        <v>14400.0</v>
      </c>
      <c r="E16" s="43">
        <v>1242.0</v>
      </c>
      <c r="F16" s="43">
        <v>200.0</v>
      </c>
      <c r="G16" s="44">
        <f t="shared" si="0"/>
        <v>26354.0</v>
      </c>
    </row>
    <row r="17" spans="8:8">
      <c r="A17" s="3" t="s">
        <v>24</v>
      </c>
      <c r="B17" s="4" t="s">
        <v>13</v>
      </c>
      <c r="C17" s="19">
        <v>9360.0</v>
      </c>
      <c r="D17" s="19">
        <v>13824.0</v>
      </c>
      <c r="E17" s="43">
        <v>1242.0</v>
      </c>
      <c r="F17" s="43">
        <v>200.0</v>
      </c>
      <c r="G17" s="44">
        <f t="shared" si="0"/>
        <v>24626.0</v>
      </c>
    </row>
    <row r="18" spans="8:8">
      <c r="A18" s="3" t="s">
        <v>25</v>
      </c>
      <c r="B18" s="4" t="s">
        <v>13</v>
      </c>
      <c r="C18" s="19">
        <v>8736.0</v>
      </c>
      <c r="D18" s="19">
        <v>13824.0</v>
      </c>
      <c r="E18" s="43">
        <v>1242.0</v>
      </c>
      <c r="F18" s="43">
        <v>200.0</v>
      </c>
      <c r="G18" s="44">
        <f t="shared" si="0"/>
        <v>24002.0</v>
      </c>
    </row>
    <row r="19" spans="8:8">
      <c r="A19" s="3" t="s">
        <v>26</v>
      </c>
      <c r="B19" s="4" t="s">
        <v>13</v>
      </c>
      <c r="C19" s="19">
        <v>12864.0</v>
      </c>
      <c r="D19" s="19">
        <v>14400.0</v>
      </c>
      <c r="E19" s="43">
        <v>1242.0</v>
      </c>
      <c r="F19" s="43">
        <v>200.0</v>
      </c>
      <c r="G19" s="44">
        <f t="shared" si="0"/>
        <v>28706.0</v>
      </c>
    </row>
    <row r="20" spans="8:8">
      <c r="A20" s="3" t="s">
        <v>27</v>
      </c>
      <c r="B20" s="4" t="s">
        <v>13</v>
      </c>
      <c r="C20" s="19">
        <v>9360.0</v>
      </c>
      <c r="D20" s="19">
        <v>14400.0</v>
      </c>
      <c r="E20" s="43">
        <v>1242.0</v>
      </c>
      <c r="F20" s="43">
        <v>200.0</v>
      </c>
      <c r="G20" s="44">
        <f t="shared" si="0"/>
        <v>25202.0</v>
      </c>
    </row>
    <row r="21" spans="8:8">
      <c r="A21" s="3" t="s">
        <v>28</v>
      </c>
      <c r="B21" s="4" t="s">
        <v>13</v>
      </c>
      <c r="C21" s="19">
        <v>12864.0</v>
      </c>
      <c r="D21" s="19">
        <v>13824.0</v>
      </c>
      <c r="E21" s="43">
        <v>1242.0</v>
      </c>
      <c r="F21" s="43">
        <v>200.0</v>
      </c>
      <c r="G21" s="44">
        <f t="shared" si="0"/>
        <v>28130.0</v>
      </c>
    </row>
    <row r="22" spans="8:8">
      <c r="A22" s="3" t="s">
        <v>29</v>
      </c>
      <c r="B22" s="4" t="s">
        <v>13</v>
      </c>
      <c r="C22" s="19">
        <v>11664.0</v>
      </c>
      <c r="D22" s="19">
        <v>14400.0</v>
      </c>
      <c r="E22" s="43">
        <v>1242.0</v>
      </c>
      <c r="F22" s="43">
        <v>200.0</v>
      </c>
      <c r="G22" s="44">
        <f t="shared" si="0"/>
        <v>27506.0</v>
      </c>
    </row>
    <row r="23" spans="8:8">
      <c r="A23" s="14" t="s">
        <v>306</v>
      </c>
      <c r="B23" s="4" t="s">
        <v>13</v>
      </c>
      <c r="C23" s="19">
        <v>8736.0</v>
      </c>
      <c r="D23" s="19">
        <v>14400.0</v>
      </c>
      <c r="E23" s="43">
        <v>1242.0</v>
      </c>
      <c r="F23" s="43">
        <v>200.0</v>
      </c>
      <c r="G23" s="44">
        <f t="shared" si="0"/>
        <v>24578.0</v>
      </c>
    </row>
    <row r="24" spans="8:8">
      <c r="A24" s="3" t="s">
        <v>31</v>
      </c>
      <c r="B24" s="4" t="s">
        <v>13</v>
      </c>
      <c r="C24" s="19">
        <v>8736.0</v>
      </c>
      <c r="D24" s="19">
        <v>13824.0</v>
      </c>
      <c r="E24" s="43">
        <v>1242.0</v>
      </c>
      <c r="F24" s="43">
        <v>200.0</v>
      </c>
      <c r="G24" s="44">
        <f t="shared" si="0"/>
        <v>24002.0</v>
      </c>
    </row>
    <row r="25" spans="8:8">
      <c r="A25" s="3" t="s">
        <v>32</v>
      </c>
      <c r="B25" s="4" t="s">
        <v>13</v>
      </c>
      <c r="C25" s="19">
        <v>15792.0</v>
      </c>
      <c r="D25" s="19">
        <v>14400.0</v>
      </c>
      <c r="E25" s="43">
        <v>1242.0</v>
      </c>
      <c r="F25" s="43">
        <v>200.0</v>
      </c>
      <c r="G25" s="44">
        <f t="shared" si="0"/>
        <v>31634.0</v>
      </c>
    </row>
    <row r="26" spans="8:8">
      <c r="A26" s="3" t="s">
        <v>33</v>
      </c>
      <c r="B26" s="4" t="s">
        <v>13</v>
      </c>
      <c r="C26" s="19">
        <v>15792.0</v>
      </c>
      <c r="D26" s="19">
        <v>14400.0</v>
      </c>
      <c r="E26" s="43">
        <v>1242.0</v>
      </c>
      <c r="F26" s="43">
        <v>200.0</v>
      </c>
      <c r="G26" s="44">
        <f t="shared" si="0"/>
        <v>31634.0</v>
      </c>
    </row>
    <row r="27" spans="8:8">
      <c r="A27" s="3" t="s">
        <v>34</v>
      </c>
      <c r="B27" s="4" t="s">
        <v>13</v>
      </c>
      <c r="C27" s="19">
        <v>11664.0</v>
      </c>
      <c r="D27" s="19">
        <v>14400.0</v>
      </c>
      <c r="E27" s="43">
        <v>1242.0</v>
      </c>
      <c r="F27" s="43">
        <v>200.0</v>
      </c>
      <c r="G27" s="44">
        <f t="shared" si="0"/>
        <v>27506.0</v>
      </c>
    </row>
    <row r="28" spans="8:8">
      <c r="A28" s="3" t="s">
        <v>35</v>
      </c>
      <c r="B28" s="4" t="s">
        <v>13</v>
      </c>
      <c r="C28" s="19">
        <v>15696.0</v>
      </c>
      <c r="D28" s="19">
        <v>13824.0</v>
      </c>
      <c r="E28" s="43">
        <v>1242.0</v>
      </c>
      <c r="F28" s="43">
        <v>200.0</v>
      </c>
      <c r="G28" s="44">
        <f t="shared" si="0"/>
        <v>30962.0</v>
      </c>
    </row>
    <row r="29" spans="8:8">
      <c r="A29" s="3" t="s">
        <v>36</v>
      </c>
      <c r="B29" s="4" t="s">
        <v>13</v>
      </c>
      <c r="C29" s="19">
        <v>11856.0</v>
      </c>
      <c r="D29" s="19">
        <v>14400.0</v>
      </c>
      <c r="E29" s="43">
        <v>1242.0</v>
      </c>
      <c r="F29" s="43">
        <v>200.0</v>
      </c>
      <c r="G29" s="44">
        <f t="shared" si="0"/>
        <v>27698.0</v>
      </c>
    </row>
    <row r="30" spans="8:8">
      <c r="A30" s="3" t="s">
        <v>37</v>
      </c>
      <c r="B30" s="4" t="s">
        <v>13</v>
      </c>
      <c r="C30" s="19">
        <v>6000.0</v>
      </c>
      <c r="D30" s="19">
        <v>13824.0</v>
      </c>
      <c r="E30" s="43">
        <v>1242.0</v>
      </c>
      <c r="F30" s="43">
        <v>200.0</v>
      </c>
      <c r="G30" s="44">
        <f t="shared" si="0"/>
        <v>21266.0</v>
      </c>
    </row>
    <row r="31" spans="8:8">
      <c r="A31" s="3" t="s">
        <v>38</v>
      </c>
      <c r="B31" s="4" t="s">
        <v>13</v>
      </c>
      <c r="C31" s="19">
        <v>6432.0</v>
      </c>
      <c r="D31" s="19">
        <v>13824.0</v>
      </c>
      <c r="E31" s="43">
        <v>1242.0</v>
      </c>
      <c r="F31" s="43">
        <v>200.0</v>
      </c>
      <c r="G31" s="44">
        <f t="shared" si="0"/>
        <v>21698.0</v>
      </c>
    </row>
    <row r="32" spans="8:8" s="49" ht="15.0" customFormat="1">
      <c r="A32" s="15" t="s">
        <v>41</v>
      </c>
      <c r="B32" s="16" t="s">
        <v>13</v>
      </c>
      <c r="C32" s="19">
        <v>5232.0</v>
      </c>
      <c r="D32" s="19">
        <v>13824.0</v>
      </c>
      <c r="E32" s="43">
        <v>1242.0</v>
      </c>
      <c r="F32" s="43">
        <v>200.0</v>
      </c>
      <c r="G32" s="44">
        <f t="shared" si="0"/>
        <v>20498.0</v>
      </c>
    </row>
    <row r="33" spans="8:8">
      <c r="A33" s="3" t="s">
        <v>42</v>
      </c>
      <c r="B33" s="4" t="s">
        <v>13</v>
      </c>
      <c r="C33" s="19">
        <v>5232.0</v>
      </c>
      <c r="D33" s="19">
        <v>13824.0</v>
      </c>
      <c r="E33" s="43">
        <v>1242.0</v>
      </c>
      <c r="F33" s="43">
        <v>200.0</v>
      </c>
      <c r="G33" s="44">
        <f t="shared" si="0"/>
        <v>20498.0</v>
      </c>
    </row>
    <row r="34" spans="8:8">
      <c r="A34" s="3" t="s">
        <v>43</v>
      </c>
      <c r="B34" s="4" t="s">
        <v>13</v>
      </c>
      <c r="C34" s="19">
        <v>11856.0</v>
      </c>
      <c r="D34" s="19">
        <v>13824.0</v>
      </c>
      <c r="E34" s="43">
        <v>1242.0</v>
      </c>
      <c r="F34" s="43">
        <v>200.0</v>
      </c>
      <c r="G34" s="44">
        <f t="shared" si="0"/>
        <v>27122.0</v>
      </c>
    </row>
    <row r="35" spans="8:8">
      <c r="A35" s="3" t="s">
        <v>44</v>
      </c>
      <c r="B35" s="4" t="s">
        <v>13</v>
      </c>
      <c r="C35" s="19">
        <v>6432.0</v>
      </c>
      <c r="D35" s="19">
        <v>13824.0</v>
      </c>
      <c r="E35" s="43">
        <v>1242.0</v>
      </c>
      <c r="F35" s="43">
        <v>200.0</v>
      </c>
      <c r="G35" s="44">
        <f t="shared" si="0"/>
        <v>21698.0</v>
      </c>
    </row>
    <row r="36" spans="8:8">
      <c r="A36" s="3" t="s">
        <v>45</v>
      </c>
      <c r="B36" s="4" t="s">
        <v>13</v>
      </c>
      <c r="C36" s="19">
        <v>24528.0</v>
      </c>
      <c r="D36" s="19">
        <v>14400.0</v>
      </c>
      <c r="E36" s="43">
        <v>1242.0</v>
      </c>
      <c r="F36" s="43">
        <v>200.0</v>
      </c>
      <c r="G36" s="44">
        <f t="shared" si="0"/>
        <v>40370.0</v>
      </c>
    </row>
    <row r="37" spans="8:8">
      <c r="A37" s="3" t="s">
        <v>46</v>
      </c>
      <c r="B37" s="4" t="s">
        <v>13</v>
      </c>
      <c r="C37" s="19">
        <v>24528.0</v>
      </c>
      <c r="D37" s="19">
        <v>14400.0</v>
      </c>
      <c r="E37" s="43">
        <v>1242.0</v>
      </c>
      <c r="F37" s="43">
        <v>200.0</v>
      </c>
      <c r="G37" s="44">
        <f t="shared" si="0"/>
        <v>40370.0</v>
      </c>
    </row>
    <row r="38" spans="8:8">
      <c r="A38" s="3" t="s">
        <v>47</v>
      </c>
      <c r="B38" s="4" t="s">
        <v>13</v>
      </c>
      <c r="C38" s="19">
        <v>34512.0</v>
      </c>
      <c r="D38" s="19">
        <v>14400.0</v>
      </c>
      <c r="E38" s="43">
        <v>1242.0</v>
      </c>
      <c r="F38" s="43">
        <v>200.0</v>
      </c>
      <c r="G38" s="44">
        <f t="shared" si="0"/>
        <v>50354.0</v>
      </c>
    </row>
    <row r="39" spans="8:8">
      <c r="A39" s="3" t="s">
        <v>48</v>
      </c>
      <c r="B39" s="4" t="s">
        <v>13</v>
      </c>
      <c r="C39" s="19">
        <v>14016.0</v>
      </c>
      <c r="D39" s="19">
        <v>14400.0</v>
      </c>
      <c r="E39" s="43">
        <v>1242.0</v>
      </c>
      <c r="F39" s="43">
        <v>200.0</v>
      </c>
      <c r="G39" s="44">
        <f t="shared" si="0"/>
        <v>29858.0</v>
      </c>
    </row>
    <row r="40" spans="8:8">
      <c r="A40" s="3" t="s">
        <v>49</v>
      </c>
      <c r="B40" s="4" t="s">
        <v>13</v>
      </c>
      <c r="C40" s="19">
        <v>5232.0</v>
      </c>
      <c r="D40" s="19">
        <v>13824.0</v>
      </c>
      <c r="E40" s="43">
        <v>1242.0</v>
      </c>
      <c r="F40" s="43">
        <v>200.0</v>
      </c>
      <c r="G40" s="44">
        <f t="shared" si="0"/>
        <v>20498.0</v>
      </c>
    </row>
    <row r="41" spans="8:8" s="49" ht="15.0" customFormat="1">
      <c r="A41" s="15" t="s">
        <v>50</v>
      </c>
      <c r="B41" s="16" t="s">
        <v>13</v>
      </c>
      <c r="C41" s="19">
        <v>5232.0</v>
      </c>
      <c r="D41" s="19">
        <v>13824.0</v>
      </c>
      <c r="E41" s="43">
        <v>1242.0</v>
      </c>
      <c r="F41" s="43">
        <v>200.0</v>
      </c>
      <c r="G41" s="44">
        <f t="shared" si="0"/>
        <v>20498.0</v>
      </c>
    </row>
    <row r="42" spans="8:8">
      <c r="A42" s="3" t="s">
        <v>51</v>
      </c>
      <c r="B42" s="4" t="s">
        <v>13</v>
      </c>
      <c r="C42" s="19">
        <v>5232.0</v>
      </c>
      <c r="D42" s="19">
        <v>13824.0</v>
      </c>
      <c r="E42" s="43">
        <v>1242.0</v>
      </c>
      <c r="F42" s="43">
        <v>200.0</v>
      </c>
      <c r="G42" s="44">
        <f t="shared" si="0"/>
        <v>20498.0</v>
      </c>
    </row>
    <row r="43" spans="8:8">
      <c r="A43" s="3" t="s">
        <v>52</v>
      </c>
      <c r="B43" s="4" t="s">
        <v>13</v>
      </c>
      <c r="C43" s="19">
        <v>5232.0</v>
      </c>
      <c r="D43" s="19">
        <v>13824.0</v>
      </c>
      <c r="E43" s="43">
        <v>1242.0</v>
      </c>
      <c r="F43" s="43">
        <v>200.0</v>
      </c>
      <c r="G43" s="44">
        <f t="shared" si="0"/>
        <v>20498.0</v>
      </c>
    </row>
    <row r="44" spans="8:8">
      <c r="A44" s="3" t="s">
        <v>53</v>
      </c>
      <c r="B44" s="4" t="s">
        <v>13</v>
      </c>
      <c r="C44" s="19">
        <v>7152.0</v>
      </c>
      <c r="D44" s="19">
        <v>13824.0</v>
      </c>
      <c r="E44" s="43">
        <v>1242.0</v>
      </c>
      <c r="F44" s="43">
        <v>200.0</v>
      </c>
      <c r="G44" s="44">
        <f t="shared" si="0"/>
        <v>22418.0</v>
      </c>
    </row>
    <row r="45" spans="8:8">
      <c r="A45" s="3" t="s">
        <v>54</v>
      </c>
      <c r="B45" s="4" t="s">
        <v>13</v>
      </c>
      <c r="C45" s="19">
        <v>11376.0</v>
      </c>
      <c r="D45" s="19">
        <v>13824.0</v>
      </c>
      <c r="E45" s="43">
        <v>1242.0</v>
      </c>
      <c r="F45" s="43">
        <v>200.0</v>
      </c>
      <c r="G45" s="44">
        <f t="shared" si="0"/>
        <v>26642.0</v>
      </c>
    </row>
    <row r="46" spans="8:8">
      <c r="A46" s="3" t="s">
        <v>55</v>
      </c>
      <c r="B46" s="4" t="s">
        <v>13</v>
      </c>
      <c r="C46" s="19">
        <v>7296.0</v>
      </c>
      <c r="D46" s="19">
        <v>14400.0</v>
      </c>
      <c r="E46" s="43">
        <v>1242.0</v>
      </c>
      <c r="F46" s="43">
        <v>200.0</v>
      </c>
      <c r="G46" s="44">
        <f t="shared" si="0"/>
        <v>23138.0</v>
      </c>
      <c r="H46" s="50"/>
    </row>
    <row r="47" spans="8:8">
      <c r="A47" s="3" t="s">
        <v>56</v>
      </c>
      <c r="B47" s="4" t="s">
        <v>13</v>
      </c>
      <c r="C47" s="19">
        <v>10800.0</v>
      </c>
      <c r="D47" s="19">
        <v>15840.0</v>
      </c>
      <c r="E47" s="43">
        <v>1242.0</v>
      </c>
      <c r="F47" s="43">
        <v>200.0</v>
      </c>
      <c r="G47" s="44">
        <f t="shared" si="0"/>
        <v>28082.0</v>
      </c>
    </row>
    <row r="48" spans="8:8">
      <c r="A48" s="10" t="s">
        <v>59</v>
      </c>
      <c r="B48" s="11" t="s">
        <v>60</v>
      </c>
      <c r="C48" s="45">
        <v>0.01</v>
      </c>
      <c r="D48" s="45">
        <v>17280.0</v>
      </c>
      <c r="E48" s="46">
        <v>1242.0</v>
      </c>
      <c r="F48" s="46">
        <v>200.0</v>
      </c>
      <c r="G48" s="47">
        <f t="shared" si="0"/>
        <v>18722.01</v>
      </c>
    </row>
    <row r="49" spans="8:8">
      <c r="A49" s="3" t="s">
        <v>61</v>
      </c>
      <c r="B49" s="4" t="s">
        <v>60</v>
      </c>
      <c r="C49" s="19">
        <v>3600.0</v>
      </c>
      <c r="D49" s="19">
        <v>30240.0</v>
      </c>
      <c r="E49" s="43">
        <v>1242.0</v>
      </c>
      <c r="F49" s="43">
        <v>200.0</v>
      </c>
      <c r="G49" s="44">
        <f t="shared" si="0"/>
        <v>35282.0</v>
      </c>
    </row>
    <row r="50" spans="8:8">
      <c r="A50" s="3" t="s">
        <v>62</v>
      </c>
      <c r="B50" s="4" t="s">
        <v>60</v>
      </c>
      <c r="C50" s="19">
        <v>0.01</v>
      </c>
      <c r="D50" s="19">
        <v>17280.0</v>
      </c>
      <c r="E50" s="43">
        <v>1242.0</v>
      </c>
      <c r="F50" s="43">
        <v>200.0</v>
      </c>
      <c r="G50" s="44">
        <f t="shared" si="0"/>
        <v>18722.01</v>
      </c>
    </row>
    <row r="51" spans="8:8">
      <c r="A51" s="3" t="s">
        <v>63</v>
      </c>
      <c r="B51" s="4" t="s">
        <v>60</v>
      </c>
      <c r="C51" s="19">
        <v>0.01</v>
      </c>
      <c r="D51" s="19">
        <v>17280.0</v>
      </c>
      <c r="E51" s="43">
        <v>1242.0</v>
      </c>
      <c r="F51" s="43">
        <v>200.0</v>
      </c>
      <c r="G51" s="44">
        <f t="shared" si="0"/>
        <v>18722.01</v>
      </c>
    </row>
    <row r="52" spans="8:8">
      <c r="A52" s="10" t="s">
        <v>64</v>
      </c>
      <c r="B52" s="11" t="s">
        <v>65</v>
      </c>
      <c r="C52" s="45">
        <v>0.01</v>
      </c>
      <c r="D52" s="45">
        <v>12720.0</v>
      </c>
      <c r="E52" s="46">
        <v>1242.0</v>
      </c>
      <c r="F52" s="46">
        <v>200.0</v>
      </c>
      <c r="G52" s="47">
        <f t="shared" si="0"/>
        <v>14162.01</v>
      </c>
    </row>
    <row r="53" spans="8:8">
      <c r="A53" s="3" t="s">
        <v>66</v>
      </c>
      <c r="B53" s="4" t="s">
        <v>65</v>
      </c>
      <c r="C53" s="19">
        <v>0.01</v>
      </c>
      <c r="D53" s="19">
        <v>13536.0</v>
      </c>
      <c r="E53" s="43">
        <v>1242.0</v>
      </c>
      <c r="F53" s="43">
        <v>200.0</v>
      </c>
      <c r="G53" s="44">
        <f t="shared" si="0"/>
        <v>14978.01</v>
      </c>
    </row>
    <row r="54" spans="8:8">
      <c r="A54" s="3" t="s">
        <v>67</v>
      </c>
      <c r="B54" s="4" t="s">
        <v>65</v>
      </c>
      <c r="C54" s="19">
        <v>0.01</v>
      </c>
      <c r="D54" s="19">
        <v>12720.0</v>
      </c>
      <c r="E54" s="43">
        <v>1242.0</v>
      </c>
      <c r="F54" s="43">
        <v>200.0</v>
      </c>
      <c r="G54" s="44">
        <f t="shared" si="0"/>
        <v>14162.01</v>
      </c>
    </row>
    <row r="55" spans="8:8">
      <c r="A55" s="3" t="s">
        <v>68</v>
      </c>
      <c r="B55" s="4" t="s">
        <v>65</v>
      </c>
      <c r="C55" s="19">
        <v>0.01</v>
      </c>
      <c r="D55" s="19">
        <v>13536.0</v>
      </c>
      <c r="E55" s="43">
        <v>1242.0</v>
      </c>
      <c r="F55" s="43">
        <v>200.0</v>
      </c>
      <c r="G55" s="44">
        <f t="shared" si="0"/>
        <v>14978.01</v>
      </c>
    </row>
    <row r="56" spans="8:8">
      <c r="A56" s="3" t="s">
        <v>69</v>
      </c>
      <c r="B56" s="4" t="s">
        <v>65</v>
      </c>
      <c r="C56" s="19">
        <v>0.01</v>
      </c>
      <c r="D56" s="19">
        <v>16512.0</v>
      </c>
      <c r="E56" s="43">
        <v>1242.0</v>
      </c>
      <c r="F56" s="43">
        <v>200.0</v>
      </c>
      <c r="G56" s="44">
        <f t="shared" si="0"/>
        <v>17954.01</v>
      </c>
    </row>
    <row r="57" spans="8:8">
      <c r="A57" s="3" t="s">
        <v>70</v>
      </c>
      <c r="B57" s="4" t="s">
        <v>65</v>
      </c>
      <c r="C57" s="19">
        <v>0.01</v>
      </c>
      <c r="D57" s="19">
        <v>12720.0</v>
      </c>
      <c r="E57" s="43">
        <v>1242.0</v>
      </c>
      <c r="F57" s="43">
        <v>200.0</v>
      </c>
      <c r="G57" s="44">
        <f t="shared" si="0"/>
        <v>14162.01</v>
      </c>
    </row>
    <row r="58" spans="8:8">
      <c r="A58" s="15" t="s">
        <v>71</v>
      </c>
      <c r="B58" s="16" t="s">
        <v>65</v>
      </c>
      <c r="C58" s="19">
        <v>0.01</v>
      </c>
      <c r="D58" s="19">
        <v>13728.0</v>
      </c>
      <c r="E58" s="43">
        <v>1242.0</v>
      </c>
      <c r="F58" s="43">
        <v>200.0</v>
      </c>
      <c r="G58" s="44">
        <f t="shared" si="0"/>
        <v>15170.01</v>
      </c>
    </row>
    <row r="59" spans="8:8">
      <c r="A59" s="15" t="s">
        <v>72</v>
      </c>
      <c r="B59" s="16" t="s">
        <v>65</v>
      </c>
      <c r="C59" s="19">
        <v>0.01</v>
      </c>
      <c r="D59" s="19">
        <v>14976.0</v>
      </c>
      <c r="E59" s="43">
        <v>1242.0</v>
      </c>
      <c r="F59" s="43">
        <v>200.0</v>
      </c>
      <c r="G59" s="44">
        <f t="shared" si="0"/>
        <v>16418.010000000002</v>
      </c>
    </row>
    <row r="60" spans="8:8">
      <c r="A60" s="3" t="s">
        <v>73</v>
      </c>
      <c r="B60" s="4" t="s">
        <v>65</v>
      </c>
      <c r="C60" s="19">
        <v>0.01</v>
      </c>
      <c r="D60" s="19">
        <v>12000.0</v>
      </c>
      <c r="E60" s="43">
        <v>1242.0</v>
      </c>
      <c r="F60" s="43">
        <v>200.0</v>
      </c>
      <c r="G60" s="44">
        <f t="shared" si="0"/>
        <v>13442.01</v>
      </c>
    </row>
    <row r="61" spans="8:8">
      <c r="A61" s="3" t="s">
        <v>74</v>
      </c>
      <c r="B61" s="4" t="s">
        <v>65</v>
      </c>
      <c r="C61" s="19">
        <v>0.01</v>
      </c>
      <c r="D61" s="19">
        <v>13152.0</v>
      </c>
      <c r="E61" s="43">
        <v>1242.0</v>
      </c>
      <c r="F61" s="43">
        <v>200.0</v>
      </c>
      <c r="G61" s="44">
        <f t="shared" si="0"/>
        <v>14594.01</v>
      </c>
    </row>
    <row r="62" spans="8:8">
      <c r="A62" s="3" t="s">
        <v>75</v>
      </c>
      <c r="B62" s="4" t="s">
        <v>65</v>
      </c>
      <c r="C62" s="19">
        <v>0.01</v>
      </c>
      <c r="D62" s="19">
        <v>20880.0</v>
      </c>
      <c r="E62" s="43">
        <v>1242.0</v>
      </c>
      <c r="F62" s="43">
        <v>200.0</v>
      </c>
      <c r="G62" s="44">
        <f t="shared" si="1" ref="G62:G125">SUM(C62:F62)</f>
        <v>22322.01</v>
      </c>
    </row>
    <row r="63" spans="8:8">
      <c r="A63" s="3" t="s">
        <v>76</v>
      </c>
      <c r="B63" s="4" t="s">
        <v>65</v>
      </c>
      <c r="C63" s="19">
        <v>0.01</v>
      </c>
      <c r="D63" s="19">
        <v>12720.0</v>
      </c>
      <c r="E63" s="43">
        <v>1242.0</v>
      </c>
      <c r="F63" s="43">
        <v>200.0</v>
      </c>
      <c r="G63" s="44">
        <f t="shared" si="1"/>
        <v>14162.01</v>
      </c>
    </row>
    <row r="64" spans="8:8">
      <c r="A64" s="3" t="s">
        <v>77</v>
      </c>
      <c r="B64" s="4" t="s">
        <v>65</v>
      </c>
      <c r="C64" s="19">
        <v>0.01</v>
      </c>
      <c r="D64" s="19">
        <v>13152.0</v>
      </c>
      <c r="E64" s="43">
        <v>1242.0</v>
      </c>
      <c r="F64" s="43">
        <v>200.0</v>
      </c>
      <c r="G64" s="44">
        <f t="shared" si="1"/>
        <v>14594.01</v>
      </c>
    </row>
    <row r="65" spans="8:8">
      <c r="A65" s="3" t="s">
        <v>78</v>
      </c>
      <c r="B65" s="4" t="s">
        <v>65</v>
      </c>
      <c r="C65" s="19">
        <v>0.01</v>
      </c>
      <c r="D65" s="19">
        <v>15648.0</v>
      </c>
      <c r="E65" s="43">
        <v>1242.0</v>
      </c>
      <c r="F65" s="43">
        <v>200.0</v>
      </c>
      <c r="G65" s="44">
        <f t="shared" si="1"/>
        <v>17090.010000000002</v>
      </c>
    </row>
    <row r="66" spans="8:8">
      <c r="A66" s="3" t="s">
        <v>79</v>
      </c>
      <c r="B66" s="4" t="s">
        <v>65</v>
      </c>
      <c r="C66" s="19">
        <v>0.01</v>
      </c>
      <c r="D66" s="19">
        <v>16512.0</v>
      </c>
      <c r="E66" s="43">
        <v>1242.0</v>
      </c>
      <c r="F66" s="43">
        <v>200.0</v>
      </c>
      <c r="G66" s="44">
        <f t="shared" si="1"/>
        <v>17954.01</v>
      </c>
    </row>
    <row r="67" spans="8:8">
      <c r="A67" s="3" t="s">
        <v>80</v>
      </c>
      <c r="B67" s="4" t="s">
        <v>65</v>
      </c>
      <c r="C67" s="19">
        <v>0.01</v>
      </c>
      <c r="D67" s="19">
        <v>12000.0</v>
      </c>
      <c r="E67" s="43">
        <v>1242.0</v>
      </c>
      <c r="F67" s="43">
        <v>200.0</v>
      </c>
      <c r="G67" s="44">
        <f t="shared" si="1"/>
        <v>13442.01</v>
      </c>
    </row>
    <row r="68" spans="8:8">
      <c r="A68" s="3" t="s">
        <v>81</v>
      </c>
      <c r="B68" s="4" t="s">
        <v>65</v>
      </c>
      <c r="C68" s="19">
        <v>0.01</v>
      </c>
      <c r="D68" s="19">
        <v>13152.0</v>
      </c>
      <c r="E68" s="43">
        <v>1242.0</v>
      </c>
      <c r="F68" s="43">
        <v>200.0</v>
      </c>
      <c r="G68" s="44">
        <f t="shared" si="1"/>
        <v>14594.01</v>
      </c>
    </row>
    <row r="69" spans="8:8">
      <c r="A69" s="3" t="s">
        <v>82</v>
      </c>
      <c r="B69" s="4" t="s">
        <v>65</v>
      </c>
      <c r="C69" s="19">
        <v>0.01</v>
      </c>
      <c r="D69" s="19">
        <v>19248.0</v>
      </c>
      <c r="E69" s="43">
        <v>1242.0</v>
      </c>
      <c r="F69" s="43">
        <v>200.0</v>
      </c>
      <c r="G69" s="44">
        <f t="shared" si="1"/>
        <v>20690.01</v>
      </c>
    </row>
    <row r="70" spans="8:8">
      <c r="A70" s="3" t="s">
        <v>83</v>
      </c>
      <c r="B70" s="4" t="s">
        <v>65</v>
      </c>
      <c r="C70" s="19">
        <v>0.01</v>
      </c>
      <c r="D70" s="19">
        <v>20448.0</v>
      </c>
      <c r="E70" s="43">
        <v>1242.0</v>
      </c>
      <c r="F70" s="43">
        <v>200.0</v>
      </c>
      <c r="G70" s="44">
        <f t="shared" si="1"/>
        <v>21890.01</v>
      </c>
    </row>
    <row r="71" spans="8:8">
      <c r="A71" s="3" t="s">
        <v>84</v>
      </c>
      <c r="B71" s="4" t="s">
        <v>65</v>
      </c>
      <c r="C71" s="19">
        <v>0.01</v>
      </c>
      <c r="D71" s="19">
        <v>13152.0</v>
      </c>
      <c r="E71" s="43">
        <v>1242.0</v>
      </c>
      <c r="F71" s="43">
        <v>200.0</v>
      </c>
      <c r="G71" s="44">
        <f t="shared" si="1"/>
        <v>14594.01</v>
      </c>
    </row>
    <row r="72" spans="8:8">
      <c r="A72" s="3" t="s">
        <v>85</v>
      </c>
      <c r="B72" s="4" t="s">
        <v>65</v>
      </c>
      <c r="C72" s="19">
        <v>0.01</v>
      </c>
      <c r="D72" s="19">
        <v>20448.0</v>
      </c>
      <c r="E72" s="43">
        <v>1242.0</v>
      </c>
      <c r="F72" s="43">
        <v>200.0</v>
      </c>
      <c r="G72" s="44">
        <f t="shared" si="1"/>
        <v>21890.01</v>
      </c>
    </row>
    <row r="73" spans="8:8">
      <c r="A73" s="3" t="s">
        <v>86</v>
      </c>
      <c r="B73" s="4" t="s">
        <v>65</v>
      </c>
      <c r="C73" s="19">
        <v>0.01</v>
      </c>
      <c r="D73" s="19">
        <v>13152.0</v>
      </c>
      <c r="E73" s="43">
        <v>1242.0</v>
      </c>
      <c r="F73" s="43">
        <v>200.0</v>
      </c>
      <c r="G73" s="44">
        <f t="shared" si="1"/>
        <v>14594.01</v>
      </c>
    </row>
    <row r="74" spans="8:8">
      <c r="A74" s="3" t="s">
        <v>87</v>
      </c>
      <c r="B74" s="4" t="s">
        <v>65</v>
      </c>
      <c r="C74" s="19">
        <v>0.01</v>
      </c>
      <c r="D74" s="19">
        <v>14736.0</v>
      </c>
      <c r="E74" s="43">
        <v>1242.0</v>
      </c>
      <c r="F74" s="43">
        <v>200.0</v>
      </c>
      <c r="G74" s="44">
        <f t="shared" si="1"/>
        <v>16178.01</v>
      </c>
    </row>
    <row r="75" spans="8:8">
      <c r="A75" s="3" t="s">
        <v>88</v>
      </c>
      <c r="B75" s="4" t="s">
        <v>65</v>
      </c>
      <c r="C75" s="19">
        <v>0.01</v>
      </c>
      <c r="D75" s="19">
        <v>16512.0</v>
      </c>
      <c r="E75" s="43">
        <v>1242.0</v>
      </c>
      <c r="F75" s="43">
        <v>200.0</v>
      </c>
      <c r="G75" s="44">
        <f t="shared" si="1"/>
        <v>17954.01</v>
      </c>
    </row>
    <row r="76" spans="8:8">
      <c r="A76" s="3" t="s">
        <v>89</v>
      </c>
      <c r="B76" s="4" t="s">
        <v>65</v>
      </c>
      <c r="C76" s="19">
        <v>0.01</v>
      </c>
      <c r="D76" s="19">
        <v>18720.0</v>
      </c>
      <c r="E76" s="43">
        <v>1242.0</v>
      </c>
      <c r="F76" s="43">
        <v>200.0</v>
      </c>
      <c r="G76" s="44">
        <f t="shared" si="1"/>
        <v>20162.01</v>
      </c>
    </row>
    <row r="77" spans="8:8">
      <c r="A77" s="3" t="s">
        <v>90</v>
      </c>
      <c r="B77" s="4" t="s">
        <v>65</v>
      </c>
      <c r="C77" s="19">
        <v>0.01</v>
      </c>
      <c r="D77" s="19">
        <v>19200.0</v>
      </c>
      <c r="E77" s="43">
        <v>1242.0</v>
      </c>
      <c r="F77" s="43">
        <v>200.0</v>
      </c>
      <c r="G77" s="44">
        <f t="shared" si="1"/>
        <v>20642.01</v>
      </c>
    </row>
    <row r="78" spans="8:8">
      <c r="A78" s="3" t="s">
        <v>91</v>
      </c>
      <c r="B78" s="4" t="s">
        <v>65</v>
      </c>
      <c r="C78" s="19">
        <v>0.01</v>
      </c>
      <c r="D78" s="19">
        <v>21312.0</v>
      </c>
      <c r="E78" s="43">
        <v>1242.0</v>
      </c>
      <c r="F78" s="43">
        <v>200.0</v>
      </c>
      <c r="G78" s="44">
        <f t="shared" si="1"/>
        <v>22754.01</v>
      </c>
    </row>
    <row r="79" spans="8:8">
      <c r="A79" s="3" t="s">
        <v>92</v>
      </c>
      <c r="B79" s="4" t="s">
        <v>65</v>
      </c>
      <c r="C79" s="19">
        <v>0.01</v>
      </c>
      <c r="D79" s="19">
        <v>12720.0</v>
      </c>
      <c r="E79" s="43">
        <v>1242.0</v>
      </c>
      <c r="F79" s="43">
        <v>200.0</v>
      </c>
      <c r="G79" s="44">
        <f t="shared" si="1"/>
        <v>14162.01</v>
      </c>
    </row>
    <row r="80" spans="8:8">
      <c r="A80" s="3" t="s">
        <v>93</v>
      </c>
      <c r="B80" s="4" t="s">
        <v>65</v>
      </c>
      <c r="C80" s="19">
        <v>0.01</v>
      </c>
      <c r="D80" s="19">
        <v>13536.0</v>
      </c>
      <c r="E80" s="43">
        <v>1242.0</v>
      </c>
      <c r="F80" s="43">
        <v>200.0</v>
      </c>
      <c r="G80" s="44">
        <f t="shared" si="1"/>
        <v>14978.01</v>
      </c>
    </row>
    <row r="81" spans="8:8">
      <c r="A81" s="3" t="s">
        <v>94</v>
      </c>
      <c r="B81" s="4" t="s">
        <v>65</v>
      </c>
      <c r="C81" s="19">
        <v>0.01</v>
      </c>
      <c r="D81" s="19">
        <v>16224.0</v>
      </c>
      <c r="E81" s="43">
        <v>1242.0</v>
      </c>
      <c r="F81" s="43">
        <v>200.0</v>
      </c>
      <c r="G81" s="44">
        <f t="shared" si="1"/>
        <v>17666.010000000002</v>
      </c>
    </row>
    <row r="82" spans="8:8">
      <c r="A82" s="3" t="s">
        <v>95</v>
      </c>
      <c r="B82" s="4" t="s">
        <v>65</v>
      </c>
      <c r="C82" s="19">
        <v>0.01</v>
      </c>
      <c r="D82" s="19">
        <v>14208.0</v>
      </c>
      <c r="E82" s="43">
        <v>1242.0</v>
      </c>
      <c r="F82" s="43">
        <v>200.0</v>
      </c>
      <c r="G82" s="44">
        <f t="shared" si="1"/>
        <v>15650.01</v>
      </c>
    </row>
    <row r="83" spans="8:8">
      <c r="A83" s="3" t="s">
        <v>96</v>
      </c>
      <c r="B83" s="4" t="s">
        <v>65</v>
      </c>
      <c r="C83" s="19">
        <v>0.01</v>
      </c>
      <c r="D83" s="19">
        <v>16512.0</v>
      </c>
      <c r="E83" s="43">
        <v>1242.0</v>
      </c>
      <c r="F83" s="43">
        <v>200.0</v>
      </c>
      <c r="G83" s="44">
        <f t="shared" si="1"/>
        <v>17954.01</v>
      </c>
    </row>
    <row r="84" spans="8:8">
      <c r="A84" s="3" t="s">
        <v>97</v>
      </c>
      <c r="B84" s="4" t="s">
        <v>65</v>
      </c>
      <c r="C84" s="19">
        <v>0.01</v>
      </c>
      <c r="D84" s="19">
        <v>12624.0</v>
      </c>
      <c r="E84" s="43">
        <v>1242.0</v>
      </c>
      <c r="F84" s="43">
        <v>200.0</v>
      </c>
      <c r="G84" s="44">
        <f t="shared" si="1"/>
        <v>14066.01</v>
      </c>
    </row>
    <row r="85" spans="8:8">
      <c r="A85" s="3" t="s">
        <v>98</v>
      </c>
      <c r="B85" s="4" t="s">
        <v>65</v>
      </c>
      <c r="C85" s="19">
        <v>0.01</v>
      </c>
      <c r="D85" s="19">
        <v>13536.0</v>
      </c>
      <c r="E85" s="43">
        <v>1242.0</v>
      </c>
      <c r="F85" s="43">
        <v>200.0</v>
      </c>
      <c r="G85" s="44">
        <f t="shared" si="1"/>
        <v>14978.01</v>
      </c>
    </row>
    <row r="86" spans="8:8">
      <c r="A86" s="3" t="s">
        <v>99</v>
      </c>
      <c r="B86" s="4" t="s">
        <v>65</v>
      </c>
      <c r="C86" s="19">
        <v>0.01</v>
      </c>
      <c r="D86" s="19">
        <v>16224.0</v>
      </c>
      <c r="E86" s="43">
        <v>1242.0</v>
      </c>
      <c r="F86" s="43">
        <v>200.0</v>
      </c>
      <c r="G86" s="44">
        <f t="shared" si="1"/>
        <v>17666.010000000002</v>
      </c>
    </row>
    <row r="87" spans="8:8">
      <c r="A87" s="3" t="s">
        <v>100</v>
      </c>
      <c r="B87" s="4" t="s">
        <v>65</v>
      </c>
      <c r="C87" s="19">
        <v>0.01</v>
      </c>
      <c r="D87" s="19">
        <v>20112.0</v>
      </c>
      <c r="E87" s="43">
        <v>1242.0</v>
      </c>
      <c r="F87" s="43">
        <v>200.0</v>
      </c>
      <c r="G87" s="44">
        <f t="shared" si="1"/>
        <v>21554.01</v>
      </c>
    </row>
    <row r="88" spans="8:8">
      <c r="A88" s="3" t="s">
        <v>101</v>
      </c>
      <c r="B88" s="4" t="s">
        <v>65</v>
      </c>
      <c r="C88" s="19">
        <v>0.01</v>
      </c>
      <c r="D88" s="19">
        <v>20640.0</v>
      </c>
      <c r="E88" s="43">
        <v>1242.0</v>
      </c>
      <c r="F88" s="43">
        <v>200.0</v>
      </c>
      <c r="G88" s="44">
        <f t="shared" si="1"/>
        <v>22082.01</v>
      </c>
    </row>
    <row r="89" spans="8:8">
      <c r="A89" s="3" t="s">
        <v>102</v>
      </c>
      <c r="B89" s="4" t="s">
        <v>65</v>
      </c>
      <c r="C89" s="19">
        <v>0.01</v>
      </c>
      <c r="D89" s="19">
        <v>13392.0</v>
      </c>
      <c r="E89" s="43">
        <v>1242.0</v>
      </c>
      <c r="F89" s="43">
        <v>200.0</v>
      </c>
      <c r="G89" s="44">
        <f t="shared" si="1"/>
        <v>14834.01</v>
      </c>
    </row>
    <row r="90" spans="8:8">
      <c r="A90" s="3" t="s">
        <v>103</v>
      </c>
      <c r="B90" s="4" t="s">
        <v>65</v>
      </c>
      <c r="C90" s="19">
        <v>0.01</v>
      </c>
      <c r="D90" s="19">
        <v>12720.0</v>
      </c>
      <c r="E90" s="43">
        <v>1242.0</v>
      </c>
      <c r="F90" s="43">
        <v>200.0</v>
      </c>
      <c r="G90" s="44">
        <f t="shared" si="1"/>
        <v>14162.01</v>
      </c>
    </row>
    <row r="91" spans="8:8">
      <c r="A91" s="3" t="s">
        <v>104</v>
      </c>
      <c r="B91" s="4" t="s">
        <v>65</v>
      </c>
      <c r="C91" s="19">
        <v>0.01</v>
      </c>
      <c r="D91" s="19">
        <v>13536.0</v>
      </c>
      <c r="E91" s="43">
        <v>1242.0</v>
      </c>
      <c r="F91" s="43">
        <v>200.0</v>
      </c>
      <c r="G91" s="44">
        <f t="shared" si="1"/>
        <v>14978.01</v>
      </c>
    </row>
    <row r="92" spans="8:8">
      <c r="A92" s="3" t="s">
        <v>105</v>
      </c>
      <c r="B92" s="4" t="s">
        <v>65</v>
      </c>
      <c r="C92" s="19">
        <v>0.01</v>
      </c>
      <c r="D92" s="19">
        <v>15168.0</v>
      </c>
      <c r="E92" s="43">
        <v>1242.0</v>
      </c>
      <c r="F92" s="43">
        <v>200.0</v>
      </c>
      <c r="G92" s="44">
        <f t="shared" si="1"/>
        <v>16610.010000000002</v>
      </c>
    </row>
    <row r="93" spans="8:8">
      <c r="A93" s="3" t="s">
        <v>106</v>
      </c>
      <c r="B93" s="4" t="s">
        <v>65</v>
      </c>
      <c r="C93" s="19">
        <v>0.01</v>
      </c>
      <c r="D93" s="19">
        <v>12720.0</v>
      </c>
      <c r="E93" s="43">
        <v>1242.0</v>
      </c>
      <c r="F93" s="43">
        <v>200.0</v>
      </c>
      <c r="G93" s="44">
        <f t="shared" si="1"/>
        <v>14162.01</v>
      </c>
    </row>
    <row r="94" spans="8:8">
      <c r="A94" s="3" t="s">
        <v>107</v>
      </c>
      <c r="B94" s="4" t="s">
        <v>65</v>
      </c>
      <c r="C94" s="19">
        <v>0.01</v>
      </c>
      <c r="D94" s="19">
        <v>13536.0</v>
      </c>
      <c r="E94" s="43">
        <v>1242.0</v>
      </c>
      <c r="F94" s="43">
        <v>200.0</v>
      </c>
      <c r="G94" s="44">
        <f t="shared" si="1"/>
        <v>14978.01</v>
      </c>
    </row>
    <row r="95" spans="8:8">
      <c r="A95" s="10" t="s">
        <v>108</v>
      </c>
      <c r="B95" s="11" t="s">
        <v>65</v>
      </c>
      <c r="C95" s="45">
        <v>0.01</v>
      </c>
      <c r="D95" s="45">
        <v>13392.0</v>
      </c>
      <c r="E95" s="46">
        <v>1242.0</v>
      </c>
      <c r="F95" s="46">
        <v>200.0</v>
      </c>
      <c r="G95" s="47">
        <f t="shared" si="1"/>
        <v>14834.01</v>
      </c>
    </row>
    <row r="96" spans="8:8">
      <c r="A96" s="3" t="s">
        <v>109</v>
      </c>
      <c r="B96" s="4" t="s">
        <v>65</v>
      </c>
      <c r="C96" s="19">
        <v>0.01</v>
      </c>
      <c r="D96" s="19">
        <v>15648.0</v>
      </c>
      <c r="E96" s="43">
        <v>1242.0</v>
      </c>
      <c r="F96" s="43">
        <v>200.0</v>
      </c>
      <c r="G96" s="44">
        <f t="shared" si="1"/>
        <v>17090.010000000002</v>
      </c>
    </row>
    <row r="97" spans="8:8">
      <c r="A97" s="3" t="s">
        <v>110</v>
      </c>
      <c r="B97" s="4" t="s">
        <v>65</v>
      </c>
      <c r="C97" s="19">
        <v>7200.0</v>
      </c>
      <c r="D97" s="19">
        <v>12432.0</v>
      </c>
      <c r="E97" s="43">
        <v>1242.0</v>
      </c>
      <c r="F97" s="43">
        <v>200.0</v>
      </c>
      <c r="G97" s="44">
        <f t="shared" si="1"/>
        <v>21074.0</v>
      </c>
    </row>
    <row r="98" spans="8:8">
      <c r="A98" s="3" t="s">
        <v>111</v>
      </c>
      <c r="B98" s="4" t="s">
        <v>65</v>
      </c>
      <c r="C98" s="19">
        <v>0.01</v>
      </c>
      <c r="D98" s="19">
        <v>12000.0</v>
      </c>
      <c r="E98" s="43">
        <v>1242.0</v>
      </c>
      <c r="F98" s="43">
        <v>200.0</v>
      </c>
      <c r="G98" s="44">
        <f t="shared" si="1"/>
        <v>13442.01</v>
      </c>
    </row>
    <row r="99" spans="8:8">
      <c r="A99" s="3" t="s">
        <v>112</v>
      </c>
      <c r="B99" s="4" t="s">
        <v>65</v>
      </c>
      <c r="C99" s="19">
        <v>0.01</v>
      </c>
      <c r="D99" s="19">
        <v>13728.0</v>
      </c>
      <c r="E99" s="43">
        <v>1242.0</v>
      </c>
      <c r="F99" s="43">
        <v>200.0</v>
      </c>
      <c r="G99" s="44">
        <f t="shared" si="1"/>
        <v>15170.01</v>
      </c>
    </row>
    <row r="100" spans="8:8">
      <c r="A100" s="3" t="s">
        <v>113</v>
      </c>
      <c r="B100" s="4" t="s">
        <v>65</v>
      </c>
      <c r="C100" s="19">
        <v>0.01</v>
      </c>
      <c r="D100" s="19">
        <v>14640.0</v>
      </c>
      <c r="E100" s="43">
        <v>1242.0</v>
      </c>
      <c r="F100" s="43">
        <v>200.0</v>
      </c>
      <c r="G100" s="44">
        <f t="shared" si="1"/>
        <v>16082.01</v>
      </c>
    </row>
    <row r="101" spans="8:8">
      <c r="A101" s="3" t="s">
        <v>114</v>
      </c>
      <c r="B101" s="4" t="s">
        <v>65</v>
      </c>
      <c r="C101" s="19">
        <v>0.01</v>
      </c>
      <c r="D101" s="19">
        <v>12912.0</v>
      </c>
      <c r="E101" s="43">
        <v>1242.0</v>
      </c>
      <c r="F101" s="43">
        <v>200.0</v>
      </c>
      <c r="G101" s="44">
        <f t="shared" si="1"/>
        <v>14354.01</v>
      </c>
    </row>
    <row r="102" spans="8:8">
      <c r="A102" s="3" t="s">
        <v>115</v>
      </c>
      <c r="B102" s="4" t="s">
        <v>65</v>
      </c>
      <c r="C102" s="19">
        <v>0.01</v>
      </c>
      <c r="D102" s="19">
        <v>13488.0</v>
      </c>
      <c r="E102" s="43">
        <v>1242.0</v>
      </c>
      <c r="F102" s="43">
        <v>200.0</v>
      </c>
      <c r="G102" s="44">
        <f t="shared" si="1"/>
        <v>14930.01</v>
      </c>
    </row>
    <row r="103" spans="8:8">
      <c r="A103" s="3" t="s">
        <v>116</v>
      </c>
      <c r="B103" s="4" t="s">
        <v>65</v>
      </c>
      <c r="C103" s="19">
        <v>0.01</v>
      </c>
      <c r="D103" s="19">
        <v>15072.0</v>
      </c>
      <c r="E103" s="43">
        <v>1242.0</v>
      </c>
      <c r="F103" s="43">
        <v>200.0</v>
      </c>
      <c r="G103" s="44">
        <f t="shared" si="1"/>
        <v>16514.010000000002</v>
      </c>
    </row>
    <row r="104" spans="8:8">
      <c r="A104" s="3" t="s">
        <v>117</v>
      </c>
      <c r="B104" s="4" t="s">
        <v>65</v>
      </c>
      <c r="C104" s="19">
        <v>0.01</v>
      </c>
      <c r="D104" s="19">
        <v>13248.0</v>
      </c>
      <c r="E104" s="43">
        <v>1242.0</v>
      </c>
      <c r="F104" s="43">
        <v>200.0</v>
      </c>
      <c r="G104" s="44">
        <f t="shared" si="1"/>
        <v>14690.01</v>
      </c>
    </row>
    <row r="105" spans="8:8">
      <c r="A105" s="3" t="s">
        <v>118</v>
      </c>
      <c r="B105" s="4" t="s">
        <v>65</v>
      </c>
      <c r="C105" s="19">
        <v>0.01</v>
      </c>
      <c r="D105" s="19">
        <v>11712.0</v>
      </c>
      <c r="E105" s="43">
        <v>1242.0</v>
      </c>
      <c r="F105" s="43">
        <v>200.0</v>
      </c>
      <c r="G105" s="44">
        <f t="shared" si="1"/>
        <v>13154.01</v>
      </c>
    </row>
    <row r="106" spans="8:8">
      <c r="A106" s="3" t="s">
        <v>119</v>
      </c>
      <c r="B106" s="4" t="s">
        <v>65</v>
      </c>
      <c r="C106" s="19">
        <v>0.01</v>
      </c>
      <c r="D106" s="19">
        <v>13488.0</v>
      </c>
      <c r="E106" s="43">
        <v>1242.0</v>
      </c>
      <c r="F106" s="43">
        <v>200.0</v>
      </c>
      <c r="G106" s="44">
        <f t="shared" si="1"/>
        <v>14930.01</v>
      </c>
    </row>
    <row r="107" spans="8:8">
      <c r="A107" s="3" t="s">
        <v>120</v>
      </c>
      <c r="B107" s="4" t="s">
        <v>65</v>
      </c>
      <c r="C107" s="19">
        <v>0.01</v>
      </c>
      <c r="D107" s="19">
        <v>18912.0</v>
      </c>
      <c r="E107" s="43">
        <v>1242.0</v>
      </c>
      <c r="F107" s="43">
        <v>200.0</v>
      </c>
      <c r="G107" s="44">
        <f t="shared" si="1"/>
        <v>20354.01</v>
      </c>
    </row>
    <row r="108" spans="8:8">
      <c r="A108" s="3" t="s">
        <v>121</v>
      </c>
      <c r="B108" s="4" t="s">
        <v>65</v>
      </c>
      <c r="C108" s="19">
        <v>0.01</v>
      </c>
      <c r="D108" s="19">
        <v>20832.0</v>
      </c>
      <c r="E108" s="43">
        <v>1242.0</v>
      </c>
      <c r="F108" s="43">
        <v>200.0</v>
      </c>
      <c r="G108" s="44">
        <f t="shared" si="1"/>
        <v>22274.01</v>
      </c>
    </row>
    <row r="109" spans="8:8">
      <c r="A109" s="3" t="s">
        <v>122</v>
      </c>
      <c r="B109" s="4" t="s">
        <v>65</v>
      </c>
      <c r="C109" s="19">
        <v>0.01</v>
      </c>
      <c r="D109" s="19">
        <v>12432.0</v>
      </c>
      <c r="E109" s="43">
        <v>1242.0</v>
      </c>
      <c r="F109" s="43">
        <v>200.0</v>
      </c>
      <c r="G109" s="44">
        <f t="shared" si="1"/>
        <v>13874.01</v>
      </c>
    </row>
    <row r="110" spans="8:8">
      <c r="A110" s="3" t="s">
        <v>123</v>
      </c>
      <c r="B110" s="4" t="s">
        <v>65</v>
      </c>
      <c r="C110" s="19">
        <v>0.01</v>
      </c>
      <c r="D110" s="19">
        <v>13872.0</v>
      </c>
      <c r="E110" s="43">
        <v>1242.0</v>
      </c>
      <c r="F110" s="43">
        <v>200.0</v>
      </c>
      <c r="G110" s="44">
        <f t="shared" si="1"/>
        <v>15314.01</v>
      </c>
    </row>
    <row r="111" spans="8:8">
      <c r="A111" s="3" t="s">
        <v>124</v>
      </c>
      <c r="B111" s="4" t="s">
        <v>65</v>
      </c>
      <c r="C111" s="19">
        <v>0.01</v>
      </c>
      <c r="D111" s="19">
        <v>15504.0</v>
      </c>
      <c r="E111" s="43">
        <v>1242.0</v>
      </c>
      <c r="F111" s="43">
        <v>200.0</v>
      </c>
      <c r="G111" s="44">
        <f t="shared" si="1"/>
        <v>16946.010000000002</v>
      </c>
    </row>
    <row r="112" spans="8:8">
      <c r="A112" s="3" t="s">
        <v>125</v>
      </c>
      <c r="B112" s="4" t="s">
        <v>65</v>
      </c>
      <c r="C112" s="19">
        <v>0.01</v>
      </c>
      <c r="D112" s="19">
        <v>16176.0</v>
      </c>
      <c r="E112" s="43">
        <v>1242.0</v>
      </c>
      <c r="F112" s="43">
        <v>200.0</v>
      </c>
      <c r="G112" s="44">
        <f t="shared" si="1"/>
        <v>17618.010000000002</v>
      </c>
    </row>
    <row r="113" spans="8:8">
      <c r="A113" s="3" t="s">
        <v>126</v>
      </c>
      <c r="B113" s="4" t="s">
        <v>65</v>
      </c>
      <c r="C113" s="19">
        <v>0.01</v>
      </c>
      <c r="D113" s="19">
        <v>21552.0</v>
      </c>
      <c r="E113" s="43">
        <v>1242.0</v>
      </c>
      <c r="F113" s="43">
        <v>200.0</v>
      </c>
      <c r="G113" s="44">
        <f t="shared" si="1"/>
        <v>22994.01</v>
      </c>
    </row>
    <row r="114" spans="8:8">
      <c r="A114" s="3" t="s">
        <v>127</v>
      </c>
      <c r="B114" s="4" t="s">
        <v>65</v>
      </c>
      <c r="C114" s="19">
        <v>0.01</v>
      </c>
      <c r="D114" s="19">
        <v>19584.0</v>
      </c>
      <c r="E114" s="43">
        <v>1242.0</v>
      </c>
      <c r="F114" s="43">
        <v>200.0</v>
      </c>
      <c r="G114" s="44">
        <f t="shared" si="1"/>
        <v>21026.01</v>
      </c>
    </row>
    <row r="115" spans="8:8">
      <c r="A115" s="3" t="s">
        <v>128</v>
      </c>
      <c r="B115" s="4" t="s">
        <v>65</v>
      </c>
      <c r="C115" s="19">
        <v>0.01</v>
      </c>
      <c r="D115" s="19">
        <v>20832.0</v>
      </c>
      <c r="E115" s="43">
        <v>1242.0</v>
      </c>
      <c r="F115" s="43">
        <v>200.0</v>
      </c>
      <c r="G115" s="44">
        <f t="shared" si="1"/>
        <v>22274.01</v>
      </c>
    </row>
    <row r="116" spans="8:8">
      <c r="A116" s="3" t="s">
        <v>129</v>
      </c>
      <c r="B116" s="4" t="s">
        <v>65</v>
      </c>
      <c r="C116" s="19">
        <v>0.01</v>
      </c>
      <c r="D116" s="19">
        <v>21600.0</v>
      </c>
      <c r="E116" s="43">
        <v>1242.0</v>
      </c>
      <c r="F116" s="43">
        <v>200.0</v>
      </c>
      <c r="G116" s="44">
        <f t="shared" si="1"/>
        <v>23042.01</v>
      </c>
    </row>
    <row r="117" spans="8:8">
      <c r="A117" s="3" t="s">
        <v>130</v>
      </c>
      <c r="B117" s="4" t="s">
        <v>65</v>
      </c>
      <c r="C117" s="19">
        <v>0.01</v>
      </c>
      <c r="D117" s="19">
        <v>23760.0</v>
      </c>
      <c r="E117" s="43">
        <v>1242.0</v>
      </c>
      <c r="F117" s="43">
        <v>200.0</v>
      </c>
      <c r="G117" s="44">
        <f t="shared" si="1"/>
        <v>25202.01</v>
      </c>
    </row>
    <row r="118" spans="8:8">
      <c r="A118" s="3" t="s">
        <v>131</v>
      </c>
      <c r="B118" s="4" t="s">
        <v>65</v>
      </c>
      <c r="C118" s="19">
        <v>0.01</v>
      </c>
      <c r="D118" s="19">
        <v>24528.0</v>
      </c>
      <c r="E118" s="43">
        <v>1242.0</v>
      </c>
      <c r="F118" s="43">
        <v>200.0</v>
      </c>
      <c r="G118" s="44">
        <f t="shared" si="1"/>
        <v>25970.01</v>
      </c>
    </row>
    <row r="119" spans="8:8">
      <c r="A119" s="3" t="s">
        <v>132</v>
      </c>
      <c r="B119" s="4" t="s">
        <v>65</v>
      </c>
      <c r="C119" s="19">
        <v>0.01</v>
      </c>
      <c r="D119" s="19">
        <v>12384.0</v>
      </c>
      <c r="E119" s="43">
        <v>1242.0</v>
      </c>
      <c r="F119" s="43">
        <v>200.0</v>
      </c>
      <c r="G119" s="44">
        <f t="shared" si="1"/>
        <v>13826.01</v>
      </c>
    </row>
    <row r="120" spans="8:8">
      <c r="A120" s="3" t="s">
        <v>133</v>
      </c>
      <c r="B120" s="4" t="s">
        <v>65</v>
      </c>
      <c r="C120" s="19">
        <v>0.01</v>
      </c>
      <c r="D120" s="19">
        <v>13488.0</v>
      </c>
      <c r="E120" s="43">
        <v>1242.0</v>
      </c>
      <c r="F120" s="43">
        <v>200.0</v>
      </c>
      <c r="G120" s="44">
        <f t="shared" si="1"/>
        <v>14930.01</v>
      </c>
    </row>
    <row r="121" spans="8:8">
      <c r="A121" s="3" t="s">
        <v>134</v>
      </c>
      <c r="B121" s="4" t="s">
        <v>65</v>
      </c>
      <c r="C121" s="19">
        <v>0.01</v>
      </c>
      <c r="D121" s="19">
        <v>14544.0</v>
      </c>
      <c r="E121" s="43">
        <v>1242.0</v>
      </c>
      <c r="F121" s="43">
        <v>200.0</v>
      </c>
      <c r="G121" s="44">
        <f t="shared" si="1"/>
        <v>15986.01</v>
      </c>
    </row>
    <row r="122" spans="8:8">
      <c r="A122" s="3" t="s">
        <v>135</v>
      </c>
      <c r="B122" s="4" t="s">
        <v>65</v>
      </c>
      <c r="C122" s="19">
        <v>0.01</v>
      </c>
      <c r="D122" s="19">
        <v>12912.0</v>
      </c>
      <c r="E122" s="43">
        <v>1242.0</v>
      </c>
      <c r="F122" s="43">
        <v>200.0</v>
      </c>
      <c r="G122" s="44">
        <f t="shared" si="1"/>
        <v>14354.01</v>
      </c>
    </row>
    <row r="123" spans="8:8">
      <c r="A123" s="3" t="s">
        <v>136</v>
      </c>
      <c r="B123" s="4" t="s">
        <v>65</v>
      </c>
      <c r="C123" s="19">
        <v>0.01</v>
      </c>
      <c r="D123" s="19">
        <v>13488.0</v>
      </c>
      <c r="E123" s="43">
        <v>1242.0</v>
      </c>
      <c r="F123" s="43">
        <v>200.0</v>
      </c>
      <c r="G123" s="44">
        <f t="shared" si="1"/>
        <v>14930.01</v>
      </c>
    </row>
    <row r="124" spans="8:8">
      <c r="A124" s="3" t="s">
        <v>137</v>
      </c>
      <c r="B124" s="4" t="s">
        <v>65</v>
      </c>
      <c r="C124" s="19">
        <v>0.01</v>
      </c>
      <c r="D124" s="19">
        <v>19200.0</v>
      </c>
      <c r="E124" s="43">
        <v>1242.0</v>
      </c>
      <c r="F124" s="43">
        <v>200.0</v>
      </c>
      <c r="G124" s="44">
        <f t="shared" si="1"/>
        <v>20642.01</v>
      </c>
    </row>
    <row r="125" spans="8:8">
      <c r="A125" s="3" t="s">
        <v>138</v>
      </c>
      <c r="B125" s="4" t="s">
        <v>65</v>
      </c>
      <c r="C125" s="19">
        <v>0.01</v>
      </c>
      <c r="D125" s="19">
        <v>20304.0</v>
      </c>
      <c r="E125" s="43">
        <v>1242.0</v>
      </c>
      <c r="F125" s="43">
        <v>200.0</v>
      </c>
      <c r="G125" s="44">
        <f t="shared" si="1"/>
        <v>21746.01</v>
      </c>
    </row>
    <row r="126" spans="8:8">
      <c r="A126" s="3" t="s">
        <v>139</v>
      </c>
      <c r="B126" s="4" t="s">
        <v>65</v>
      </c>
      <c r="C126" s="19">
        <v>0.01</v>
      </c>
      <c r="D126" s="19">
        <v>12000.0</v>
      </c>
      <c r="E126" s="43">
        <v>1242.0</v>
      </c>
      <c r="F126" s="43">
        <v>200.0</v>
      </c>
      <c r="G126" s="44">
        <f t="shared" si="2" ref="G126:G186">SUM(C126:F126)</f>
        <v>13442.01</v>
      </c>
    </row>
    <row r="127" spans="8:8">
      <c r="A127" s="3" t="s">
        <v>140</v>
      </c>
      <c r="B127" s="4" t="s">
        <v>65</v>
      </c>
      <c r="C127" s="19">
        <v>0.01</v>
      </c>
      <c r="D127" s="19">
        <v>13152.0</v>
      </c>
      <c r="E127" s="43">
        <v>1242.0</v>
      </c>
      <c r="F127" s="43">
        <v>200.0</v>
      </c>
      <c r="G127" s="44">
        <f t="shared" si="2"/>
        <v>14594.01</v>
      </c>
    </row>
    <row r="128" spans="8:8">
      <c r="A128" s="3" t="s">
        <v>141</v>
      </c>
      <c r="B128" s="4" t="s">
        <v>65</v>
      </c>
      <c r="C128" s="19">
        <v>0.01</v>
      </c>
      <c r="D128" s="19">
        <v>15648.0</v>
      </c>
      <c r="E128" s="43">
        <v>1242.0</v>
      </c>
      <c r="F128" s="43">
        <v>200.0</v>
      </c>
      <c r="G128" s="44">
        <f t="shared" si="2"/>
        <v>17090.010000000002</v>
      </c>
    </row>
    <row r="129" spans="8:8">
      <c r="A129" s="3" t="s">
        <v>142</v>
      </c>
      <c r="B129" s="4" t="s">
        <v>65</v>
      </c>
      <c r="C129" s="19">
        <v>0.01</v>
      </c>
      <c r="D129" s="19">
        <v>19440.0</v>
      </c>
      <c r="E129" s="43">
        <v>1242.0</v>
      </c>
      <c r="F129" s="43">
        <v>200.0</v>
      </c>
      <c r="G129" s="44">
        <f t="shared" si="2"/>
        <v>20882.01</v>
      </c>
    </row>
    <row r="130" spans="8:8">
      <c r="A130" s="3" t="s">
        <v>143</v>
      </c>
      <c r="B130" s="4" t="s">
        <v>65</v>
      </c>
      <c r="C130" s="19">
        <v>0.01</v>
      </c>
      <c r="D130" s="19">
        <v>21504.0</v>
      </c>
      <c r="E130" s="43">
        <v>1242.0</v>
      </c>
      <c r="F130" s="43">
        <v>200.0</v>
      </c>
      <c r="G130" s="44">
        <f t="shared" si="2"/>
        <v>22946.01</v>
      </c>
    </row>
    <row r="131" spans="8:8">
      <c r="A131" s="3" t="s">
        <v>144</v>
      </c>
      <c r="B131" s="4" t="s">
        <v>65</v>
      </c>
      <c r="C131" s="19">
        <v>0.01</v>
      </c>
      <c r="D131" s="19">
        <v>21792.0</v>
      </c>
      <c r="E131" s="43">
        <v>1242.0</v>
      </c>
      <c r="F131" s="43">
        <v>200.0</v>
      </c>
      <c r="G131" s="44">
        <f t="shared" si="2"/>
        <v>23234.01</v>
      </c>
    </row>
    <row r="132" spans="8:8">
      <c r="A132" s="3" t="s">
        <v>145</v>
      </c>
      <c r="B132" s="4" t="s">
        <v>65</v>
      </c>
      <c r="C132" s="19">
        <v>0.01</v>
      </c>
      <c r="D132" s="19">
        <v>12000.0</v>
      </c>
      <c r="E132" s="43">
        <v>1242.0</v>
      </c>
      <c r="F132" s="43">
        <v>200.0</v>
      </c>
      <c r="G132" s="44">
        <f t="shared" si="2"/>
        <v>13442.01</v>
      </c>
    </row>
    <row r="133" spans="8:8">
      <c r="A133" s="3" t="s">
        <v>146</v>
      </c>
      <c r="B133" s="4" t="s">
        <v>65</v>
      </c>
      <c r="C133" s="19">
        <v>0.01</v>
      </c>
      <c r="D133" s="19">
        <v>13152.0</v>
      </c>
      <c r="E133" s="43">
        <v>1242.0</v>
      </c>
      <c r="F133" s="43">
        <v>200.0</v>
      </c>
      <c r="G133" s="44">
        <f t="shared" si="2"/>
        <v>14594.01</v>
      </c>
    </row>
    <row r="134" spans="8:8">
      <c r="A134" s="3" t="s">
        <v>147</v>
      </c>
      <c r="B134" s="4" t="s">
        <v>65</v>
      </c>
      <c r="C134" s="19">
        <v>0.01</v>
      </c>
      <c r="D134" s="19">
        <v>15648.0</v>
      </c>
      <c r="E134" s="43">
        <v>1242.0</v>
      </c>
      <c r="F134" s="43">
        <v>200.0</v>
      </c>
      <c r="G134" s="44">
        <f t="shared" si="2"/>
        <v>17090.010000000002</v>
      </c>
    </row>
    <row r="135" spans="8:8">
      <c r="A135" s="3" t="s">
        <v>148</v>
      </c>
      <c r="B135" s="4" t="s">
        <v>65</v>
      </c>
      <c r="C135" s="19">
        <v>0.01</v>
      </c>
      <c r="D135" s="19">
        <v>13152.0</v>
      </c>
      <c r="E135" s="43">
        <v>1242.0</v>
      </c>
      <c r="F135" s="43">
        <v>200.0</v>
      </c>
      <c r="G135" s="44">
        <f t="shared" si="2"/>
        <v>14594.01</v>
      </c>
    </row>
    <row r="136" spans="8:8">
      <c r="A136" s="3" t="s">
        <v>149</v>
      </c>
      <c r="B136" s="4" t="s">
        <v>65</v>
      </c>
      <c r="C136" s="19">
        <v>0.01</v>
      </c>
      <c r="D136" s="19">
        <v>15648.0</v>
      </c>
      <c r="E136" s="43">
        <v>1242.0</v>
      </c>
      <c r="F136" s="43">
        <v>200.0</v>
      </c>
      <c r="G136" s="44">
        <f t="shared" si="2"/>
        <v>17090.010000000002</v>
      </c>
    </row>
    <row r="137" spans="8:8">
      <c r="A137" s="3" t="s">
        <v>150</v>
      </c>
      <c r="B137" s="4" t="s">
        <v>65</v>
      </c>
      <c r="C137" s="19">
        <v>0.01</v>
      </c>
      <c r="D137" s="19">
        <v>25968.0</v>
      </c>
      <c r="E137" s="43">
        <v>1242.0</v>
      </c>
      <c r="F137" s="43">
        <v>200.0</v>
      </c>
      <c r="G137" s="44">
        <f t="shared" si="2"/>
        <v>27410.01</v>
      </c>
    </row>
    <row r="138" spans="8:8">
      <c r="A138" s="3" t="s">
        <v>151</v>
      </c>
      <c r="B138" s="4" t="s">
        <v>65</v>
      </c>
      <c r="C138" s="19">
        <v>0.01</v>
      </c>
      <c r="D138" s="19">
        <v>21552.0</v>
      </c>
      <c r="E138" s="43">
        <v>1242.0</v>
      </c>
      <c r="F138" s="43">
        <v>200.0</v>
      </c>
      <c r="G138" s="44">
        <f t="shared" si="2"/>
        <v>22994.01</v>
      </c>
    </row>
    <row r="139" spans="8:8">
      <c r="A139" s="3" t="s">
        <v>152</v>
      </c>
      <c r="B139" s="4" t="s">
        <v>65</v>
      </c>
      <c r="C139" s="19">
        <v>0.01</v>
      </c>
      <c r="D139" s="19">
        <v>22176.0</v>
      </c>
      <c r="E139" s="43">
        <v>1242.0</v>
      </c>
      <c r="F139" s="43">
        <v>200.0</v>
      </c>
      <c r="G139" s="44">
        <f t="shared" si="2"/>
        <v>23618.01</v>
      </c>
    </row>
    <row r="140" spans="8:8">
      <c r="A140" s="3" t="s">
        <v>153</v>
      </c>
      <c r="B140" s="4" t="s">
        <v>65</v>
      </c>
      <c r="C140" s="19">
        <v>0.01</v>
      </c>
      <c r="D140" s="19">
        <v>62400.0</v>
      </c>
      <c r="E140" s="43">
        <v>1242.0</v>
      </c>
      <c r="F140" s="43">
        <v>200.0</v>
      </c>
      <c r="G140" s="44">
        <f t="shared" si="2"/>
        <v>63842.01</v>
      </c>
    </row>
    <row r="141" spans="8:8">
      <c r="A141" s="3" t="s">
        <v>154</v>
      </c>
      <c r="B141" s="4" t="s">
        <v>65</v>
      </c>
      <c r="C141" s="19">
        <v>0.01</v>
      </c>
      <c r="D141" s="19">
        <v>12000.0</v>
      </c>
      <c r="E141" s="43">
        <v>1242.0</v>
      </c>
      <c r="F141" s="43">
        <v>200.0</v>
      </c>
      <c r="G141" s="44">
        <f t="shared" si="2"/>
        <v>13442.01</v>
      </c>
    </row>
    <row r="142" spans="8:8">
      <c r="A142" s="3" t="s">
        <v>155</v>
      </c>
      <c r="B142" s="4" t="s">
        <v>65</v>
      </c>
      <c r="C142" s="19">
        <v>0.01</v>
      </c>
      <c r="D142" s="19">
        <v>12720.0</v>
      </c>
      <c r="E142" s="43">
        <v>1242.0</v>
      </c>
      <c r="F142" s="43">
        <v>200.0</v>
      </c>
      <c r="G142" s="44">
        <f t="shared" si="2"/>
        <v>14162.01</v>
      </c>
    </row>
    <row r="143" spans="8:8">
      <c r="A143" s="3" t="s">
        <v>156</v>
      </c>
      <c r="B143" s="4" t="s">
        <v>65</v>
      </c>
      <c r="C143" s="19">
        <v>0.01</v>
      </c>
      <c r="D143" s="19">
        <v>13536.0</v>
      </c>
      <c r="E143" s="43">
        <v>1242.0</v>
      </c>
      <c r="F143" s="43">
        <v>200.0</v>
      </c>
      <c r="G143" s="44">
        <f t="shared" si="2"/>
        <v>14978.01</v>
      </c>
    </row>
    <row r="144" spans="8:8">
      <c r="A144" s="10" t="s">
        <v>157</v>
      </c>
      <c r="B144" s="11" t="s">
        <v>65</v>
      </c>
      <c r="C144" s="45">
        <v>0.01</v>
      </c>
      <c r="D144" s="45">
        <v>12720.0</v>
      </c>
      <c r="E144" s="46">
        <v>1242.0</v>
      </c>
      <c r="F144" s="46">
        <v>200.0</v>
      </c>
      <c r="G144" s="47">
        <f t="shared" si="2"/>
        <v>14162.01</v>
      </c>
    </row>
    <row r="145" spans="8:8">
      <c r="A145" s="3" t="s">
        <v>158</v>
      </c>
      <c r="B145" s="4" t="s">
        <v>65</v>
      </c>
      <c r="C145" s="19">
        <v>0.01</v>
      </c>
      <c r="D145" s="19">
        <v>13536.0</v>
      </c>
      <c r="E145" s="43">
        <v>1242.0</v>
      </c>
      <c r="F145" s="43">
        <v>200.0</v>
      </c>
      <c r="G145" s="44">
        <f t="shared" si="2"/>
        <v>14978.01</v>
      </c>
    </row>
    <row r="146" spans="8:8">
      <c r="A146" s="3" t="s">
        <v>159</v>
      </c>
      <c r="B146" s="4" t="s">
        <v>65</v>
      </c>
      <c r="C146" s="19">
        <v>0.01</v>
      </c>
      <c r="D146" s="19">
        <v>14640.0</v>
      </c>
      <c r="E146" s="43">
        <v>1242.0</v>
      </c>
      <c r="F146" s="43">
        <v>200.0</v>
      </c>
      <c r="G146" s="44">
        <f t="shared" si="2"/>
        <v>16082.01</v>
      </c>
    </row>
    <row r="147" spans="8:8">
      <c r="A147" s="3" t="s">
        <v>160</v>
      </c>
      <c r="B147" s="4" t="s">
        <v>65</v>
      </c>
      <c r="C147" s="19">
        <v>0.01</v>
      </c>
      <c r="D147" s="19">
        <v>13152.0</v>
      </c>
      <c r="E147" s="43">
        <v>1242.0</v>
      </c>
      <c r="F147" s="43">
        <v>200.0</v>
      </c>
      <c r="G147" s="44">
        <f t="shared" si="2"/>
        <v>14594.01</v>
      </c>
    </row>
    <row r="148" spans="8:8">
      <c r="A148" s="3" t="s">
        <v>161</v>
      </c>
      <c r="B148" s="4" t="s">
        <v>65</v>
      </c>
      <c r="C148" s="19">
        <v>0.01</v>
      </c>
      <c r="D148" s="19">
        <v>15648.0</v>
      </c>
      <c r="E148" s="43">
        <v>1242.0</v>
      </c>
      <c r="F148" s="43">
        <v>200.0</v>
      </c>
      <c r="G148" s="44">
        <f t="shared" si="2"/>
        <v>17090.010000000002</v>
      </c>
    </row>
    <row r="149" spans="8:8">
      <c r="A149" s="3" t="s">
        <v>162</v>
      </c>
      <c r="B149" s="4" t="s">
        <v>65</v>
      </c>
      <c r="C149" s="19">
        <v>0.01</v>
      </c>
      <c r="D149" s="19">
        <v>20448.0</v>
      </c>
      <c r="E149" s="43">
        <v>1242.0</v>
      </c>
      <c r="F149" s="43">
        <v>200.0</v>
      </c>
      <c r="G149" s="44">
        <f t="shared" si="2"/>
        <v>21890.01</v>
      </c>
    </row>
    <row r="150" spans="8:8">
      <c r="A150" s="3" t="s">
        <v>163</v>
      </c>
      <c r="B150" s="4" t="s">
        <v>65</v>
      </c>
      <c r="C150" s="19">
        <v>0.01</v>
      </c>
      <c r="D150" s="19">
        <v>22560.0</v>
      </c>
      <c r="E150" s="43">
        <v>1242.0</v>
      </c>
      <c r="F150" s="43">
        <v>200.0</v>
      </c>
      <c r="G150" s="44">
        <f t="shared" si="2"/>
        <v>24002.01</v>
      </c>
    </row>
    <row r="151" spans="8:8">
      <c r="A151" s="3" t="s">
        <v>164</v>
      </c>
      <c r="B151" s="4" t="s">
        <v>65</v>
      </c>
      <c r="C151" s="19">
        <v>0.01</v>
      </c>
      <c r="D151" s="19">
        <v>11712.0</v>
      </c>
      <c r="E151" s="43">
        <v>1242.0</v>
      </c>
      <c r="F151" s="43">
        <v>200.0</v>
      </c>
      <c r="G151" s="44">
        <f t="shared" si="2"/>
        <v>13154.01</v>
      </c>
    </row>
    <row r="152" spans="8:8">
      <c r="A152" s="3" t="s">
        <v>165</v>
      </c>
      <c r="B152" s="4" t="s">
        <v>65</v>
      </c>
      <c r="C152" s="19">
        <v>0.01</v>
      </c>
      <c r="D152" s="19">
        <v>13152.0</v>
      </c>
      <c r="E152" s="43">
        <v>1242.0</v>
      </c>
      <c r="F152" s="43">
        <v>200.0</v>
      </c>
      <c r="G152" s="44">
        <f t="shared" si="2"/>
        <v>14594.01</v>
      </c>
    </row>
    <row r="153" spans="8:8">
      <c r="A153" s="3" t="s">
        <v>166</v>
      </c>
      <c r="B153" s="4" t="s">
        <v>65</v>
      </c>
      <c r="C153" s="19">
        <v>0.01</v>
      </c>
      <c r="D153" s="19">
        <v>12000.0</v>
      </c>
      <c r="E153" s="43">
        <v>1242.0</v>
      </c>
      <c r="F153" s="43">
        <v>200.0</v>
      </c>
      <c r="G153" s="44">
        <f t="shared" si="2"/>
        <v>13442.01</v>
      </c>
    </row>
    <row r="154" spans="8:8">
      <c r="A154" s="3" t="s">
        <v>167</v>
      </c>
      <c r="B154" s="4" t="s">
        <v>65</v>
      </c>
      <c r="C154" s="19">
        <v>0.01</v>
      </c>
      <c r="D154" s="19">
        <v>13200.0</v>
      </c>
      <c r="E154" s="43">
        <v>1242.0</v>
      </c>
      <c r="F154" s="43">
        <v>200.0</v>
      </c>
      <c r="G154" s="44">
        <f t="shared" si="2"/>
        <v>14642.01</v>
      </c>
    </row>
    <row r="155" spans="8:8">
      <c r="A155" s="3" t="s">
        <v>168</v>
      </c>
      <c r="B155" s="4" t="s">
        <v>65</v>
      </c>
      <c r="C155" s="19">
        <v>0.01</v>
      </c>
      <c r="D155" s="19">
        <v>12048.0</v>
      </c>
      <c r="E155" s="43">
        <v>1242.0</v>
      </c>
      <c r="F155" s="43">
        <v>200.0</v>
      </c>
      <c r="G155" s="44">
        <f t="shared" si="2"/>
        <v>13490.01</v>
      </c>
    </row>
    <row r="156" spans="8:8">
      <c r="A156" s="3" t="s">
        <v>169</v>
      </c>
      <c r="B156" s="4" t="s">
        <v>65</v>
      </c>
      <c r="C156" s="19">
        <v>0.01</v>
      </c>
      <c r="D156" s="19">
        <v>21264.0</v>
      </c>
      <c r="E156" s="43">
        <v>1242.0</v>
      </c>
      <c r="F156" s="43">
        <v>200.0</v>
      </c>
      <c r="G156" s="44">
        <f t="shared" si="2"/>
        <v>22706.01</v>
      </c>
    </row>
    <row r="157" spans="8:8">
      <c r="A157" s="3" t="s">
        <v>170</v>
      </c>
      <c r="B157" s="4" t="s">
        <v>65</v>
      </c>
      <c r="C157" s="19">
        <v>0.01</v>
      </c>
      <c r="D157" s="19">
        <v>12000.0</v>
      </c>
      <c r="E157" s="43">
        <v>1242.0</v>
      </c>
      <c r="F157" s="43">
        <v>200.0</v>
      </c>
      <c r="G157" s="44">
        <f t="shared" si="2"/>
        <v>13442.01</v>
      </c>
    </row>
    <row r="158" spans="8:8">
      <c r="A158" s="3" t="s">
        <v>171</v>
      </c>
      <c r="B158" s="4" t="s">
        <v>65</v>
      </c>
      <c r="C158" s="19">
        <v>0.01</v>
      </c>
      <c r="D158" s="19">
        <v>14256.0</v>
      </c>
      <c r="E158" s="43">
        <v>1242.0</v>
      </c>
      <c r="F158" s="43">
        <v>200.0</v>
      </c>
      <c r="G158" s="44">
        <f t="shared" si="2"/>
        <v>15698.01</v>
      </c>
    </row>
    <row r="159" spans="8:8">
      <c r="A159" s="3" t="s">
        <v>172</v>
      </c>
      <c r="B159" s="4" t="s">
        <v>65</v>
      </c>
      <c r="C159" s="19">
        <v>0.01</v>
      </c>
      <c r="D159" s="19">
        <v>15264.0</v>
      </c>
      <c r="E159" s="43">
        <v>1242.0</v>
      </c>
      <c r="F159" s="43">
        <v>200.0</v>
      </c>
      <c r="G159" s="44">
        <f t="shared" si="2"/>
        <v>16706.010000000002</v>
      </c>
    </row>
    <row r="160" spans="8:8">
      <c r="A160" s="3" t="s">
        <v>173</v>
      </c>
      <c r="B160" s="4" t="s">
        <v>65</v>
      </c>
      <c r="C160" s="19">
        <v>0.01</v>
      </c>
      <c r="D160" s="19">
        <v>19248.0</v>
      </c>
      <c r="E160" s="43">
        <v>1242.0</v>
      </c>
      <c r="F160" s="43">
        <v>200.0</v>
      </c>
      <c r="G160" s="44">
        <f t="shared" si="2"/>
        <v>20690.01</v>
      </c>
    </row>
    <row r="161" spans="8:8">
      <c r="A161" s="3" t="s">
        <v>174</v>
      </c>
      <c r="B161" s="4" t="s">
        <v>65</v>
      </c>
      <c r="C161" s="19">
        <v>0.01</v>
      </c>
      <c r="D161" s="19">
        <v>21264.0</v>
      </c>
      <c r="E161" s="43">
        <v>1242.0</v>
      </c>
      <c r="F161" s="43">
        <v>200.0</v>
      </c>
      <c r="G161" s="44">
        <f t="shared" si="2"/>
        <v>22706.01</v>
      </c>
    </row>
    <row r="162" spans="8:8">
      <c r="A162" s="3" t="s">
        <v>175</v>
      </c>
      <c r="B162" s="4" t="s">
        <v>65</v>
      </c>
      <c r="C162" s="19">
        <v>0.01</v>
      </c>
      <c r="D162" s="19">
        <v>21792.0</v>
      </c>
      <c r="E162" s="43">
        <v>1242.0</v>
      </c>
      <c r="F162" s="43">
        <v>200.0</v>
      </c>
      <c r="G162" s="44">
        <f t="shared" si="2"/>
        <v>23234.01</v>
      </c>
    </row>
    <row r="163" spans="8:8">
      <c r="A163" s="3" t="s">
        <v>176</v>
      </c>
      <c r="B163" s="4" t="s">
        <v>65</v>
      </c>
      <c r="C163" s="19">
        <v>0.01</v>
      </c>
      <c r="D163" s="19">
        <v>11856.0</v>
      </c>
      <c r="E163" s="43">
        <v>1242.0</v>
      </c>
      <c r="F163" s="43">
        <v>200.0</v>
      </c>
      <c r="G163" s="44">
        <f t="shared" si="2"/>
        <v>13298.01</v>
      </c>
    </row>
    <row r="164" spans="8:8">
      <c r="A164" s="3" t="s">
        <v>177</v>
      </c>
      <c r="B164" s="4" t="s">
        <v>65</v>
      </c>
      <c r="C164" s="19">
        <v>0.01</v>
      </c>
      <c r="D164" s="19">
        <v>14736.0</v>
      </c>
      <c r="E164" s="43">
        <v>1242.0</v>
      </c>
      <c r="F164" s="43">
        <v>200.0</v>
      </c>
      <c r="G164" s="44">
        <f t="shared" si="2"/>
        <v>16178.01</v>
      </c>
    </row>
    <row r="165" spans="8:8">
      <c r="A165" s="3" t="s">
        <v>178</v>
      </c>
      <c r="B165" s="4" t="s">
        <v>65</v>
      </c>
      <c r="C165" s="19">
        <v>8640.0</v>
      </c>
      <c r="D165" s="19">
        <v>224976.0</v>
      </c>
      <c r="E165" s="43">
        <v>1242.0</v>
      </c>
      <c r="F165" s="43">
        <v>200.0</v>
      </c>
      <c r="G165" s="44">
        <f t="shared" si="2"/>
        <v>235058.0</v>
      </c>
    </row>
    <row r="166" spans="8:8">
      <c r="A166" s="3" t="s">
        <v>179</v>
      </c>
      <c r="B166" s="4" t="s">
        <v>65</v>
      </c>
      <c r="C166" s="19">
        <v>0.01</v>
      </c>
      <c r="D166" s="19">
        <v>28848.0</v>
      </c>
      <c r="E166" s="43">
        <v>1242.0</v>
      </c>
      <c r="F166" s="43">
        <v>200.0</v>
      </c>
      <c r="G166" s="44">
        <f t="shared" si="2"/>
        <v>30290.01</v>
      </c>
    </row>
    <row r="167" spans="8:8">
      <c r="A167" s="3" t="s">
        <v>180</v>
      </c>
      <c r="B167" s="4" t="s">
        <v>65</v>
      </c>
      <c r="C167" s="19">
        <v>0.01</v>
      </c>
      <c r="D167" s="19">
        <v>13152.0</v>
      </c>
      <c r="E167" s="43">
        <v>1242.0</v>
      </c>
      <c r="F167" s="43">
        <v>200.0</v>
      </c>
      <c r="G167" s="44">
        <f t="shared" si="2"/>
        <v>14594.01</v>
      </c>
    </row>
    <row r="168" spans="8:8">
      <c r="A168" s="3" t="s">
        <v>181</v>
      </c>
      <c r="B168" s="4" t="s">
        <v>65</v>
      </c>
      <c r="C168" s="19">
        <v>0.01</v>
      </c>
      <c r="D168" s="19">
        <v>20448.0</v>
      </c>
      <c r="E168" s="43">
        <v>1242.0</v>
      </c>
      <c r="F168" s="43">
        <v>200.0</v>
      </c>
      <c r="G168" s="44">
        <f t="shared" si="2"/>
        <v>21890.01</v>
      </c>
    </row>
    <row r="169" spans="8:8">
      <c r="A169" s="3" t="s">
        <v>182</v>
      </c>
      <c r="B169" s="4" t="s">
        <v>65</v>
      </c>
      <c r="C169" s="19">
        <v>0.01</v>
      </c>
      <c r="D169" s="19">
        <v>12000.0</v>
      </c>
      <c r="E169" s="43">
        <v>1242.0</v>
      </c>
      <c r="F169" s="43">
        <v>200.0</v>
      </c>
      <c r="G169" s="44">
        <f t="shared" si="2"/>
        <v>13442.01</v>
      </c>
    </row>
    <row r="170" spans="8:8">
      <c r="A170" s="3" t="s">
        <v>183</v>
      </c>
      <c r="B170" s="4" t="s">
        <v>65</v>
      </c>
      <c r="C170" s="19">
        <v>0.01</v>
      </c>
      <c r="D170" s="19">
        <v>13152.0</v>
      </c>
      <c r="E170" s="43">
        <v>1242.0</v>
      </c>
      <c r="F170" s="43">
        <v>200.0</v>
      </c>
      <c r="G170" s="44">
        <f t="shared" si="2"/>
        <v>14594.01</v>
      </c>
    </row>
    <row r="171" spans="8:8">
      <c r="A171" s="3" t="s">
        <v>184</v>
      </c>
      <c r="B171" s="4" t="s">
        <v>65</v>
      </c>
      <c r="C171" s="19">
        <v>0.01</v>
      </c>
      <c r="D171" s="19">
        <v>15696.0</v>
      </c>
      <c r="E171" s="43">
        <v>1242.0</v>
      </c>
      <c r="F171" s="43">
        <v>200.0</v>
      </c>
      <c r="G171" s="44">
        <f t="shared" si="2"/>
        <v>17138.010000000002</v>
      </c>
    </row>
    <row r="172" spans="8:8">
      <c r="A172" s="3" t="s">
        <v>185</v>
      </c>
      <c r="B172" s="4" t="s">
        <v>65</v>
      </c>
      <c r="C172" s="19">
        <v>0.01</v>
      </c>
      <c r="D172" s="19">
        <v>19440.0</v>
      </c>
      <c r="E172" s="43">
        <v>1242.0</v>
      </c>
      <c r="F172" s="43">
        <v>200.0</v>
      </c>
      <c r="G172" s="44">
        <f t="shared" si="2"/>
        <v>20882.01</v>
      </c>
    </row>
    <row r="173" spans="8:8">
      <c r="A173" s="3" t="s">
        <v>186</v>
      </c>
      <c r="B173" s="4" t="s">
        <v>65</v>
      </c>
      <c r="C173" s="19">
        <v>0.01</v>
      </c>
      <c r="D173" s="19">
        <v>20304.0</v>
      </c>
      <c r="E173" s="43">
        <v>1242.0</v>
      </c>
      <c r="F173" s="43">
        <v>200.0</v>
      </c>
      <c r="G173" s="44">
        <f t="shared" si="2"/>
        <v>21746.01</v>
      </c>
    </row>
    <row r="174" spans="8:8">
      <c r="A174" s="3" t="s">
        <v>187</v>
      </c>
      <c r="B174" s="4" t="s">
        <v>65</v>
      </c>
      <c r="C174" s="19">
        <v>0.01</v>
      </c>
      <c r="D174" s="19">
        <v>22032.0</v>
      </c>
      <c r="E174" s="43">
        <v>1242.0</v>
      </c>
      <c r="F174" s="43">
        <v>200.0</v>
      </c>
      <c r="G174" s="44">
        <f t="shared" si="2"/>
        <v>23474.01</v>
      </c>
    </row>
    <row r="175" spans="8:8" s="49" ht="15.0" customFormat="1">
      <c r="A175" s="15" t="s">
        <v>188</v>
      </c>
      <c r="B175" s="16" t="s">
        <v>65</v>
      </c>
      <c r="C175" s="19">
        <v>0.01</v>
      </c>
      <c r="D175" s="19">
        <v>12720.0</v>
      </c>
      <c r="E175" s="43">
        <v>1242.0</v>
      </c>
      <c r="F175" s="43">
        <v>200.0</v>
      </c>
      <c r="G175" s="44">
        <f t="shared" si="2"/>
        <v>14162.01</v>
      </c>
    </row>
    <row r="176" spans="8:8">
      <c r="A176" s="3" t="s">
        <v>189</v>
      </c>
      <c r="B176" s="4" t="s">
        <v>65</v>
      </c>
      <c r="C176" s="19">
        <v>0.01</v>
      </c>
      <c r="D176" s="19">
        <v>13536.0</v>
      </c>
      <c r="E176" s="43">
        <v>1242.0</v>
      </c>
      <c r="F176" s="43">
        <v>200.0</v>
      </c>
      <c r="G176" s="44">
        <f t="shared" si="2"/>
        <v>14978.01</v>
      </c>
    </row>
    <row r="177" spans="8:8">
      <c r="A177" s="3" t="s">
        <v>190</v>
      </c>
      <c r="B177" s="4" t="s">
        <v>65</v>
      </c>
      <c r="C177" s="19">
        <v>0.01</v>
      </c>
      <c r="D177" s="19">
        <v>12720.0</v>
      </c>
      <c r="E177" s="43">
        <v>1242.0</v>
      </c>
      <c r="F177" s="43">
        <v>200.0</v>
      </c>
      <c r="G177" s="44">
        <f t="shared" si="2"/>
        <v>14162.01</v>
      </c>
    </row>
    <row r="178" spans="8:8">
      <c r="A178" s="3" t="s">
        <v>191</v>
      </c>
      <c r="B178" s="4" t="s">
        <v>65</v>
      </c>
      <c r="C178" s="19">
        <v>0.01</v>
      </c>
      <c r="D178" s="19">
        <v>13536.0</v>
      </c>
      <c r="E178" s="43">
        <v>1242.0</v>
      </c>
      <c r="F178" s="43">
        <v>200.0</v>
      </c>
      <c r="G178" s="44">
        <f t="shared" si="2"/>
        <v>14978.01</v>
      </c>
    </row>
    <row r="179" spans="8:8">
      <c r="A179" s="3" t="s">
        <v>192</v>
      </c>
      <c r="B179" s="4" t="s">
        <v>65</v>
      </c>
      <c r="C179" s="19">
        <v>0.01</v>
      </c>
      <c r="D179" s="19">
        <v>14640.0</v>
      </c>
      <c r="E179" s="43">
        <v>1242.0</v>
      </c>
      <c r="F179" s="43">
        <v>200.0</v>
      </c>
      <c r="G179" s="44">
        <f t="shared" si="2"/>
        <v>16082.01</v>
      </c>
    </row>
    <row r="180" spans="8:8">
      <c r="A180" s="3" t="s">
        <v>193</v>
      </c>
      <c r="B180" s="4" t="s">
        <v>65</v>
      </c>
      <c r="C180" s="19">
        <v>0.01</v>
      </c>
      <c r="D180" s="19">
        <v>12720.0</v>
      </c>
      <c r="E180" s="43">
        <v>1242.0</v>
      </c>
      <c r="F180" s="43">
        <v>200.0</v>
      </c>
      <c r="G180" s="44">
        <f t="shared" si="2"/>
        <v>14162.01</v>
      </c>
    </row>
    <row r="181" spans="8:8">
      <c r="A181" s="3" t="s">
        <v>194</v>
      </c>
      <c r="B181" s="4" t="s">
        <v>65</v>
      </c>
      <c r="C181" s="19">
        <v>0.01</v>
      </c>
      <c r="D181" s="19">
        <v>13536.0</v>
      </c>
      <c r="E181" s="43">
        <v>1242.0</v>
      </c>
      <c r="F181" s="43">
        <v>200.0</v>
      </c>
      <c r="G181" s="44">
        <f t="shared" si="2"/>
        <v>14978.01</v>
      </c>
    </row>
    <row r="182" spans="8:8">
      <c r="A182" s="10" t="s">
        <v>195</v>
      </c>
      <c r="B182" s="11" t="s">
        <v>196</v>
      </c>
      <c r="C182" s="45">
        <v>6336.0</v>
      </c>
      <c r="D182" s="45">
        <v>43488.0</v>
      </c>
      <c r="E182" s="46">
        <v>1242.0</v>
      </c>
      <c r="F182" s="46">
        <v>200.0</v>
      </c>
      <c r="G182" s="47">
        <f t="shared" si="2"/>
        <v>51266.0</v>
      </c>
    </row>
    <row r="183" spans="8:8">
      <c r="A183" s="3" t="s">
        <v>197</v>
      </c>
      <c r="B183" s="4" t="s">
        <v>196</v>
      </c>
      <c r="C183" s="19">
        <v>0.01</v>
      </c>
      <c r="D183" s="19">
        <v>52944.0</v>
      </c>
      <c r="E183" s="43">
        <v>1242.0</v>
      </c>
      <c r="F183" s="43">
        <v>200.0</v>
      </c>
      <c r="G183" s="44">
        <f t="shared" si="2"/>
        <v>54386.01</v>
      </c>
    </row>
    <row r="184" spans="8:8">
      <c r="A184" s="3" t="s">
        <v>198</v>
      </c>
      <c r="B184" s="4" t="s">
        <v>196</v>
      </c>
      <c r="C184" s="19">
        <v>0.01</v>
      </c>
      <c r="D184" s="19">
        <v>527184.0</v>
      </c>
      <c r="E184" s="43">
        <v>1242.0</v>
      </c>
      <c r="F184" s="43">
        <v>200.0</v>
      </c>
      <c r="G184" s="44">
        <f t="shared" si="2"/>
        <v>528626.01</v>
      </c>
    </row>
    <row r="185" spans="8:8">
      <c r="A185" s="14" t="s">
        <v>199</v>
      </c>
      <c r="B185" s="4" t="s">
        <v>196</v>
      </c>
      <c r="C185" s="19">
        <v>0.01</v>
      </c>
      <c r="D185" s="19">
        <v>51936.0</v>
      </c>
      <c r="E185" s="43">
        <v>1242.0</v>
      </c>
      <c r="F185" s="43">
        <v>200.0</v>
      </c>
      <c r="G185" s="44">
        <f t="shared" si="2"/>
        <v>53378.01</v>
      </c>
    </row>
    <row r="186" spans="8:8">
      <c r="A186" s="18" t="s">
        <v>308</v>
      </c>
      <c r="B186" s="16" t="s">
        <v>196</v>
      </c>
      <c r="C186" s="19">
        <v>0.01</v>
      </c>
      <c r="D186" s="19">
        <v>87456.0</v>
      </c>
      <c r="E186" s="43">
        <v>1242.0</v>
      </c>
      <c r="F186" s="43">
        <v>200.0</v>
      </c>
      <c r="G186" s="44">
        <f t="shared" si="2"/>
        <v>88898.01</v>
      </c>
    </row>
    <row r="187" spans="8:8">
      <c r="A187" s="3" t="s">
        <v>201</v>
      </c>
      <c r="B187" s="4" t="s">
        <v>196</v>
      </c>
      <c r="C187" s="19">
        <v>0.01</v>
      </c>
      <c r="D187" s="19">
        <v>52848.0</v>
      </c>
      <c r="E187" s="43">
        <v>1242.0</v>
      </c>
      <c r="F187" s="43">
        <v>200.0</v>
      </c>
      <c r="G187" s="44">
        <f t="shared" si="3" ref="G187:G238">SUM(C187:F187)</f>
        <v>54290.01</v>
      </c>
    </row>
    <row r="188" spans="8:8">
      <c r="A188" s="3" t="s">
        <v>202</v>
      </c>
      <c r="B188" s="4" t="s">
        <v>196</v>
      </c>
      <c r="C188" s="19">
        <v>0.01</v>
      </c>
      <c r="D188" s="19">
        <v>52032.0</v>
      </c>
      <c r="E188" s="43">
        <v>1242.0</v>
      </c>
      <c r="F188" s="43">
        <v>200.0</v>
      </c>
      <c r="G188" s="44">
        <f t="shared" si="3"/>
        <v>53474.01</v>
      </c>
    </row>
    <row r="189" spans="8:8">
      <c r="A189" s="3" t="s">
        <v>203</v>
      </c>
      <c r="B189" s="4" t="s">
        <v>196</v>
      </c>
      <c r="C189" s="19">
        <v>0.01</v>
      </c>
      <c r="D189" s="19">
        <v>52032.0</v>
      </c>
      <c r="E189" s="43">
        <v>1242.0</v>
      </c>
      <c r="F189" s="43">
        <v>200.0</v>
      </c>
      <c r="G189" s="44">
        <f t="shared" si="3"/>
        <v>53474.01</v>
      </c>
    </row>
    <row r="190" spans="8:8">
      <c r="A190" s="3" t="s">
        <v>204</v>
      </c>
      <c r="B190" s="4" t="s">
        <v>196</v>
      </c>
      <c r="C190" s="19">
        <v>0.01</v>
      </c>
      <c r="D190" s="19">
        <v>52032.0</v>
      </c>
      <c r="E190" s="43">
        <v>1242.0</v>
      </c>
      <c r="F190" s="43">
        <v>200.0</v>
      </c>
      <c r="G190" s="44">
        <f t="shared" si="3"/>
        <v>53474.01</v>
      </c>
    </row>
    <row r="191" spans="8:8">
      <c r="A191" s="3" t="s">
        <v>205</v>
      </c>
      <c r="B191" s="4" t="s">
        <v>196</v>
      </c>
      <c r="C191" s="19">
        <v>0.01</v>
      </c>
      <c r="D191" s="19">
        <v>52032.0</v>
      </c>
      <c r="E191" s="43">
        <v>1242.0</v>
      </c>
      <c r="F191" s="43">
        <v>200.0</v>
      </c>
      <c r="G191" s="44">
        <f t="shared" si="3"/>
        <v>53474.01</v>
      </c>
    </row>
    <row r="192" spans="8:8">
      <c r="A192" s="3" t="s">
        <v>206</v>
      </c>
      <c r="B192" s="4" t="s">
        <v>196</v>
      </c>
      <c r="C192" s="19">
        <v>0.01</v>
      </c>
      <c r="D192" s="19">
        <v>53040.0</v>
      </c>
      <c r="E192" s="43">
        <v>1242.0</v>
      </c>
      <c r="F192" s="43">
        <v>200.0</v>
      </c>
      <c r="G192" s="44">
        <f t="shared" si="3"/>
        <v>54482.01</v>
      </c>
    </row>
    <row r="193" spans="8:8">
      <c r="A193" s="3" t="s">
        <v>207</v>
      </c>
      <c r="B193" s="4" t="s">
        <v>196</v>
      </c>
      <c r="C193" s="19">
        <v>0.01</v>
      </c>
      <c r="D193" s="19">
        <v>53232.0</v>
      </c>
      <c r="E193" s="43">
        <v>1242.0</v>
      </c>
      <c r="F193" s="43">
        <v>200.0</v>
      </c>
      <c r="G193" s="44">
        <f t="shared" si="3"/>
        <v>54674.01</v>
      </c>
    </row>
    <row r="194" spans="8:8">
      <c r="A194" s="3" t="s">
        <v>208</v>
      </c>
      <c r="B194" s="4" t="s">
        <v>196</v>
      </c>
      <c r="C194" s="19">
        <v>0.01</v>
      </c>
      <c r="D194" s="19">
        <v>53232.0</v>
      </c>
      <c r="E194" s="43">
        <v>1242.0</v>
      </c>
      <c r="F194" s="43">
        <v>200.0</v>
      </c>
      <c r="G194" s="44">
        <f t="shared" si="3"/>
        <v>54674.01</v>
      </c>
    </row>
    <row r="195" spans="8:8">
      <c r="A195" s="3" t="s">
        <v>209</v>
      </c>
      <c r="B195" s="4" t="s">
        <v>196</v>
      </c>
      <c r="C195" s="19">
        <v>0.01</v>
      </c>
      <c r="D195" s="19">
        <v>52752.0</v>
      </c>
      <c r="E195" s="43">
        <v>1242.0</v>
      </c>
      <c r="F195" s="43">
        <v>200.0</v>
      </c>
      <c r="G195" s="44">
        <f t="shared" si="3"/>
        <v>54194.01</v>
      </c>
    </row>
    <row r="196" spans="8:8">
      <c r="A196" s="3" t="s">
        <v>210</v>
      </c>
      <c r="B196" s="4" t="s">
        <v>196</v>
      </c>
      <c r="C196" s="19">
        <v>0.01</v>
      </c>
      <c r="D196" s="19">
        <v>53232.0</v>
      </c>
      <c r="E196" s="43">
        <v>1242.0</v>
      </c>
      <c r="F196" s="43">
        <v>200.0</v>
      </c>
      <c r="G196" s="44">
        <f t="shared" si="3"/>
        <v>54674.01</v>
      </c>
    </row>
    <row r="197" spans="8:8">
      <c r="A197" s="3" t="s">
        <v>211</v>
      </c>
      <c r="B197" s="4" t="s">
        <v>196</v>
      </c>
      <c r="C197" s="19">
        <v>0.01</v>
      </c>
      <c r="D197" s="19">
        <v>53232.0</v>
      </c>
      <c r="E197" s="43">
        <v>1242.0</v>
      </c>
      <c r="F197" s="43">
        <v>200.0</v>
      </c>
      <c r="G197" s="44">
        <f t="shared" si="3"/>
        <v>54674.01</v>
      </c>
    </row>
    <row r="198" spans="8:8">
      <c r="A198" s="3" t="s">
        <v>212</v>
      </c>
      <c r="B198" s="4" t="s">
        <v>196</v>
      </c>
      <c r="C198" s="19">
        <v>0.01</v>
      </c>
      <c r="D198" s="19">
        <v>53232.0</v>
      </c>
      <c r="E198" s="43">
        <v>1242.0</v>
      </c>
      <c r="F198" s="43">
        <v>200.0</v>
      </c>
      <c r="G198" s="44">
        <f t="shared" si="3"/>
        <v>54674.01</v>
      </c>
    </row>
    <row r="199" spans="8:8">
      <c r="A199" s="3" t="s">
        <v>213</v>
      </c>
      <c r="B199" s="4" t="s">
        <v>196</v>
      </c>
      <c r="C199" s="19">
        <v>0.01</v>
      </c>
      <c r="D199" s="19">
        <v>53184.0</v>
      </c>
      <c r="E199" s="43">
        <v>1242.0</v>
      </c>
      <c r="F199" s="43">
        <v>200.0</v>
      </c>
      <c r="G199" s="44">
        <f t="shared" si="3"/>
        <v>54626.01</v>
      </c>
    </row>
    <row r="200" spans="8:8">
      <c r="A200" s="3" t="s">
        <v>214</v>
      </c>
      <c r="B200" s="4" t="s">
        <v>196</v>
      </c>
      <c r="C200" s="19">
        <v>0.01</v>
      </c>
      <c r="D200" s="19">
        <v>53232.0</v>
      </c>
      <c r="E200" s="43">
        <v>1242.0</v>
      </c>
      <c r="F200" s="43">
        <v>200.0</v>
      </c>
      <c r="G200" s="44">
        <f t="shared" si="3"/>
        <v>54674.01</v>
      </c>
    </row>
    <row r="201" spans="8:8">
      <c r="A201" s="3" t="s">
        <v>215</v>
      </c>
      <c r="B201" s="4" t="s">
        <v>196</v>
      </c>
      <c r="C201" s="19">
        <v>0.02</v>
      </c>
      <c r="D201" s="19">
        <v>53136.0</v>
      </c>
      <c r="E201" s="43">
        <v>1242.0</v>
      </c>
      <c r="F201" s="43">
        <v>200.0</v>
      </c>
      <c r="G201" s="44">
        <f t="shared" si="3"/>
        <v>54578.02</v>
      </c>
    </row>
    <row r="202" spans="8:8">
      <c r="A202" s="3" t="s">
        <v>216</v>
      </c>
      <c r="B202" s="4" t="s">
        <v>196</v>
      </c>
      <c r="C202" s="19">
        <v>0.01</v>
      </c>
      <c r="D202" s="19">
        <v>53136.0</v>
      </c>
      <c r="E202" s="43">
        <v>1242.0</v>
      </c>
      <c r="F202" s="43">
        <v>200.0</v>
      </c>
      <c r="G202" s="44">
        <f t="shared" si="3"/>
        <v>54578.01</v>
      </c>
    </row>
    <row r="203" spans="8:8">
      <c r="A203" s="3" t="s">
        <v>217</v>
      </c>
      <c r="B203" s="4" t="s">
        <v>196</v>
      </c>
      <c r="C203" s="19">
        <v>0.01</v>
      </c>
      <c r="D203" s="19">
        <v>53232.0</v>
      </c>
      <c r="E203" s="43">
        <v>1242.0</v>
      </c>
      <c r="F203" s="43">
        <v>200.0</v>
      </c>
      <c r="G203" s="44">
        <f t="shared" si="3"/>
        <v>54674.01</v>
      </c>
    </row>
    <row r="204" spans="8:8">
      <c r="A204" s="3" t="s">
        <v>218</v>
      </c>
      <c r="B204" s="4" t="s">
        <v>196</v>
      </c>
      <c r="C204" s="19">
        <v>0.01</v>
      </c>
      <c r="D204" s="19">
        <v>53232.0</v>
      </c>
      <c r="E204" s="43">
        <v>1242.0</v>
      </c>
      <c r="F204" s="43">
        <v>200.0</v>
      </c>
      <c r="G204" s="44">
        <f t="shared" si="3"/>
        <v>54674.01</v>
      </c>
    </row>
    <row r="205" spans="8:8">
      <c r="A205" s="3" t="s">
        <v>219</v>
      </c>
      <c r="B205" s="4" t="s">
        <v>196</v>
      </c>
      <c r="C205" s="19">
        <v>0.01</v>
      </c>
      <c r="D205" s="19">
        <v>52608.0</v>
      </c>
      <c r="E205" s="43">
        <v>1242.0</v>
      </c>
      <c r="F205" s="43">
        <v>200.0</v>
      </c>
      <c r="G205" s="44">
        <f t="shared" si="3"/>
        <v>54050.01</v>
      </c>
    </row>
    <row r="206" spans="8:8">
      <c r="A206" s="3" t="s">
        <v>220</v>
      </c>
      <c r="B206" s="4" t="s">
        <v>196</v>
      </c>
      <c r="C206" s="19">
        <v>0.01</v>
      </c>
      <c r="D206" s="19">
        <v>52608.0</v>
      </c>
      <c r="E206" s="43">
        <v>1242.0</v>
      </c>
      <c r="F206" s="43">
        <v>200.0</v>
      </c>
      <c r="G206" s="44">
        <f t="shared" si="3"/>
        <v>54050.01</v>
      </c>
      <c r="J206" s="49"/>
    </row>
    <row r="207" spans="8:8" s="49" ht="15.0" customFormat="1">
      <c r="A207" s="18" t="s">
        <v>309</v>
      </c>
      <c r="B207" s="16" t="s">
        <v>196</v>
      </c>
      <c r="C207" s="19">
        <v>0.01</v>
      </c>
      <c r="D207" s="19">
        <v>52992.0</v>
      </c>
      <c r="E207" s="43">
        <v>1242.0</v>
      </c>
      <c r="F207" s="43">
        <v>200.0</v>
      </c>
      <c r="G207" s="44">
        <f t="shared" si="3"/>
        <v>54434.01</v>
      </c>
      <c r="J207" s="39"/>
    </row>
    <row r="208" spans="8:8">
      <c r="A208" s="3" t="s">
        <v>222</v>
      </c>
      <c r="B208" s="4" t="s">
        <v>196</v>
      </c>
      <c r="C208" s="19">
        <v>0.01</v>
      </c>
      <c r="D208" s="19">
        <v>52464.0</v>
      </c>
      <c r="E208" s="43">
        <v>1242.0</v>
      </c>
      <c r="F208" s="43">
        <v>200.0</v>
      </c>
      <c r="G208" s="44">
        <f t="shared" si="3"/>
        <v>53906.01</v>
      </c>
    </row>
    <row r="209" spans="8:8">
      <c r="A209" s="3" t="s">
        <v>223</v>
      </c>
      <c r="B209" s="4" t="s">
        <v>196</v>
      </c>
      <c r="C209" s="19">
        <v>0.01</v>
      </c>
      <c r="D209" s="19">
        <v>52608.0</v>
      </c>
      <c r="E209" s="43">
        <v>1242.0</v>
      </c>
      <c r="F209" s="43">
        <v>200.0</v>
      </c>
      <c r="G209" s="44">
        <f t="shared" si="3"/>
        <v>54050.01</v>
      </c>
    </row>
    <row r="210" spans="8:8">
      <c r="A210" s="3" t="s">
        <v>224</v>
      </c>
      <c r="B210" s="4" t="s">
        <v>196</v>
      </c>
      <c r="C210" s="19">
        <v>0.01</v>
      </c>
      <c r="D210" s="19">
        <v>53232.0</v>
      </c>
      <c r="E210" s="43">
        <v>1242.0</v>
      </c>
      <c r="F210" s="43">
        <v>200.0</v>
      </c>
      <c r="G210" s="44">
        <f t="shared" si="3"/>
        <v>54674.01</v>
      </c>
    </row>
    <row r="211" spans="8:8">
      <c r="A211" s="3" t="s">
        <v>225</v>
      </c>
      <c r="B211" s="4" t="s">
        <v>196</v>
      </c>
      <c r="C211" s="19">
        <v>0.01</v>
      </c>
      <c r="D211" s="19">
        <v>53232.0</v>
      </c>
      <c r="E211" s="43">
        <v>1242.0</v>
      </c>
      <c r="F211" s="43">
        <v>200.0</v>
      </c>
      <c r="G211" s="44">
        <f t="shared" si="3"/>
        <v>54674.01</v>
      </c>
    </row>
    <row r="212" spans="8:8">
      <c r="A212" s="3" t="s">
        <v>226</v>
      </c>
      <c r="B212" s="4" t="s">
        <v>196</v>
      </c>
      <c r="C212" s="19">
        <v>0.01</v>
      </c>
      <c r="D212" s="19">
        <v>69456.0</v>
      </c>
      <c r="E212" s="43">
        <v>1242.0</v>
      </c>
      <c r="F212" s="43">
        <v>200.0</v>
      </c>
      <c r="G212" s="44">
        <f t="shared" si="3"/>
        <v>70898.01</v>
      </c>
    </row>
    <row r="213" spans="8:8">
      <c r="A213" s="3" t="s">
        <v>227</v>
      </c>
      <c r="B213" s="4" t="s">
        <v>196</v>
      </c>
      <c r="C213" s="19">
        <v>0.01</v>
      </c>
      <c r="D213" s="19">
        <v>85440.0</v>
      </c>
      <c r="E213" s="43">
        <v>1242.0</v>
      </c>
      <c r="F213" s="43">
        <v>200.0</v>
      </c>
      <c r="G213" s="44">
        <f t="shared" si="3"/>
        <v>86882.01</v>
      </c>
    </row>
    <row r="214" spans="8:8">
      <c r="A214" s="3" t="s">
        <v>228</v>
      </c>
      <c r="B214" s="4" t="s">
        <v>196</v>
      </c>
      <c r="C214" s="19">
        <v>0.01</v>
      </c>
      <c r="D214" s="19">
        <v>52608.0</v>
      </c>
      <c r="E214" s="43">
        <v>1242.0</v>
      </c>
      <c r="F214" s="43">
        <v>200.0</v>
      </c>
      <c r="G214" s="44">
        <f t="shared" si="3"/>
        <v>54050.01</v>
      </c>
    </row>
    <row r="215" spans="8:8">
      <c r="A215" s="3" t="s">
        <v>229</v>
      </c>
      <c r="B215" s="4" t="s">
        <v>196</v>
      </c>
      <c r="C215" s="19">
        <v>0.01</v>
      </c>
      <c r="D215" s="19">
        <v>53232.0</v>
      </c>
      <c r="E215" s="43">
        <v>1242.0</v>
      </c>
      <c r="F215" s="43">
        <v>200.0</v>
      </c>
      <c r="G215" s="44">
        <f t="shared" si="3"/>
        <v>54674.01</v>
      </c>
    </row>
    <row r="216" spans="8:8">
      <c r="A216" s="3" t="s">
        <v>230</v>
      </c>
      <c r="B216" s="4" t="s">
        <v>196</v>
      </c>
      <c r="C216" s="19">
        <v>0.01</v>
      </c>
      <c r="D216" s="19">
        <v>53232.0</v>
      </c>
      <c r="E216" s="43">
        <v>1242.0</v>
      </c>
      <c r="F216" s="43">
        <v>200.0</v>
      </c>
      <c r="G216" s="44">
        <f t="shared" si="3"/>
        <v>54674.01</v>
      </c>
    </row>
    <row r="217" spans="8:8">
      <c r="A217" s="3" t="s">
        <v>231</v>
      </c>
      <c r="B217" s="4" t="s">
        <v>196</v>
      </c>
      <c r="C217" s="19">
        <v>0.01</v>
      </c>
      <c r="D217" s="19">
        <v>53232.0</v>
      </c>
      <c r="E217" s="43">
        <v>1242.0</v>
      </c>
      <c r="F217" s="43">
        <v>200.0</v>
      </c>
      <c r="G217" s="44">
        <f t="shared" si="3"/>
        <v>54674.01</v>
      </c>
    </row>
    <row r="218" spans="8:8">
      <c r="A218" s="3" t="s">
        <v>232</v>
      </c>
      <c r="B218" s="4" t="s">
        <v>196</v>
      </c>
      <c r="C218" s="19">
        <v>0.01</v>
      </c>
      <c r="D218" s="19">
        <v>53232.0</v>
      </c>
      <c r="E218" s="43">
        <v>1242.0</v>
      </c>
      <c r="F218" s="43">
        <v>200.0</v>
      </c>
      <c r="G218" s="44">
        <f t="shared" si="3"/>
        <v>54674.01</v>
      </c>
    </row>
    <row r="219" spans="8:8">
      <c r="A219" s="3" t="s">
        <v>233</v>
      </c>
      <c r="B219" s="4" t="s">
        <v>196</v>
      </c>
      <c r="C219" s="19">
        <v>0.01</v>
      </c>
      <c r="D219" s="19">
        <v>52608.0</v>
      </c>
      <c r="E219" s="43">
        <v>1242.0</v>
      </c>
      <c r="F219" s="43">
        <v>200.0</v>
      </c>
      <c r="G219" s="44">
        <f t="shared" si="3"/>
        <v>54050.01</v>
      </c>
    </row>
    <row r="220" spans="8:8">
      <c r="A220" s="3" t="s">
        <v>234</v>
      </c>
      <c r="B220" s="4" t="s">
        <v>196</v>
      </c>
      <c r="C220" s="19">
        <v>0.01</v>
      </c>
      <c r="D220" s="19">
        <v>52608.0</v>
      </c>
      <c r="E220" s="43">
        <v>1242.0</v>
      </c>
      <c r="F220" s="43">
        <v>200.0</v>
      </c>
      <c r="G220" s="44">
        <f t="shared" si="3"/>
        <v>54050.01</v>
      </c>
    </row>
    <row r="221" spans="8:8">
      <c r="A221" s="3" t="s">
        <v>235</v>
      </c>
      <c r="B221" s="4" t="s">
        <v>196</v>
      </c>
      <c r="C221" s="19">
        <v>0.01</v>
      </c>
      <c r="D221" s="19">
        <v>53232.0</v>
      </c>
      <c r="E221" s="43">
        <v>1242.0</v>
      </c>
      <c r="F221" s="43">
        <v>200.0</v>
      </c>
      <c r="G221" s="44">
        <f t="shared" si="3"/>
        <v>54674.01</v>
      </c>
    </row>
    <row r="222" spans="8:8">
      <c r="A222" s="3" t="s">
        <v>236</v>
      </c>
      <c r="B222" s="4" t="s">
        <v>196</v>
      </c>
      <c r="C222" s="19">
        <v>0.01</v>
      </c>
      <c r="D222" s="19">
        <v>53232.0</v>
      </c>
      <c r="E222" s="43">
        <v>1242.0</v>
      </c>
      <c r="F222" s="43">
        <v>200.0</v>
      </c>
      <c r="G222" s="44">
        <f t="shared" si="3"/>
        <v>54674.01</v>
      </c>
    </row>
    <row r="223" spans="8:8">
      <c r="A223" s="3" t="s">
        <v>237</v>
      </c>
      <c r="B223" s="4" t="s">
        <v>196</v>
      </c>
      <c r="C223" s="19">
        <v>0.01</v>
      </c>
      <c r="D223" s="19">
        <v>52608.0</v>
      </c>
      <c r="E223" s="43">
        <v>1242.0</v>
      </c>
      <c r="F223" s="43">
        <v>200.0</v>
      </c>
      <c r="G223" s="44">
        <f t="shared" si="3"/>
        <v>54050.01</v>
      </c>
    </row>
    <row r="224" spans="8:8">
      <c r="A224" s="3" t="s">
        <v>238</v>
      </c>
      <c r="B224" s="4" t="s">
        <v>196</v>
      </c>
      <c r="C224" s="19">
        <v>0.01</v>
      </c>
      <c r="D224" s="19">
        <v>53232.0</v>
      </c>
      <c r="E224" s="43">
        <v>1242.0</v>
      </c>
      <c r="F224" s="43">
        <v>200.0</v>
      </c>
      <c r="G224" s="44">
        <f t="shared" si="3"/>
        <v>54674.01</v>
      </c>
    </row>
    <row r="225" spans="8:8">
      <c r="A225" s="3" t="s">
        <v>239</v>
      </c>
      <c r="B225" s="4" t="s">
        <v>196</v>
      </c>
      <c r="C225" s="19">
        <v>0.01</v>
      </c>
      <c r="D225" s="19">
        <v>53232.0</v>
      </c>
      <c r="E225" s="43">
        <v>1242.0</v>
      </c>
      <c r="F225" s="43">
        <v>200.0</v>
      </c>
      <c r="G225" s="44">
        <f t="shared" si="3"/>
        <v>54674.01</v>
      </c>
    </row>
    <row r="226" spans="8:8">
      <c r="A226" s="3" t="s">
        <v>240</v>
      </c>
      <c r="B226" s="4" t="s">
        <v>196</v>
      </c>
      <c r="C226" s="19">
        <v>0.01</v>
      </c>
      <c r="D226" s="19">
        <v>53232.0</v>
      </c>
      <c r="E226" s="43">
        <v>1242.0</v>
      </c>
      <c r="F226" s="43">
        <v>200.0</v>
      </c>
      <c r="G226" s="44">
        <f t="shared" si="3"/>
        <v>54674.01</v>
      </c>
    </row>
    <row r="227" spans="8:8">
      <c r="A227" s="3" t="s">
        <v>241</v>
      </c>
      <c r="B227" s="4" t="s">
        <v>196</v>
      </c>
      <c r="C227" s="19">
        <v>0.01</v>
      </c>
      <c r="D227" s="19">
        <v>53232.0</v>
      </c>
      <c r="E227" s="43">
        <v>1242.0</v>
      </c>
      <c r="F227" s="43">
        <v>200.0</v>
      </c>
      <c r="G227" s="44">
        <f t="shared" si="3"/>
        <v>54674.01</v>
      </c>
    </row>
    <row r="228" spans="8:8">
      <c r="A228" s="3" t="s">
        <v>242</v>
      </c>
      <c r="B228" s="4" t="s">
        <v>196</v>
      </c>
      <c r="C228" s="19">
        <v>0.01</v>
      </c>
      <c r="D228" s="19">
        <v>53232.0</v>
      </c>
      <c r="E228" s="43">
        <v>1242.0</v>
      </c>
      <c r="F228" s="43">
        <v>200.0</v>
      </c>
      <c r="G228" s="44">
        <f t="shared" si="3"/>
        <v>54674.01</v>
      </c>
    </row>
    <row r="229" spans="8:8">
      <c r="A229" s="3" t="s">
        <v>243</v>
      </c>
      <c r="B229" s="4" t="s">
        <v>196</v>
      </c>
      <c r="C229" s="19">
        <v>0.01</v>
      </c>
      <c r="D229" s="19">
        <v>53232.0</v>
      </c>
      <c r="E229" s="43">
        <v>1242.0</v>
      </c>
      <c r="F229" s="43">
        <v>200.0</v>
      </c>
      <c r="G229" s="44">
        <f t="shared" si="3"/>
        <v>54674.01</v>
      </c>
    </row>
    <row r="230" spans="8:8">
      <c r="A230" s="3" t="s">
        <v>244</v>
      </c>
      <c r="B230" s="4" t="s">
        <v>196</v>
      </c>
      <c r="C230" s="19">
        <v>0.01</v>
      </c>
      <c r="D230" s="19">
        <v>53232.0</v>
      </c>
      <c r="E230" s="43">
        <v>1242.0</v>
      </c>
      <c r="F230" s="43">
        <v>200.0</v>
      </c>
      <c r="G230" s="44">
        <f t="shared" si="3"/>
        <v>54674.01</v>
      </c>
    </row>
    <row r="231" spans="8:8">
      <c r="A231" s="3" t="s">
        <v>245</v>
      </c>
      <c r="B231" s="4" t="s">
        <v>196</v>
      </c>
      <c r="C231" s="19">
        <v>0.01</v>
      </c>
      <c r="D231" s="19">
        <v>52560.0</v>
      </c>
      <c r="E231" s="43">
        <v>1242.0</v>
      </c>
      <c r="F231" s="43">
        <v>200.0</v>
      </c>
      <c r="G231" s="44">
        <f t="shared" si="3"/>
        <v>54002.01</v>
      </c>
    </row>
    <row r="232" spans="8:8">
      <c r="A232" s="3" t="s">
        <v>246</v>
      </c>
      <c r="B232" s="4" t="s">
        <v>196</v>
      </c>
      <c r="C232" s="19">
        <v>0.01</v>
      </c>
      <c r="D232" s="19">
        <v>52608.0</v>
      </c>
      <c r="E232" s="43">
        <v>1242.0</v>
      </c>
      <c r="F232" s="43">
        <v>200.0</v>
      </c>
      <c r="G232" s="44">
        <f t="shared" si="3"/>
        <v>54050.01</v>
      </c>
    </row>
    <row r="233" spans="8:8">
      <c r="A233" s="3" t="s">
        <v>247</v>
      </c>
      <c r="B233" s="4" t="s">
        <v>196</v>
      </c>
      <c r="C233" s="19">
        <v>0.01</v>
      </c>
      <c r="D233" s="19">
        <v>53232.0</v>
      </c>
      <c r="E233" s="43">
        <v>1242.0</v>
      </c>
      <c r="F233" s="43">
        <v>200.0</v>
      </c>
      <c r="G233" s="44">
        <f t="shared" si="3"/>
        <v>54674.01</v>
      </c>
    </row>
    <row r="234" spans="8:8">
      <c r="A234" s="3" t="s">
        <v>248</v>
      </c>
      <c r="B234" s="4" t="s">
        <v>196</v>
      </c>
      <c r="C234" s="19">
        <v>0.01</v>
      </c>
      <c r="D234" s="19">
        <v>53232.0</v>
      </c>
      <c r="E234" s="43">
        <v>1242.0</v>
      </c>
      <c r="F234" s="43">
        <v>200.0</v>
      </c>
      <c r="G234" s="44">
        <f t="shared" si="3"/>
        <v>54674.01</v>
      </c>
    </row>
    <row r="235" spans="8:8">
      <c r="A235" s="3" t="s">
        <v>249</v>
      </c>
      <c r="B235" s="4" t="s">
        <v>196</v>
      </c>
      <c r="C235" s="19">
        <v>0.01</v>
      </c>
      <c r="D235" s="19">
        <v>53232.0</v>
      </c>
      <c r="E235" s="43">
        <v>1242.0</v>
      </c>
      <c r="F235" s="43">
        <v>200.0</v>
      </c>
      <c r="G235" s="44">
        <f t="shared" si="3"/>
        <v>54674.01</v>
      </c>
    </row>
    <row r="236" spans="8:8">
      <c r="A236" s="3" t="s">
        <v>250</v>
      </c>
      <c r="B236" s="4" t="s">
        <v>196</v>
      </c>
      <c r="C236" s="19">
        <v>0.01</v>
      </c>
      <c r="D236" s="19">
        <v>53232.0</v>
      </c>
      <c r="E236" s="43">
        <v>1242.0</v>
      </c>
      <c r="F236" s="43">
        <v>200.0</v>
      </c>
      <c r="G236" s="44">
        <f t="shared" si="3"/>
        <v>54674.01</v>
      </c>
    </row>
    <row r="237" spans="8:8">
      <c r="A237" s="3" t="s">
        <v>251</v>
      </c>
      <c r="B237" s="4" t="s">
        <v>196</v>
      </c>
      <c r="C237" s="19">
        <v>0.01</v>
      </c>
      <c r="D237" s="19">
        <v>53232.0</v>
      </c>
      <c r="E237" s="43">
        <v>1242.0</v>
      </c>
      <c r="F237" s="43">
        <v>200.0</v>
      </c>
      <c r="G237" s="44">
        <f t="shared" si="3"/>
        <v>54674.01</v>
      </c>
    </row>
    <row r="238" spans="8:8">
      <c r="A238" s="3" t="s">
        <v>252</v>
      </c>
      <c r="B238" s="4" t="s">
        <v>196</v>
      </c>
      <c r="C238" s="19">
        <v>0.01</v>
      </c>
      <c r="D238" s="19">
        <v>53232.0</v>
      </c>
      <c r="E238" s="43">
        <v>1242.0</v>
      </c>
      <c r="F238" s="43">
        <v>200.0</v>
      </c>
      <c r="G238" s="44">
        <f t="shared" si="3"/>
        <v>54674.01</v>
      </c>
    </row>
    <row r="239" spans="8:8">
      <c r="A239" s="3" t="s">
        <v>253</v>
      </c>
      <c r="B239" s="4" t="s">
        <v>196</v>
      </c>
      <c r="C239" s="19">
        <v>0.01</v>
      </c>
      <c r="D239" s="19">
        <v>53232.0</v>
      </c>
      <c r="E239" s="43">
        <v>1242.0</v>
      </c>
      <c r="F239" s="43">
        <v>200.0</v>
      </c>
      <c r="G239" s="44">
        <f t="shared" si="4" ref="G239:G266">SUM(C239:F239)</f>
        <v>54674.01</v>
      </c>
    </row>
    <row r="240" spans="8:8">
      <c r="A240" s="3" t="s">
        <v>254</v>
      </c>
      <c r="B240" s="4" t="s">
        <v>196</v>
      </c>
      <c r="C240" s="19">
        <v>0.01</v>
      </c>
      <c r="D240" s="19">
        <v>52608.0</v>
      </c>
      <c r="E240" s="43">
        <v>1242.0</v>
      </c>
      <c r="F240" s="43">
        <v>200.0</v>
      </c>
      <c r="G240" s="44">
        <f t="shared" si="4"/>
        <v>54050.01</v>
      </c>
    </row>
    <row r="241" spans="8:8">
      <c r="A241" s="3" t="s">
        <v>255</v>
      </c>
      <c r="B241" s="4" t="s">
        <v>196</v>
      </c>
      <c r="C241" s="19">
        <v>0.01</v>
      </c>
      <c r="D241" s="19">
        <v>53232.0</v>
      </c>
      <c r="E241" s="43">
        <v>1242.0</v>
      </c>
      <c r="F241" s="43">
        <v>200.0</v>
      </c>
      <c r="G241" s="44">
        <f t="shared" si="4"/>
        <v>54674.01</v>
      </c>
    </row>
    <row r="242" spans="8:8">
      <c r="A242" s="3" t="s">
        <v>256</v>
      </c>
      <c r="B242" s="4" t="s">
        <v>196</v>
      </c>
      <c r="C242" s="19">
        <v>0.01</v>
      </c>
      <c r="D242" s="19">
        <v>53232.0</v>
      </c>
      <c r="E242" s="43">
        <v>1242.0</v>
      </c>
      <c r="F242" s="43">
        <v>200.0</v>
      </c>
      <c r="G242" s="44">
        <f t="shared" si="4"/>
        <v>54674.01</v>
      </c>
    </row>
    <row r="243" spans="8:8">
      <c r="A243" s="3" t="s">
        <v>257</v>
      </c>
      <c r="B243" s="4" t="s">
        <v>196</v>
      </c>
      <c r="C243" s="19">
        <v>0.01</v>
      </c>
      <c r="D243" s="19">
        <v>52416.0</v>
      </c>
      <c r="E243" s="43">
        <v>1242.0</v>
      </c>
      <c r="F243" s="43">
        <v>200.0</v>
      </c>
      <c r="G243" s="44">
        <f t="shared" si="4"/>
        <v>53858.01</v>
      </c>
    </row>
    <row r="244" spans="8:8">
      <c r="A244" s="3" t="s">
        <v>258</v>
      </c>
      <c r="B244" s="4" t="s">
        <v>196</v>
      </c>
      <c r="C244" s="19">
        <v>0.01</v>
      </c>
      <c r="D244" s="19">
        <v>53232.0</v>
      </c>
      <c r="E244" s="43">
        <v>1242.0</v>
      </c>
      <c r="F244" s="43">
        <v>200.0</v>
      </c>
      <c r="G244" s="44">
        <f t="shared" si="4"/>
        <v>54674.01</v>
      </c>
    </row>
    <row r="245" spans="8:8">
      <c r="A245" s="3" t="s">
        <v>259</v>
      </c>
      <c r="B245" s="4" t="s">
        <v>196</v>
      </c>
      <c r="C245" s="19">
        <v>0.01</v>
      </c>
      <c r="D245" s="19">
        <v>53232.0</v>
      </c>
      <c r="E245" s="43">
        <v>1242.0</v>
      </c>
      <c r="F245" s="43">
        <v>200.0</v>
      </c>
      <c r="G245" s="44">
        <f t="shared" si="4"/>
        <v>54674.01</v>
      </c>
    </row>
    <row r="246" spans="8:8">
      <c r="A246" s="3" t="s">
        <v>260</v>
      </c>
      <c r="B246" s="4" t="s">
        <v>196</v>
      </c>
      <c r="C246" s="19">
        <v>0.01</v>
      </c>
      <c r="D246" s="19">
        <v>52416.0</v>
      </c>
      <c r="E246" s="43">
        <v>1242.0</v>
      </c>
      <c r="F246" s="43">
        <v>200.0</v>
      </c>
      <c r="G246" s="44">
        <f t="shared" si="4"/>
        <v>53858.01</v>
      </c>
    </row>
    <row r="247" spans="8:8">
      <c r="A247" s="3" t="s">
        <v>261</v>
      </c>
      <c r="B247" s="4" t="s">
        <v>196</v>
      </c>
      <c r="C247" s="19">
        <v>0.01</v>
      </c>
      <c r="D247" s="19">
        <v>52608.0</v>
      </c>
      <c r="E247" s="43">
        <v>1242.0</v>
      </c>
      <c r="F247" s="43">
        <v>200.0</v>
      </c>
      <c r="G247" s="44">
        <f t="shared" si="4"/>
        <v>54050.01</v>
      </c>
    </row>
    <row r="248" spans="8:8">
      <c r="A248" s="3" t="s">
        <v>262</v>
      </c>
      <c r="B248" s="4" t="s">
        <v>196</v>
      </c>
      <c r="C248" s="19">
        <v>0.01</v>
      </c>
      <c r="D248" s="19">
        <v>69888.0</v>
      </c>
      <c r="E248" s="43">
        <v>1242.0</v>
      </c>
      <c r="F248" s="43">
        <v>200.0</v>
      </c>
      <c r="G248" s="44">
        <f t="shared" si="4"/>
        <v>71330.01</v>
      </c>
    </row>
    <row r="249" spans="8:8">
      <c r="A249" s="3" t="s">
        <v>263</v>
      </c>
      <c r="B249" s="4" t="s">
        <v>196</v>
      </c>
      <c r="C249" s="19">
        <v>0.01</v>
      </c>
      <c r="D249" s="19">
        <v>53232.0</v>
      </c>
      <c r="E249" s="43">
        <v>1242.0</v>
      </c>
      <c r="F249" s="43">
        <v>200.0</v>
      </c>
      <c r="G249" s="44">
        <f t="shared" si="4"/>
        <v>54674.01</v>
      </c>
    </row>
    <row r="250" spans="8:8">
      <c r="A250" s="3" t="s">
        <v>264</v>
      </c>
      <c r="B250" s="4" t="s">
        <v>196</v>
      </c>
      <c r="C250" s="19">
        <v>0.01</v>
      </c>
      <c r="D250" s="19">
        <v>52608.0</v>
      </c>
      <c r="E250" s="43">
        <v>1242.0</v>
      </c>
      <c r="F250" s="43">
        <v>200.0</v>
      </c>
      <c r="G250" s="44">
        <f t="shared" si="4"/>
        <v>54050.01</v>
      </c>
    </row>
    <row r="251" spans="8:8">
      <c r="A251" s="3" t="s">
        <v>265</v>
      </c>
      <c r="B251" s="4" t="s">
        <v>196</v>
      </c>
      <c r="C251" s="19">
        <v>0.01</v>
      </c>
      <c r="D251" s="19">
        <v>53232.0</v>
      </c>
      <c r="E251" s="43">
        <v>1242.0</v>
      </c>
      <c r="F251" s="43">
        <v>200.0</v>
      </c>
      <c r="G251" s="44">
        <f t="shared" si="4"/>
        <v>54674.01</v>
      </c>
    </row>
    <row r="252" spans="8:8">
      <c r="A252" s="3" t="s">
        <v>266</v>
      </c>
      <c r="B252" s="4" t="s">
        <v>196</v>
      </c>
      <c r="C252" s="19">
        <v>0.01</v>
      </c>
      <c r="D252" s="19">
        <v>53232.0</v>
      </c>
      <c r="E252" s="43">
        <v>1242.0</v>
      </c>
      <c r="F252" s="43">
        <v>200.0</v>
      </c>
      <c r="G252" s="44">
        <f t="shared" si="4"/>
        <v>54674.01</v>
      </c>
    </row>
    <row r="253" spans="8:8">
      <c r="A253" s="3" t="s">
        <v>267</v>
      </c>
      <c r="B253" s="4" t="s">
        <v>196</v>
      </c>
      <c r="C253" s="19">
        <v>0.01</v>
      </c>
      <c r="D253" s="19">
        <v>53232.0</v>
      </c>
      <c r="E253" s="43">
        <v>1242.0</v>
      </c>
      <c r="F253" s="43">
        <v>200.0</v>
      </c>
      <c r="G253" s="44">
        <f t="shared" si="4"/>
        <v>54674.01</v>
      </c>
    </row>
    <row r="254" spans="8:8">
      <c r="A254" s="3" t="s">
        <v>268</v>
      </c>
      <c r="B254" s="4" t="s">
        <v>196</v>
      </c>
      <c r="C254" s="19">
        <v>0.01</v>
      </c>
      <c r="D254" s="19">
        <v>53232.0</v>
      </c>
      <c r="E254" s="43">
        <v>1242.0</v>
      </c>
      <c r="F254" s="43">
        <v>200.0</v>
      </c>
      <c r="G254" s="44">
        <f t="shared" si="4"/>
        <v>54674.01</v>
      </c>
    </row>
    <row r="255" spans="8:8">
      <c r="A255" s="3" t="s">
        <v>269</v>
      </c>
      <c r="B255" s="4" t="s">
        <v>196</v>
      </c>
      <c r="C255" s="19">
        <v>0.01</v>
      </c>
      <c r="D255" s="19">
        <v>52464.0</v>
      </c>
      <c r="E255" s="43">
        <v>1242.0</v>
      </c>
      <c r="F255" s="43">
        <v>200.0</v>
      </c>
      <c r="G255" s="44">
        <f t="shared" si="4"/>
        <v>53906.01</v>
      </c>
    </row>
    <row r="256" spans="8:8">
      <c r="A256" s="3" t="s">
        <v>270</v>
      </c>
      <c r="B256" s="4" t="s">
        <v>196</v>
      </c>
      <c r="C256" s="19">
        <v>0.01</v>
      </c>
      <c r="D256" s="19">
        <v>53232.0</v>
      </c>
      <c r="E256" s="43">
        <v>1242.0</v>
      </c>
      <c r="F256" s="43">
        <v>200.0</v>
      </c>
      <c r="G256" s="44">
        <f t="shared" si="4"/>
        <v>54674.01</v>
      </c>
    </row>
    <row r="257" spans="8:8">
      <c r="A257" s="3" t="s">
        <v>271</v>
      </c>
      <c r="B257" s="4" t="s">
        <v>196</v>
      </c>
      <c r="C257" s="19">
        <v>0.01</v>
      </c>
      <c r="D257" s="19">
        <v>53232.0</v>
      </c>
      <c r="E257" s="43">
        <v>1242.0</v>
      </c>
      <c r="F257" s="43">
        <v>200.0</v>
      </c>
      <c r="G257" s="44">
        <f t="shared" si="4"/>
        <v>54674.01</v>
      </c>
    </row>
    <row r="258" spans="8:8">
      <c r="A258" s="3" t="s">
        <v>272</v>
      </c>
      <c r="B258" s="4" t="s">
        <v>196</v>
      </c>
      <c r="C258" s="19">
        <v>0.01</v>
      </c>
      <c r="D258" s="19">
        <v>53232.0</v>
      </c>
      <c r="E258" s="43">
        <v>1242.0</v>
      </c>
      <c r="F258" s="43">
        <v>200.0</v>
      </c>
      <c r="G258" s="44">
        <f t="shared" si="4"/>
        <v>54674.01</v>
      </c>
    </row>
    <row r="259" spans="8:8">
      <c r="A259" s="3" t="s">
        <v>273</v>
      </c>
      <c r="B259" s="4" t="s">
        <v>196</v>
      </c>
      <c r="C259" s="19">
        <v>0.01</v>
      </c>
      <c r="D259" s="19">
        <v>52608.0</v>
      </c>
      <c r="E259" s="43">
        <v>1242.0</v>
      </c>
      <c r="F259" s="43">
        <v>200.0</v>
      </c>
      <c r="G259" s="44">
        <f t="shared" si="4"/>
        <v>54050.01</v>
      </c>
    </row>
    <row r="260" spans="8:8">
      <c r="A260" s="3" t="s">
        <v>274</v>
      </c>
      <c r="B260" s="4" t="s">
        <v>196</v>
      </c>
      <c r="C260" s="19">
        <v>0.01</v>
      </c>
      <c r="D260" s="19">
        <v>53232.0</v>
      </c>
      <c r="E260" s="43">
        <v>1242.0</v>
      </c>
      <c r="F260" s="43">
        <v>200.0</v>
      </c>
      <c r="G260" s="44">
        <f t="shared" si="4"/>
        <v>54674.01</v>
      </c>
    </row>
    <row r="261" spans="8:8">
      <c r="A261" s="3" t="s">
        <v>275</v>
      </c>
      <c r="B261" s="4" t="s">
        <v>196</v>
      </c>
      <c r="C261" s="19">
        <v>0.01</v>
      </c>
      <c r="D261" s="19">
        <v>53232.0</v>
      </c>
      <c r="E261" s="43">
        <v>1242.0</v>
      </c>
      <c r="F261" s="43">
        <v>200.0</v>
      </c>
      <c r="G261" s="44">
        <f t="shared" si="4"/>
        <v>54674.01</v>
      </c>
    </row>
    <row r="262" spans="8:8">
      <c r="A262" s="3" t="s">
        <v>276</v>
      </c>
      <c r="B262" s="4" t="s">
        <v>196</v>
      </c>
      <c r="C262" s="19">
        <v>0.01</v>
      </c>
      <c r="D262" s="19">
        <v>52608.0</v>
      </c>
      <c r="E262" s="43">
        <v>1242.0</v>
      </c>
      <c r="F262" s="43">
        <v>200.0</v>
      </c>
      <c r="G262" s="44">
        <f t="shared" si="4"/>
        <v>54050.01</v>
      </c>
      <c r="J262" s="49"/>
    </row>
    <row r="263" spans="8:8" s="49" ht="15.0" customFormat="1">
      <c r="A263" s="15" t="s">
        <v>277</v>
      </c>
      <c r="B263" s="16" t="s">
        <v>196</v>
      </c>
      <c r="C263" s="19">
        <v>0.01</v>
      </c>
      <c r="D263" s="19">
        <v>53232.0</v>
      </c>
      <c r="E263" s="43">
        <v>1242.0</v>
      </c>
      <c r="F263" s="43">
        <v>200.0</v>
      </c>
      <c r="G263" s="44">
        <f t="shared" si="4"/>
        <v>54674.01</v>
      </c>
      <c r="J263" s="39"/>
    </row>
    <row r="264" spans="8:8">
      <c r="A264" s="14" t="s">
        <v>307</v>
      </c>
      <c r="B264" s="4" t="s">
        <v>196</v>
      </c>
      <c r="C264" s="19">
        <v>0.01</v>
      </c>
      <c r="D264" s="19">
        <v>89472.0</v>
      </c>
      <c r="E264" s="43">
        <v>1242.0</v>
      </c>
      <c r="F264" s="43">
        <v>200.0</v>
      </c>
      <c r="G264" s="44">
        <f t="shared" si="4"/>
        <v>90914.01</v>
      </c>
    </row>
    <row r="265" spans="8:8">
      <c r="A265" s="3" t="s">
        <v>279</v>
      </c>
      <c r="B265" s="4" t="s">
        <v>196</v>
      </c>
      <c r="C265" s="19">
        <v>0.01</v>
      </c>
      <c r="D265" s="19">
        <v>90096.0</v>
      </c>
      <c r="E265" s="43">
        <v>1242.0</v>
      </c>
      <c r="F265" s="43">
        <v>200.0</v>
      </c>
      <c r="G265" s="44">
        <f t="shared" si="4"/>
        <v>91538.01</v>
      </c>
    </row>
    <row r="266" spans="8:8" ht="15.75">
      <c r="A266" s="51" t="s">
        <v>280</v>
      </c>
      <c r="B266" s="52" t="s">
        <v>196</v>
      </c>
      <c r="C266" s="53">
        <v>13392.0</v>
      </c>
      <c r="D266" s="54">
        <v>52896.0</v>
      </c>
      <c r="E266" s="55">
        <v>1242.0</v>
      </c>
      <c r="F266" s="55">
        <v>200.0</v>
      </c>
      <c r="G266" s="56">
        <f t="shared" si="4"/>
        <v>67730.0</v>
      </c>
    </row>
    <row r="267" spans="8:8">
      <c r="A267" s="10" t="s">
        <v>281</v>
      </c>
      <c r="B267" s="11" t="s">
        <v>282</v>
      </c>
      <c r="C267" s="57">
        <v>50000.0</v>
      </c>
      <c r="D267" s="58" t="s">
        <v>292</v>
      </c>
      <c r="E267" s="57"/>
      <c r="F267" s="57"/>
      <c r="G267" s="47">
        <f>(C267)</f>
        <v>50000.0</v>
      </c>
    </row>
    <row r="268" spans="8:8" ht="15.75">
      <c r="A268" s="51" t="s">
        <v>283</v>
      </c>
      <c r="B268" s="52" t="s">
        <v>282</v>
      </c>
      <c r="C268" s="53">
        <v>540.0</v>
      </c>
      <c r="D268" s="59" t="s">
        <v>292</v>
      </c>
      <c r="E268" s="60"/>
      <c r="F268" s="60"/>
      <c r="G268" s="56">
        <f t="shared" si="5" ref="G268:G274">(C268)</f>
        <v>540.0</v>
      </c>
    </row>
    <row r="269" spans="8:8">
      <c r="A269" s="10" t="s">
        <v>284</v>
      </c>
      <c r="B269" s="25" t="s">
        <v>285</v>
      </c>
      <c r="C269" s="26">
        <v>200.0</v>
      </c>
      <c r="D269" s="58" t="s">
        <v>292</v>
      </c>
      <c r="E269" s="57"/>
      <c r="F269" s="57"/>
      <c r="G269" s="47">
        <f t="shared" si="5"/>
        <v>200.0</v>
      </c>
    </row>
    <row r="270" spans="8:8">
      <c r="A270" s="3" t="s">
        <v>286</v>
      </c>
      <c r="B270" s="16" t="s">
        <v>285</v>
      </c>
      <c r="C270" s="27">
        <v>500.0</v>
      </c>
      <c r="D270" s="61" t="s">
        <v>292</v>
      </c>
      <c r="E270" s="62"/>
      <c r="F270" s="62"/>
      <c r="G270" s="44">
        <f t="shared" si="5"/>
        <v>500.0</v>
      </c>
    </row>
    <row r="271" spans="8:8" s="49" ht="15.0" customFormat="1">
      <c r="A271" s="15" t="s">
        <v>4</v>
      </c>
      <c r="B271" s="16" t="s">
        <v>285</v>
      </c>
      <c r="C271" s="27">
        <v>1242.0</v>
      </c>
      <c r="D271" s="63" t="s">
        <v>292</v>
      </c>
      <c r="E271" s="64"/>
      <c r="F271" s="64"/>
      <c r="G271" s="44">
        <f t="shared" si="5"/>
        <v>1242.0</v>
      </c>
    </row>
    <row r="272" spans="8:8">
      <c r="A272" s="3" t="s">
        <v>287</v>
      </c>
      <c r="B272" s="16" t="s">
        <v>285</v>
      </c>
      <c r="C272" s="27">
        <v>12100.0</v>
      </c>
      <c r="D272" s="61" t="s">
        <v>292</v>
      </c>
      <c r="E272" s="62"/>
      <c r="F272" s="62"/>
      <c r="G272" s="44">
        <f t="shared" si="5"/>
        <v>12100.0</v>
      </c>
    </row>
    <row r="273" spans="8:8" s="49" ht="15.0" customFormat="1">
      <c r="A273" s="15" t="s">
        <v>5</v>
      </c>
      <c r="B273" s="16" t="s">
        <v>285</v>
      </c>
      <c r="C273" s="27">
        <v>200.0</v>
      </c>
      <c r="D273" s="63" t="s">
        <v>292</v>
      </c>
      <c r="E273" s="64"/>
      <c r="F273" s="64"/>
      <c r="G273" s="44">
        <f t="shared" si="5"/>
        <v>200.0</v>
      </c>
    </row>
    <row r="274" spans="8:8" s="49" ht="15.75" customFormat="1">
      <c r="A274" s="65" t="s">
        <v>288</v>
      </c>
      <c r="B274" s="66" t="s">
        <v>285</v>
      </c>
      <c r="C274" s="67">
        <v>13000.0</v>
      </c>
      <c r="D274" s="68" t="s">
        <v>292</v>
      </c>
      <c r="E274" s="69"/>
      <c r="F274" s="69"/>
      <c r="G274" s="56">
        <f t="shared" si="5"/>
        <v>13000.0</v>
      </c>
    </row>
    <row r="275" spans="8:8">
      <c r="A275" s="10" t="s">
        <v>289</v>
      </c>
      <c r="B275" s="25" t="s">
        <v>290</v>
      </c>
      <c r="C275" s="70">
        <v>0.01</v>
      </c>
      <c r="D275" s="70">
        <v>15792.0</v>
      </c>
      <c r="E275" s="46">
        <v>1242.0</v>
      </c>
      <c r="F275" s="46">
        <v>200.0</v>
      </c>
      <c r="G275" s="47">
        <f>(C275+D275+E275+F275)</f>
        <v>17234.010000000002</v>
      </c>
      <c r="J275" s="71"/>
    </row>
    <row r="276" spans="8:8">
      <c r="A276" s="3" t="s">
        <v>291</v>
      </c>
      <c r="B276" s="16" t="s">
        <v>290</v>
      </c>
      <c r="C276" s="62">
        <v>6000.0</v>
      </c>
      <c r="D276" s="72">
        <v>3744.0</v>
      </c>
      <c r="E276" s="46">
        <v>1242.0</v>
      </c>
      <c r="F276" s="43">
        <v>200.0</v>
      </c>
      <c r="G276" s="44">
        <f>(C276+D276+E276+F276)</f>
        <v>11186.0</v>
      </c>
      <c r="J276" s="71"/>
    </row>
    <row r="277" spans="8:8">
      <c r="C277" s="39"/>
      <c r="D277" s="39"/>
      <c r="E277" s="39"/>
      <c r="F277" s="39"/>
      <c r="G277" s="39"/>
    </row>
    <row r="278" spans="8:8">
      <c r="C278" s="39"/>
      <c r="D278" s="39"/>
      <c r="E278" s="39"/>
      <c r="F278" s="39"/>
      <c r="G278" s="39"/>
    </row>
    <row r="279" spans="8:8">
      <c r="C279" s="39"/>
      <c r="D279" s="39"/>
      <c r="E279" s="39"/>
      <c r="F279" s="39"/>
      <c r="G279" s="39"/>
    </row>
    <row r="280" spans="8:8">
      <c r="C280" s="39"/>
      <c r="D280" s="39"/>
      <c r="E280" s="39"/>
      <c r="F280" s="39"/>
      <c r="G280" s="39"/>
    </row>
    <row r="281" spans="8:8">
      <c r="C281" s="39"/>
      <c r="D281" s="39"/>
      <c r="E281" s="39"/>
      <c r="F281" s="39"/>
      <c r="G281" s="39"/>
    </row>
    <row r="282" spans="8:8">
      <c r="C282" s="39"/>
      <c r="D282" s="39"/>
      <c r="E282" s="39"/>
      <c r="F282" s="39"/>
      <c r="G282" s="39"/>
    </row>
    <row r="283" spans="8:8">
      <c r="C283" s="39"/>
      <c r="D283" s="39"/>
      <c r="E283" s="39"/>
      <c r="F283" s="39"/>
      <c r="G283" s="39"/>
    </row>
    <row r="284" spans="8:8">
      <c r="C284" s="39"/>
      <c r="D284" s="39"/>
      <c r="E284" s="39"/>
      <c r="F284" s="39"/>
      <c r="G284" s="39"/>
    </row>
    <row r="285" spans="8:8">
      <c r="C285" s="39"/>
      <c r="D285" s="39"/>
      <c r="E285" s="39"/>
      <c r="F285" s="39"/>
      <c r="G285" s="39"/>
    </row>
    <row r="286" spans="8:8">
      <c r="C286" s="39"/>
      <c r="D286" s="39"/>
      <c r="E286" s="39"/>
      <c r="F286" s="39"/>
      <c r="G286" s="39"/>
    </row>
    <row r="287" spans="8:8">
      <c r="C287" s="39"/>
      <c r="D287" s="39"/>
      <c r="E287" s="39"/>
      <c r="F287" s="39"/>
      <c r="G287" s="39"/>
    </row>
    <row r="288" spans="8:8">
      <c r="C288" s="39"/>
      <c r="D288" s="39"/>
      <c r="E288" s="39"/>
      <c r="F288" s="39"/>
      <c r="G288" s="39"/>
    </row>
    <row r="289" spans="8:8">
      <c r="C289" s="39"/>
      <c r="D289" s="39"/>
      <c r="E289" s="39"/>
      <c r="F289" s="39"/>
      <c r="G289" s="39"/>
    </row>
    <row r="290" spans="8:8">
      <c r="C290" s="39"/>
      <c r="D290" s="39"/>
      <c r="E290" s="39"/>
      <c r="F290" s="39"/>
      <c r="G290" s="39"/>
    </row>
    <row r="291" spans="8:8">
      <c r="C291" s="39"/>
      <c r="D291" s="39"/>
      <c r="E291" s="39"/>
      <c r="F291" s="39"/>
      <c r="G291" s="39"/>
    </row>
    <row r="292" spans="8:8">
      <c r="C292" s="39"/>
      <c r="D292" s="39"/>
      <c r="E292" s="39"/>
      <c r="F292" s="39"/>
      <c r="G292" s="39"/>
    </row>
    <row r="293" spans="8:8">
      <c r="C293" s="39"/>
      <c r="D293" s="39"/>
      <c r="E293" s="39"/>
      <c r="F293" s="39"/>
      <c r="G293" s="39"/>
    </row>
    <row r="294" spans="8:8">
      <c r="C294" s="39"/>
      <c r="D294" s="39"/>
      <c r="E294" s="39"/>
      <c r="F294" s="39"/>
      <c r="G294" s="39"/>
    </row>
    <row r="295" spans="8:8">
      <c r="C295" s="39"/>
      <c r="D295" s="39"/>
      <c r="E295" s="39"/>
      <c r="F295" s="39"/>
      <c r="G295" s="39"/>
    </row>
    <row r="296" spans="8:8">
      <c r="C296" s="39"/>
      <c r="D296" s="39"/>
      <c r="E296" s="39"/>
      <c r="F296" s="39"/>
      <c r="G296" s="39"/>
    </row>
    <row r="297" spans="8:8">
      <c r="C297" s="39"/>
      <c r="D297" s="39"/>
      <c r="E297" s="39"/>
      <c r="F297" s="39"/>
      <c r="G297" s="39"/>
    </row>
    <row r="298" spans="8:8">
      <c r="C298" s="39"/>
      <c r="D298" s="39"/>
      <c r="E298" s="39"/>
      <c r="F298" s="39"/>
      <c r="G298" s="39"/>
    </row>
    <row r="299" spans="8:8">
      <c r="C299" s="39"/>
      <c r="D299" s="39"/>
      <c r="E299" s="39"/>
      <c r="F299" s="39"/>
      <c r="G299" s="39"/>
    </row>
    <row r="300" spans="8:8">
      <c r="C300" s="39"/>
      <c r="D300" s="39"/>
      <c r="E300" s="39"/>
      <c r="F300" s="39"/>
      <c r="G300" s="39"/>
    </row>
    <row r="301" spans="8:8">
      <c r="C301" s="39"/>
      <c r="D301" s="39"/>
      <c r="E301" s="39"/>
      <c r="F301" s="39"/>
      <c r="G301" s="39"/>
    </row>
    <row r="302" spans="8:8">
      <c r="C302" s="39"/>
      <c r="D302" s="39"/>
      <c r="E302" s="39"/>
      <c r="F302" s="39"/>
      <c r="G302" s="39"/>
    </row>
    <row r="303" spans="8:8">
      <c r="C303" s="39"/>
      <c r="D303" s="39"/>
      <c r="E303" s="39"/>
      <c r="F303" s="39"/>
      <c r="G303" s="39"/>
    </row>
    <row r="304" spans="8:8">
      <c r="C304" s="39"/>
      <c r="D304" s="39"/>
      <c r="E304" s="39"/>
      <c r="F304" s="39"/>
      <c r="G304" s="39"/>
    </row>
    <row r="305" spans="8:8">
      <c r="C305" s="39"/>
      <c r="D305" s="39"/>
      <c r="E305" s="39"/>
      <c r="F305" s="39"/>
      <c r="G305" s="39"/>
    </row>
    <row r="306" spans="8:8">
      <c r="C306" s="39"/>
      <c r="D306" s="39"/>
      <c r="E306" s="39"/>
      <c r="F306" s="39"/>
      <c r="G306" s="39"/>
    </row>
    <row r="307" spans="8:8">
      <c r="C307" s="39"/>
      <c r="D307" s="39"/>
      <c r="E307" s="39"/>
      <c r="F307" s="39"/>
      <c r="G307" s="39"/>
    </row>
    <row r="308" spans="8:8">
      <c r="C308" s="39"/>
      <c r="D308" s="39"/>
      <c r="E308" s="39"/>
      <c r="F308" s="39"/>
      <c r="G308" s="39"/>
    </row>
    <row r="309" spans="8:8">
      <c r="C309" s="39"/>
      <c r="D309" s="39"/>
      <c r="E309" s="39"/>
      <c r="F309" s="39"/>
      <c r="G309" s="39"/>
    </row>
    <row r="310" spans="8:8">
      <c r="C310" s="39"/>
      <c r="D310" s="39"/>
      <c r="E310" s="39"/>
      <c r="F310" s="39"/>
      <c r="G310" s="39"/>
    </row>
    <row r="311" spans="8:8">
      <c r="C311" s="39"/>
      <c r="D311" s="39"/>
      <c r="E311" s="39"/>
      <c r="F311" s="39"/>
      <c r="G311" s="39"/>
    </row>
    <row r="312" spans="8:8">
      <c r="C312" s="39"/>
      <c r="D312" s="39"/>
      <c r="E312" s="39"/>
      <c r="F312" s="39"/>
      <c r="G312" s="39"/>
    </row>
    <row r="313" spans="8:8">
      <c r="C313" s="39"/>
      <c r="D313" s="39"/>
      <c r="E313" s="39"/>
      <c r="F313" s="39"/>
      <c r="G313" s="39"/>
    </row>
    <row r="314" spans="8:8">
      <c r="C314" s="39"/>
      <c r="D314" s="39"/>
      <c r="E314" s="39"/>
      <c r="F314" s="39"/>
      <c r="G314" s="39"/>
    </row>
    <row r="315" spans="8:8">
      <c r="C315" s="39"/>
      <c r="D315" s="39"/>
      <c r="E315" s="39"/>
      <c r="F315" s="39"/>
      <c r="G315" s="39"/>
    </row>
    <row r="316" spans="8:8">
      <c r="C316" s="39"/>
      <c r="D316" s="39"/>
      <c r="E316" s="39"/>
      <c r="F316" s="39"/>
      <c r="G316" s="39"/>
    </row>
    <row r="317" spans="8:8">
      <c r="C317" s="39"/>
      <c r="D317" s="39"/>
      <c r="E317" s="39"/>
      <c r="F317" s="39"/>
      <c r="G317" s="39"/>
    </row>
    <row r="318" spans="8:8">
      <c r="C318" s="39"/>
      <c r="D318" s="39"/>
      <c r="E318" s="39"/>
      <c r="F318" s="39"/>
      <c r="G318" s="39"/>
    </row>
    <row r="319" spans="8:8">
      <c r="C319" s="39"/>
      <c r="D319" s="39"/>
      <c r="E319" s="39"/>
      <c r="F319" s="39"/>
      <c r="G319" s="39"/>
    </row>
    <row r="320" spans="8:8">
      <c r="C320" s="39"/>
      <c r="D320" s="39"/>
      <c r="E320" s="39"/>
      <c r="F320" s="39"/>
      <c r="G320" s="39"/>
    </row>
    <row r="321" spans="8:8">
      <c r="C321" s="39"/>
      <c r="D321" s="39"/>
      <c r="E321" s="39"/>
      <c r="F321" s="39"/>
      <c r="G321" s="39"/>
    </row>
    <row r="322" spans="8:8">
      <c r="C322" s="39"/>
      <c r="D322" s="39"/>
      <c r="E322" s="39"/>
      <c r="F322" s="39"/>
      <c r="G322" s="39"/>
    </row>
    <row r="323" spans="8:8">
      <c r="C323" s="39"/>
      <c r="D323" s="39"/>
      <c r="E323" s="39"/>
      <c r="F323" s="39"/>
      <c r="G323" s="39"/>
    </row>
    <row r="324" spans="8:8">
      <c r="C324" s="39"/>
      <c r="D324" s="39"/>
      <c r="E324" s="39"/>
      <c r="F324" s="39"/>
      <c r="G324" s="39"/>
    </row>
    <row r="325" spans="8:8">
      <c r="C325" s="39"/>
      <c r="D325" s="39"/>
      <c r="E325" s="39"/>
      <c r="F325" s="39"/>
      <c r="G325" s="39"/>
    </row>
    <row r="326" spans="8:8">
      <c r="C326" s="39"/>
      <c r="D326" s="39"/>
      <c r="E326" s="39"/>
      <c r="F326" s="39"/>
      <c r="G326" s="39"/>
    </row>
    <row r="327" spans="8:8">
      <c r="C327" s="39"/>
      <c r="D327" s="39"/>
      <c r="E327" s="39"/>
      <c r="F327" s="39"/>
      <c r="G327" s="39"/>
    </row>
    <row r="328" spans="8:8">
      <c r="C328" s="39"/>
      <c r="D328" s="39"/>
      <c r="E328" s="39"/>
      <c r="F328" s="39"/>
      <c r="G328" s="39"/>
    </row>
    <row r="329" spans="8:8">
      <c r="C329" s="39"/>
      <c r="D329" s="39"/>
      <c r="E329" s="39"/>
      <c r="F329" s="39"/>
      <c r="G329" s="39"/>
    </row>
    <row r="330" spans="8:8">
      <c r="C330" s="39"/>
      <c r="D330" s="39"/>
      <c r="E330" s="39"/>
      <c r="F330" s="39"/>
      <c r="G330" s="39"/>
    </row>
    <row r="331" spans="8:8">
      <c r="C331" s="39"/>
      <c r="D331" s="39"/>
      <c r="E331" s="39"/>
      <c r="F331" s="39"/>
      <c r="G331" s="39"/>
    </row>
    <row r="332" spans="8:8">
      <c r="C332" s="39"/>
      <c r="D332" s="39"/>
      <c r="E332" s="39"/>
      <c r="F332" s="39"/>
      <c r="G332" s="39"/>
    </row>
    <row r="333" spans="8:8">
      <c r="C333" s="39"/>
      <c r="D333" s="39"/>
      <c r="E333" s="39"/>
      <c r="F333" s="39"/>
      <c r="G333" s="39"/>
    </row>
    <row r="334" spans="8:8">
      <c r="C334" s="39"/>
      <c r="D334" s="39"/>
      <c r="E334" s="39"/>
      <c r="F334" s="39"/>
      <c r="G334" s="39"/>
    </row>
    <row r="335" spans="8:8">
      <c r="C335" s="39"/>
      <c r="D335" s="39"/>
      <c r="E335" s="39"/>
      <c r="F335" s="39"/>
      <c r="G335" s="39"/>
    </row>
    <row r="336" spans="8:8">
      <c r="C336" s="39"/>
      <c r="D336" s="39"/>
      <c r="E336" s="39"/>
      <c r="F336" s="39"/>
      <c r="G336" s="39"/>
    </row>
    <row r="337" spans="8:8">
      <c r="C337" s="39"/>
      <c r="D337" s="39"/>
      <c r="E337" s="39"/>
      <c r="F337" s="39"/>
      <c r="G337" s="39"/>
    </row>
    <row r="338" spans="8:8">
      <c r="C338" s="39"/>
      <c r="D338" s="39"/>
      <c r="E338" s="39"/>
      <c r="F338" s="39"/>
      <c r="G338" s="39"/>
    </row>
    <row r="339" spans="8:8">
      <c r="C339" s="39"/>
      <c r="D339" s="39"/>
      <c r="E339" s="39"/>
      <c r="F339" s="39"/>
      <c r="G339" s="39"/>
    </row>
    <row r="340" spans="8:8">
      <c r="C340" s="39"/>
      <c r="D340" s="39"/>
      <c r="E340" s="39"/>
      <c r="F340" s="39"/>
      <c r="G340" s="39"/>
    </row>
    <row r="341" spans="8:8">
      <c r="C341" s="39"/>
      <c r="D341" s="39"/>
      <c r="E341" s="39"/>
      <c r="F341" s="39"/>
      <c r="G341" s="39"/>
    </row>
    <row r="342" spans="8:8">
      <c r="C342" s="39"/>
      <c r="D342" s="39"/>
      <c r="E342" s="39"/>
      <c r="F342" s="39"/>
      <c r="G342" s="39"/>
    </row>
    <row r="343" spans="8:8">
      <c r="C343" s="39"/>
      <c r="D343" s="39"/>
      <c r="E343" s="39"/>
      <c r="F343" s="39"/>
      <c r="G343" s="39"/>
    </row>
    <row r="344" spans="8:8">
      <c r="C344" s="39"/>
      <c r="D344" s="39"/>
      <c r="E344" s="39"/>
      <c r="F344" s="39"/>
      <c r="G344" s="39"/>
    </row>
    <row r="345" spans="8:8">
      <c r="C345" s="39"/>
      <c r="D345" s="39"/>
      <c r="E345" s="39"/>
      <c r="F345" s="39"/>
      <c r="G345" s="39"/>
    </row>
    <row r="346" spans="8:8">
      <c r="C346" s="39"/>
      <c r="D346" s="39"/>
      <c r="E346" s="39"/>
      <c r="F346" s="39"/>
      <c r="G346" s="39"/>
    </row>
    <row r="347" spans="8:8">
      <c r="C347" s="39"/>
      <c r="D347" s="39"/>
      <c r="E347" s="39"/>
      <c r="F347" s="39"/>
      <c r="G347" s="39"/>
    </row>
    <row r="348" spans="8:8">
      <c r="C348" s="39"/>
      <c r="D348" s="39"/>
      <c r="E348" s="39"/>
      <c r="F348" s="39"/>
      <c r="G348" s="39"/>
    </row>
    <row r="349" spans="8:8">
      <c r="C349" s="39"/>
      <c r="D349" s="39"/>
      <c r="E349" s="39"/>
      <c r="F349" s="39"/>
      <c r="G349" s="39"/>
    </row>
    <row r="350" spans="8:8">
      <c r="C350" s="39"/>
      <c r="D350" s="39"/>
      <c r="E350" s="39"/>
      <c r="F350" s="39"/>
      <c r="G350" s="39"/>
    </row>
    <row r="351" spans="8:8">
      <c r="C351" s="39"/>
      <c r="D351" s="39"/>
      <c r="E351" s="39"/>
      <c r="F351" s="39"/>
      <c r="G351" s="39"/>
    </row>
    <row r="352" spans="8:8">
      <c r="C352" s="39"/>
      <c r="D352" s="39"/>
      <c r="E352" s="39"/>
      <c r="F352" s="39"/>
      <c r="G352" s="39"/>
    </row>
    <row r="353" spans="8:8">
      <c r="C353" s="39"/>
      <c r="D353" s="39"/>
      <c r="E353" s="39"/>
      <c r="F353" s="39"/>
      <c r="G353" s="39"/>
    </row>
    <row r="354" spans="8:8">
      <c r="C354" s="39"/>
      <c r="D354" s="39"/>
      <c r="E354" s="39"/>
      <c r="F354" s="39"/>
      <c r="G354" s="39"/>
    </row>
    <row r="355" spans="8:8">
      <c r="C355" s="39"/>
      <c r="D355" s="39"/>
      <c r="E355" s="39"/>
      <c r="F355" s="39"/>
      <c r="G355" s="39"/>
    </row>
    <row r="356" spans="8:8">
      <c r="C356" s="39"/>
      <c r="D356" s="39"/>
      <c r="E356" s="39"/>
      <c r="F356" s="39"/>
      <c r="G356" s="39"/>
    </row>
    <row r="357" spans="8:8">
      <c r="C357" s="39"/>
      <c r="D357" s="39"/>
      <c r="E357" s="39"/>
      <c r="F357" s="39"/>
      <c r="G357" s="39"/>
    </row>
    <row r="358" spans="8:8">
      <c r="C358" s="39"/>
      <c r="D358" s="39"/>
      <c r="E358" s="39"/>
      <c r="F358" s="39"/>
      <c r="G358" s="39"/>
    </row>
    <row r="359" spans="8:8">
      <c r="C359" s="39"/>
      <c r="D359" s="39"/>
      <c r="E359" s="39"/>
      <c r="F359" s="39"/>
      <c r="G359" s="39"/>
    </row>
    <row r="360" spans="8:8">
      <c r="C360" s="39"/>
      <c r="D360" s="39"/>
      <c r="E360" s="39"/>
      <c r="F360" s="39"/>
      <c r="G360" s="39"/>
    </row>
    <row r="361" spans="8:8">
      <c r="C361" s="39"/>
      <c r="D361" s="39"/>
      <c r="E361" s="39"/>
      <c r="F361" s="39"/>
      <c r="G361" s="39"/>
    </row>
    <row r="362" spans="8:8">
      <c r="C362" s="39"/>
      <c r="D362" s="39"/>
      <c r="E362" s="39"/>
      <c r="F362" s="39"/>
      <c r="G362" s="39"/>
    </row>
    <row r="363" spans="8:8">
      <c r="C363" s="39"/>
      <c r="D363" s="39"/>
      <c r="E363" s="39"/>
      <c r="F363" s="39"/>
      <c r="G363" s="39"/>
    </row>
    <row r="364" spans="8:8">
      <c r="C364" s="39"/>
      <c r="D364" s="39"/>
      <c r="E364" s="39"/>
      <c r="F364" s="39"/>
      <c r="G364" s="39"/>
    </row>
    <row r="365" spans="8:8">
      <c r="C365" s="39"/>
      <c r="D365" s="39"/>
      <c r="E365" s="39"/>
      <c r="F365" s="39"/>
      <c r="G365" s="39"/>
    </row>
    <row r="366" spans="8:8">
      <c r="C366" s="39"/>
      <c r="D366" s="39"/>
      <c r="E366" s="39"/>
      <c r="F366" s="39"/>
      <c r="G366" s="39"/>
    </row>
    <row r="367" spans="8:8">
      <c r="C367" s="39"/>
      <c r="D367" s="39"/>
      <c r="E367" s="39"/>
      <c r="F367" s="39"/>
      <c r="G367" s="39"/>
    </row>
    <row r="368" spans="8:8">
      <c r="C368" s="39"/>
      <c r="D368" s="39"/>
      <c r="E368" s="39"/>
      <c r="F368" s="39"/>
      <c r="G368" s="39"/>
    </row>
    <row r="369" spans="8:8">
      <c r="C369" s="39"/>
      <c r="D369" s="39"/>
      <c r="E369" s="39"/>
      <c r="F369" s="39"/>
      <c r="G369" s="39"/>
    </row>
    <row r="370" spans="8:8">
      <c r="C370" s="39"/>
      <c r="D370" s="39"/>
      <c r="E370" s="39"/>
      <c r="F370" s="39"/>
      <c r="G370" s="39"/>
    </row>
    <row r="371" spans="8:8">
      <c r="C371" s="39"/>
      <c r="D371" s="39"/>
      <c r="E371" s="39"/>
      <c r="F371" s="39"/>
      <c r="G371" s="39"/>
    </row>
    <row r="372" spans="8:8">
      <c r="C372" s="39"/>
      <c r="D372" s="39"/>
      <c r="E372" s="39"/>
      <c r="F372" s="39"/>
      <c r="G372" s="39"/>
    </row>
    <row r="373" spans="8:8">
      <c r="C373" s="39"/>
      <c r="D373" s="39"/>
      <c r="E373" s="39"/>
      <c r="F373" s="39"/>
      <c r="G373" s="39"/>
    </row>
    <row r="374" spans="8:8">
      <c r="C374" s="39"/>
      <c r="D374" s="39"/>
      <c r="E374" s="39"/>
      <c r="F374" s="39"/>
      <c r="G374" s="39"/>
    </row>
    <row r="375" spans="8:8">
      <c r="C375" s="39"/>
      <c r="D375" s="39"/>
      <c r="E375" s="39"/>
      <c r="F375" s="39"/>
      <c r="G375" s="39"/>
    </row>
    <row r="376" spans="8:8">
      <c r="C376" s="39"/>
      <c r="D376" s="39"/>
      <c r="E376" s="39"/>
      <c r="F376" s="39"/>
      <c r="G376" s="39"/>
    </row>
    <row r="377" spans="8:8">
      <c r="C377" s="39"/>
      <c r="D377" s="39"/>
      <c r="E377" s="39"/>
      <c r="F377" s="39"/>
      <c r="G377" s="39"/>
    </row>
    <row r="378" spans="8:8">
      <c r="C378" s="39"/>
      <c r="D378" s="39"/>
      <c r="E378" s="39"/>
      <c r="F378" s="39"/>
      <c r="G378" s="39"/>
    </row>
    <row r="379" spans="8:8">
      <c r="C379" s="39"/>
      <c r="D379" s="39"/>
      <c r="E379" s="39"/>
      <c r="F379" s="39"/>
      <c r="G379" s="39"/>
    </row>
    <row r="380" spans="8:8">
      <c r="C380" s="39"/>
      <c r="D380" s="39"/>
      <c r="E380" s="39"/>
      <c r="F380" s="39"/>
      <c r="G380" s="39"/>
    </row>
    <row r="381" spans="8:8">
      <c r="C381" s="39"/>
      <c r="D381" s="39"/>
      <c r="E381" s="39"/>
      <c r="F381" s="39"/>
      <c r="G381" s="39"/>
    </row>
    <row r="382" spans="8:8">
      <c r="C382" s="39"/>
      <c r="D382" s="39"/>
      <c r="E382" s="39"/>
      <c r="F382" s="39"/>
      <c r="G382" s="39"/>
    </row>
    <row r="383" spans="8:8">
      <c r="C383" s="39"/>
      <c r="D383" s="39"/>
      <c r="E383" s="39"/>
      <c r="F383" s="39"/>
      <c r="G383" s="39"/>
    </row>
    <row r="384" spans="8:8">
      <c r="C384" s="39"/>
      <c r="D384" s="39"/>
      <c r="E384" s="39"/>
      <c r="F384" s="39"/>
      <c r="G384" s="39"/>
    </row>
    <row r="385" spans="8:8">
      <c r="C385" s="39"/>
      <c r="D385" s="39"/>
      <c r="E385" s="39"/>
      <c r="F385" s="39"/>
      <c r="G385" s="39"/>
    </row>
    <row r="386" spans="8:8">
      <c r="C386" s="39"/>
      <c r="D386" s="39"/>
      <c r="E386" s="39"/>
      <c r="F386" s="39"/>
      <c r="G386" s="39"/>
    </row>
    <row r="387" spans="8:8">
      <c r="C387" s="39"/>
      <c r="D387" s="39"/>
      <c r="E387" s="39"/>
      <c r="F387" s="39"/>
      <c r="G387" s="39"/>
    </row>
    <row r="388" spans="8:8">
      <c r="C388" s="39"/>
      <c r="D388" s="39"/>
      <c r="E388" s="39"/>
      <c r="F388" s="39"/>
      <c r="G388" s="39"/>
    </row>
    <row r="389" spans="8:8">
      <c r="C389" s="39"/>
      <c r="D389" s="39"/>
      <c r="E389" s="39"/>
      <c r="F389" s="39"/>
      <c r="G389" s="39"/>
    </row>
    <row r="390" spans="8:8">
      <c r="C390" s="39"/>
      <c r="D390" s="39"/>
      <c r="E390" s="39"/>
      <c r="F390" s="39"/>
      <c r="G390" s="39"/>
    </row>
    <row r="391" spans="8:8">
      <c r="C391" s="39"/>
      <c r="D391" s="39"/>
      <c r="E391" s="39"/>
      <c r="F391" s="39"/>
      <c r="G391" s="39"/>
    </row>
    <row r="392" spans="8:8">
      <c r="C392" s="39"/>
      <c r="D392" s="39"/>
      <c r="E392" s="39"/>
      <c r="F392" s="39"/>
      <c r="G392" s="39"/>
    </row>
    <row r="393" spans="8:8">
      <c r="C393" s="39"/>
      <c r="D393" s="39"/>
      <c r="E393" s="39"/>
      <c r="F393" s="39"/>
      <c r="G393" s="39"/>
    </row>
    <row r="394" spans="8:8">
      <c r="C394" s="39"/>
      <c r="D394" s="39"/>
      <c r="E394" s="39"/>
      <c r="F394" s="39"/>
      <c r="G394" s="39"/>
    </row>
    <row r="395" spans="8:8">
      <c r="C395" s="39"/>
      <c r="D395" s="39"/>
      <c r="E395" s="39"/>
      <c r="F395" s="39"/>
      <c r="G395" s="39"/>
    </row>
    <row r="396" spans="8:8">
      <c r="C396" s="39"/>
      <c r="D396" s="39"/>
      <c r="E396" s="39"/>
      <c r="F396" s="39"/>
      <c r="G396" s="39"/>
    </row>
    <row r="397" spans="8:8">
      <c r="C397" s="39"/>
      <c r="D397" s="39"/>
      <c r="E397" s="39"/>
      <c r="F397" s="39"/>
      <c r="G397" s="39"/>
    </row>
    <row r="398" spans="8:8">
      <c r="C398" s="39"/>
      <c r="D398" s="39"/>
      <c r="E398" s="39"/>
      <c r="F398" s="39"/>
      <c r="G398" s="39"/>
    </row>
    <row r="399" spans="8:8">
      <c r="C399" s="39"/>
      <c r="D399" s="39"/>
      <c r="E399" s="39"/>
      <c r="F399" s="39"/>
      <c r="G399" s="39"/>
    </row>
    <row r="400" spans="8:8">
      <c r="C400" s="39"/>
      <c r="D400" s="39"/>
      <c r="E400" s="39"/>
      <c r="F400" s="39"/>
      <c r="G400" s="39"/>
    </row>
  </sheetData>
  <pageMargins left="0.7" right="0.38" top="0.3" bottom="1.13" header="0.17" footer="0.17"/>
</worksheet>
</file>

<file path=xl/worksheets/sheet3.xml><?xml version="1.0" encoding="utf-8"?>
<worksheet xmlns:r="http://schemas.openxmlformats.org/officeDocument/2006/relationships" xmlns="http://schemas.openxmlformats.org/spreadsheetml/2006/main">
  <dimension ref="A1:M281"/>
  <sheetViews>
    <sheetView workbookViewId="0">
      <pane ySplit="1" topLeftCell="A44" state="frozen" activePane="bottomLeft"/>
      <selection pane="bottomLeft" activeCell="A48" sqref="A48:G49"/>
    </sheetView>
  </sheetViews>
  <sheetFormatPr defaultRowHeight="15.0" defaultColWidth="10"/>
  <cols>
    <col min="1" max="1" customWidth="1" width="53.710938" style="73"/>
    <col min="2" max="2" customWidth="1" bestFit="1" width="12.5703125" style="0"/>
    <col min="3" max="3" customWidth="1" width="10.5703125" style="74"/>
    <col min="4" max="4" customWidth="1" width="15.285156" style="74"/>
    <col min="5" max="5" customWidth="1" width="12.855469" style="74"/>
    <col min="6" max="6" customWidth="1" width="3.4257812" style="74"/>
    <col min="7" max="7" customWidth="1" bestFit="1" width="10.0" style="75"/>
    <col min="8" max="8" customWidth="1" bestFit="1" width="15.285156" style="0"/>
    <col min="10" max="10" customWidth="1" bestFit="1" width="12.7109375" style="76"/>
    <col min="11" max="12" customWidth="0" width="11.425781" style="76"/>
  </cols>
  <sheetData>
    <row r="1" spans="8:8" ht="15.75">
      <c r="A1" s="77" t="s">
        <v>0</v>
      </c>
      <c r="B1" s="77" t="s">
        <v>1</v>
      </c>
      <c r="C1" s="78" t="s">
        <v>2</v>
      </c>
      <c r="D1" s="78" t="s">
        <v>3</v>
      </c>
      <c r="E1" s="78" t="s">
        <v>4</v>
      </c>
      <c r="F1" s="78" t="s">
        <v>5</v>
      </c>
      <c r="G1" s="79" t="s">
        <v>294</v>
      </c>
      <c r="H1" s="80" t="s">
        <v>295</v>
      </c>
    </row>
    <row r="2" spans="8:8" s="81" ht="15.75" customFormat="1">
      <c r="A2" s="18" t="s">
        <v>7</v>
      </c>
      <c r="B2" s="82" t="s">
        <v>8</v>
      </c>
      <c r="C2" s="83">
        <v>0.01</v>
      </c>
      <c r="D2" s="83">
        <v>3186.0</v>
      </c>
      <c r="E2" s="84">
        <v>47.0</v>
      </c>
      <c r="F2" s="84">
        <v>50.0</v>
      </c>
      <c r="G2" s="84">
        <f t="shared" si="0" ref="G2:G65">SUM(C2:F2)</f>
        <v>3283.01</v>
      </c>
      <c r="H2" s="85">
        <f>G2*100000</f>
        <v>3.28301E8</v>
      </c>
      <c r="J2" s="86"/>
      <c r="K2" s="86"/>
      <c r="L2" s="86"/>
    </row>
    <row r="3" spans="8:8" s="81" ht="15.75" customFormat="1">
      <c r="A3" s="18" t="s">
        <v>9</v>
      </c>
      <c r="B3" s="82" t="s">
        <v>8</v>
      </c>
      <c r="C3" s="83">
        <v>0.01</v>
      </c>
      <c r="D3" s="83">
        <v>3186.0</v>
      </c>
      <c r="E3" s="84">
        <v>47.0</v>
      </c>
      <c r="F3" s="84">
        <v>50.0</v>
      </c>
      <c r="G3" s="84">
        <f t="shared" si="0"/>
        <v>3283.01</v>
      </c>
      <c r="H3" s="85">
        <f t="shared" si="1" ref="H3:H66">G3*100000</f>
        <v>3.28301E8</v>
      </c>
      <c r="J3" s="86"/>
      <c r="K3" s="86"/>
      <c r="L3" s="86"/>
    </row>
    <row r="4" spans="8:8" s="81" ht="15.75" customFormat="1">
      <c r="A4" s="18" t="s">
        <v>10</v>
      </c>
      <c r="B4" s="82" t="s">
        <v>8</v>
      </c>
      <c r="C4" s="83">
        <v>0.01</v>
      </c>
      <c r="D4" s="83">
        <v>3186.0</v>
      </c>
      <c r="E4" s="84">
        <v>47.0</v>
      </c>
      <c r="F4" s="84">
        <v>50.0</v>
      </c>
      <c r="G4" s="84">
        <f t="shared" si="0"/>
        <v>3283.01</v>
      </c>
      <c r="H4" s="85">
        <f t="shared" si="1"/>
        <v>3.28301E8</v>
      </c>
      <c r="J4" s="86"/>
      <c r="K4" s="86"/>
      <c r="L4" s="86"/>
    </row>
    <row r="5" spans="8:8" s="81" ht="15.75" customFormat="1">
      <c r="A5" s="18" t="s">
        <v>11</v>
      </c>
      <c r="B5" s="82" t="s">
        <v>8</v>
      </c>
      <c r="C5" s="87">
        <v>0.01</v>
      </c>
      <c r="D5" s="83">
        <v>2691.0</v>
      </c>
      <c r="E5" s="84">
        <v>47.0</v>
      </c>
      <c r="F5" s="84">
        <v>50.0</v>
      </c>
      <c r="G5" s="84">
        <f t="shared" si="0"/>
        <v>2788.01</v>
      </c>
      <c r="H5" s="85">
        <f t="shared" si="1"/>
        <v>2.78801E8</v>
      </c>
      <c r="J5" s="86"/>
      <c r="K5" s="86"/>
      <c r="L5" s="86"/>
    </row>
    <row r="6" spans="8:8" s="81" ht="15.75" customFormat="1">
      <c r="A6" s="18" t="s">
        <v>12</v>
      </c>
      <c r="B6" s="82" t="s">
        <v>13</v>
      </c>
      <c r="C6" s="83">
        <v>1890.0</v>
      </c>
      <c r="D6" s="83">
        <v>1134.0</v>
      </c>
      <c r="E6" s="84">
        <v>47.0</v>
      </c>
      <c r="F6" s="84">
        <v>50.0</v>
      </c>
      <c r="G6" s="84">
        <f t="shared" si="0"/>
        <v>3121.0</v>
      </c>
      <c r="H6" s="85">
        <f t="shared" si="1"/>
        <v>3.121E8</v>
      </c>
      <c r="J6" s="86"/>
      <c r="K6" s="86"/>
      <c r="L6" s="86"/>
    </row>
    <row r="7" spans="8:8" s="81" ht="16.5" customFormat="1">
      <c r="A7" s="18" t="s">
        <v>301</v>
      </c>
      <c r="B7" s="82" t="s">
        <v>13</v>
      </c>
      <c r="C7" s="83">
        <v>3780.0</v>
      </c>
      <c r="D7" s="83">
        <v>1404.0</v>
      </c>
      <c r="E7" s="84">
        <v>47.0</v>
      </c>
      <c r="F7" s="84">
        <v>50.0</v>
      </c>
      <c r="G7" s="84">
        <f t="shared" si="0"/>
        <v>5281.0</v>
      </c>
      <c r="H7" s="85">
        <f t="shared" si="1"/>
        <v>5.281E8</v>
      </c>
      <c r="J7" s="86"/>
      <c r="K7" s="86"/>
      <c r="L7" s="86"/>
    </row>
    <row r="8" spans="8:8" s="81" ht="15.75" customFormat="1">
      <c r="A8" s="18" t="s">
        <v>15</v>
      </c>
      <c r="B8" s="82" t="s">
        <v>13</v>
      </c>
      <c r="C8" s="83">
        <v>1602.0</v>
      </c>
      <c r="D8" s="83">
        <v>1134.0</v>
      </c>
      <c r="E8" s="84">
        <v>47.0</v>
      </c>
      <c r="F8" s="84">
        <v>50.0</v>
      </c>
      <c r="G8" s="84">
        <f t="shared" si="0"/>
        <v>2833.0</v>
      </c>
      <c r="H8" s="85">
        <f t="shared" si="1"/>
        <v>2.833E8</v>
      </c>
      <c r="J8" s="86"/>
      <c r="K8" s="86"/>
      <c r="L8" s="86"/>
    </row>
    <row r="9" spans="8:8" s="81" ht="15.75" customFormat="1">
      <c r="A9" s="18" t="s">
        <v>16</v>
      </c>
      <c r="B9" s="82" t="s">
        <v>13</v>
      </c>
      <c r="C9" s="83">
        <v>2034.0</v>
      </c>
      <c r="D9" s="83">
        <v>1134.0</v>
      </c>
      <c r="E9" s="84">
        <v>47.0</v>
      </c>
      <c r="F9" s="84">
        <v>50.0</v>
      </c>
      <c r="G9" s="84">
        <f t="shared" si="0"/>
        <v>3265.0</v>
      </c>
      <c r="H9" s="85">
        <f t="shared" si="1"/>
        <v>3.265E8</v>
      </c>
      <c r="J9" s="86"/>
      <c r="K9" s="86"/>
      <c r="L9" s="86"/>
    </row>
    <row r="10" spans="8:8" s="81" ht="15.75" customFormat="1">
      <c r="A10" s="18" t="s">
        <v>17</v>
      </c>
      <c r="B10" s="82" t="s">
        <v>13</v>
      </c>
      <c r="C10" s="83">
        <v>7083.0</v>
      </c>
      <c r="D10" s="83">
        <v>2592.0</v>
      </c>
      <c r="E10" s="84">
        <v>47.0</v>
      </c>
      <c r="F10" s="84">
        <v>50.0</v>
      </c>
      <c r="G10" s="84">
        <f t="shared" si="0"/>
        <v>9772.0</v>
      </c>
      <c r="H10" s="85">
        <f t="shared" si="1"/>
        <v>9.772E8</v>
      </c>
      <c r="J10" s="86"/>
      <c r="K10" s="86"/>
      <c r="L10" s="86"/>
    </row>
    <row r="11" spans="8:8" s="81" ht="15.75" customFormat="1">
      <c r="A11" s="18" t="s">
        <v>18</v>
      </c>
      <c r="B11" s="82" t="s">
        <v>13</v>
      </c>
      <c r="C11" s="83">
        <v>3753.0</v>
      </c>
      <c r="D11" s="83">
        <v>2592.0</v>
      </c>
      <c r="E11" s="84">
        <v>47.0</v>
      </c>
      <c r="F11" s="84">
        <v>50.0</v>
      </c>
      <c r="G11" s="84">
        <f t="shared" si="0"/>
        <v>6442.0</v>
      </c>
      <c r="H11" s="85">
        <f t="shared" si="1"/>
        <v>6.442E8</v>
      </c>
      <c r="J11" s="86"/>
      <c r="K11" s="86"/>
      <c r="L11" s="86"/>
    </row>
    <row r="12" spans="8:8" s="81" ht="15.75" customFormat="1">
      <c r="A12" s="18" t="s">
        <v>19</v>
      </c>
      <c r="B12" s="82" t="s">
        <v>13</v>
      </c>
      <c r="C12" s="83">
        <v>1809.0</v>
      </c>
      <c r="D12" s="83">
        <v>2592.0</v>
      </c>
      <c r="E12" s="84">
        <v>47.0</v>
      </c>
      <c r="F12" s="84">
        <v>50.0</v>
      </c>
      <c r="G12" s="84">
        <f t="shared" si="0"/>
        <v>4498.0</v>
      </c>
      <c r="H12" s="85">
        <f t="shared" si="1"/>
        <v>4.498E8</v>
      </c>
      <c r="J12" s="86"/>
      <c r="K12" s="86"/>
      <c r="L12" s="86"/>
    </row>
    <row r="13" spans="8:8" s="81" ht="15.75" customFormat="1">
      <c r="A13" s="18" t="s">
        <v>20</v>
      </c>
      <c r="B13" s="82" t="s">
        <v>13</v>
      </c>
      <c r="C13" s="83">
        <v>1971.0</v>
      </c>
      <c r="D13" s="83">
        <v>2862.0</v>
      </c>
      <c r="E13" s="84">
        <v>47.0</v>
      </c>
      <c r="F13" s="84">
        <v>50.0</v>
      </c>
      <c r="G13" s="84">
        <f t="shared" si="0"/>
        <v>4930.0</v>
      </c>
      <c r="H13" s="85">
        <f t="shared" si="1"/>
        <v>4.93E8</v>
      </c>
      <c r="J13" s="86"/>
      <c r="K13" s="86"/>
      <c r="L13" s="86"/>
    </row>
    <row r="14" spans="8:8" s="81" ht="15.75" customFormat="1">
      <c r="A14" s="18" t="s">
        <v>21</v>
      </c>
      <c r="B14" s="82" t="s">
        <v>13</v>
      </c>
      <c r="C14" s="83">
        <v>1971.0</v>
      </c>
      <c r="D14" s="83">
        <v>2862.0</v>
      </c>
      <c r="E14" s="84">
        <v>47.0</v>
      </c>
      <c r="F14" s="84">
        <v>50.0</v>
      </c>
      <c r="G14" s="84">
        <f t="shared" si="0"/>
        <v>4930.0</v>
      </c>
      <c r="H14" s="85">
        <f t="shared" si="1"/>
        <v>4.93E8</v>
      </c>
      <c r="J14" s="86"/>
      <c r="K14" s="86"/>
      <c r="L14" s="86"/>
    </row>
    <row r="15" spans="8:8" s="81" ht="15.75" customFormat="1">
      <c r="A15" s="18" t="s">
        <v>302</v>
      </c>
      <c r="B15" s="82" t="s">
        <v>13</v>
      </c>
      <c r="C15" s="83">
        <v>1971.0</v>
      </c>
      <c r="D15" s="83">
        <v>2700.0</v>
      </c>
      <c r="E15" s="84">
        <v>47.0</v>
      </c>
      <c r="F15" s="84">
        <v>50.0</v>
      </c>
      <c r="G15" s="84">
        <f t="shared" si="0"/>
        <v>4768.0</v>
      </c>
      <c r="H15" s="85">
        <f t="shared" si="1"/>
        <v>4.768E8</v>
      </c>
      <c r="J15" s="86"/>
      <c r="K15" s="86"/>
      <c r="L15" s="86"/>
    </row>
    <row r="16" spans="8:8" s="81" ht="15.75" customFormat="1">
      <c r="A16" s="18" t="s">
        <v>23</v>
      </c>
      <c r="B16" s="82" t="s">
        <v>13</v>
      </c>
      <c r="C16" s="83">
        <v>1971.0</v>
      </c>
      <c r="D16" s="83">
        <v>2700.0</v>
      </c>
      <c r="E16" s="84">
        <v>47.0</v>
      </c>
      <c r="F16" s="84">
        <v>50.0</v>
      </c>
      <c r="G16" s="84">
        <f t="shared" si="0"/>
        <v>4768.0</v>
      </c>
      <c r="H16" s="85">
        <f t="shared" si="1"/>
        <v>4.768E8</v>
      </c>
      <c r="J16" s="86"/>
      <c r="K16" s="86"/>
      <c r="L16" s="86"/>
    </row>
    <row r="17" spans="8:8" s="81" ht="15.75" customFormat="1">
      <c r="A17" s="18" t="s">
        <v>24</v>
      </c>
      <c r="B17" s="82" t="s">
        <v>13</v>
      </c>
      <c r="C17" s="83">
        <v>1755.0</v>
      </c>
      <c r="D17" s="83">
        <v>2592.0</v>
      </c>
      <c r="E17" s="84">
        <v>47.0</v>
      </c>
      <c r="F17" s="84">
        <v>50.0</v>
      </c>
      <c r="G17" s="84">
        <f t="shared" si="0"/>
        <v>4444.0</v>
      </c>
      <c r="H17" s="85">
        <f t="shared" si="1"/>
        <v>4.444E8</v>
      </c>
      <c r="J17" s="86"/>
      <c r="K17" s="86"/>
      <c r="L17" s="86"/>
    </row>
    <row r="18" spans="8:8" s="81" ht="15.75" customFormat="1">
      <c r="A18" s="18" t="s">
        <v>25</v>
      </c>
      <c r="B18" s="82" t="s">
        <v>13</v>
      </c>
      <c r="C18" s="83">
        <v>1638.0</v>
      </c>
      <c r="D18" s="83">
        <v>2592.0</v>
      </c>
      <c r="E18" s="84">
        <v>47.0</v>
      </c>
      <c r="F18" s="84">
        <v>50.0</v>
      </c>
      <c r="G18" s="84">
        <f t="shared" si="0"/>
        <v>4327.0</v>
      </c>
      <c r="H18" s="85">
        <f t="shared" si="1"/>
        <v>4.327E8</v>
      </c>
      <c r="J18" s="86"/>
      <c r="K18" s="86"/>
      <c r="L18" s="86"/>
    </row>
    <row r="19" spans="8:8" s="81" ht="15.75" customFormat="1">
      <c r="A19" s="18" t="s">
        <v>26</v>
      </c>
      <c r="B19" s="82" t="s">
        <v>13</v>
      </c>
      <c r="C19" s="83">
        <v>2412.0</v>
      </c>
      <c r="D19" s="83">
        <v>2700.0</v>
      </c>
      <c r="E19" s="84">
        <v>47.0</v>
      </c>
      <c r="F19" s="84">
        <v>50.0</v>
      </c>
      <c r="G19" s="84">
        <f t="shared" si="0"/>
        <v>5209.0</v>
      </c>
      <c r="H19" s="85">
        <f t="shared" si="1"/>
        <v>5.209E8</v>
      </c>
      <c r="J19" s="86"/>
      <c r="K19" s="86"/>
      <c r="L19" s="86"/>
    </row>
    <row r="20" spans="8:8" s="81" ht="15.75" customFormat="1">
      <c r="A20" s="18" t="s">
        <v>27</v>
      </c>
      <c r="B20" s="82" t="s">
        <v>13</v>
      </c>
      <c r="C20" s="83">
        <v>1755.0</v>
      </c>
      <c r="D20" s="83">
        <v>2700.0</v>
      </c>
      <c r="E20" s="84">
        <v>47.0</v>
      </c>
      <c r="F20" s="84">
        <v>50.0</v>
      </c>
      <c r="G20" s="84">
        <f t="shared" si="0"/>
        <v>4552.0</v>
      </c>
      <c r="H20" s="85">
        <f t="shared" si="1"/>
        <v>4.552E8</v>
      </c>
      <c r="J20" s="86"/>
      <c r="K20" s="86"/>
      <c r="L20" s="86"/>
    </row>
    <row r="21" spans="8:8" s="81" ht="15.75" customFormat="1">
      <c r="A21" s="18" t="s">
        <v>28</v>
      </c>
      <c r="B21" s="82" t="s">
        <v>13</v>
      </c>
      <c r="C21" s="83">
        <v>2412.0</v>
      </c>
      <c r="D21" s="83">
        <v>2592.0</v>
      </c>
      <c r="E21" s="84">
        <v>47.0</v>
      </c>
      <c r="F21" s="84">
        <v>50.0</v>
      </c>
      <c r="G21" s="84">
        <f t="shared" si="0"/>
        <v>5101.0</v>
      </c>
      <c r="H21" s="85">
        <f t="shared" si="1"/>
        <v>5.101E8</v>
      </c>
      <c r="J21" s="86"/>
      <c r="K21" s="86"/>
      <c r="L21" s="86"/>
    </row>
    <row r="22" spans="8:8" s="81" ht="15.75" customFormat="1">
      <c r="A22" s="18" t="s">
        <v>29</v>
      </c>
      <c r="B22" s="82" t="s">
        <v>13</v>
      </c>
      <c r="C22" s="83">
        <v>2187.0</v>
      </c>
      <c r="D22" s="83">
        <v>2700.0</v>
      </c>
      <c r="E22" s="84">
        <v>47.0</v>
      </c>
      <c r="F22" s="84">
        <v>50.0</v>
      </c>
      <c r="G22" s="84">
        <f t="shared" si="0"/>
        <v>4984.0</v>
      </c>
      <c r="H22" s="85">
        <f t="shared" si="1"/>
        <v>4.984E8</v>
      </c>
      <c r="J22" s="86"/>
      <c r="K22" s="86"/>
      <c r="L22" s="86"/>
    </row>
    <row r="23" spans="8:8" s="81" ht="15.75" customFormat="1">
      <c r="A23" s="18" t="s">
        <v>303</v>
      </c>
      <c r="B23" s="82" t="s">
        <v>13</v>
      </c>
      <c r="C23" s="83">
        <v>1638.0</v>
      </c>
      <c r="D23" s="83">
        <v>2700.0</v>
      </c>
      <c r="E23" s="84">
        <v>47.0</v>
      </c>
      <c r="F23" s="84">
        <v>50.0</v>
      </c>
      <c r="G23" s="84">
        <f t="shared" si="0"/>
        <v>4435.0</v>
      </c>
      <c r="H23" s="85">
        <f t="shared" si="1"/>
        <v>4.435E8</v>
      </c>
      <c r="J23" s="86"/>
      <c r="K23" s="86"/>
      <c r="L23" s="86"/>
    </row>
    <row r="24" spans="8:8" s="81" ht="15.75" customFormat="1">
      <c r="A24" s="18" t="s">
        <v>31</v>
      </c>
      <c r="B24" s="82" t="s">
        <v>13</v>
      </c>
      <c r="C24" s="83">
        <v>1638.0</v>
      </c>
      <c r="D24" s="83">
        <v>2592.0</v>
      </c>
      <c r="E24" s="84">
        <v>47.0</v>
      </c>
      <c r="F24" s="84">
        <v>50.0</v>
      </c>
      <c r="G24" s="84">
        <f t="shared" si="0"/>
        <v>4327.0</v>
      </c>
      <c r="H24" s="85">
        <f t="shared" si="1"/>
        <v>4.327E8</v>
      </c>
      <c r="J24" s="86"/>
      <c r="K24" s="86"/>
      <c r="L24" s="86"/>
    </row>
    <row r="25" spans="8:8" s="81" ht="15.75" customFormat="1">
      <c r="A25" s="18" t="s">
        <v>32</v>
      </c>
      <c r="B25" s="82" t="s">
        <v>13</v>
      </c>
      <c r="C25" s="83">
        <v>2961.0</v>
      </c>
      <c r="D25" s="83">
        <v>2700.0</v>
      </c>
      <c r="E25" s="84">
        <v>47.0</v>
      </c>
      <c r="F25" s="84">
        <v>50.0</v>
      </c>
      <c r="G25" s="84">
        <f t="shared" si="0"/>
        <v>5758.0</v>
      </c>
      <c r="H25" s="85">
        <f t="shared" si="1"/>
        <v>5.758E8</v>
      </c>
      <c r="J25" s="86"/>
      <c r="K25" s="86"/>
      <c r="L25" s="86"/>
    </row>
    <row r="26" spans="8:8" s="81" ht="15.75" customFormat="1">
      <c r="A26" s="18" t="s">
        <v>33</v>
      </c>
      <c r="B26" s="82" t="s">
        <v>13</v>
      </c>
      <c r="C26" s="83">
        <v>2961.0</v>
      </c>
      <c r="D26" s="83">
        <v>2700.0</v>
      </c>
      <c r="E26" s="84">
        <v>47.0</v>
      </c>
      <c r="F26" s="84">
        <v>50.0</v>
      </c>
      <c r="G26" s="84">
        <f t="shared" si="0"/>
        <v>5758.0</v>
      </c>
      <c r="H26" s="85">
        <f t="shared" si="1"/>
        <v>5.758E8</v>
      </c>
      <c r="J26" s="86"/>
      <c r="K26" s="86"/>
      <c r="L26" s="86"/>
    </row>
    <row r="27" spans="8:8" s="81" ht="15.75" customFormat="1">
      <c r="A27" s="18" t="s">
        <v>34</v>
      </c>
      <c r="B27" s="82" t="s">
        <v>13</v>
      </c>
      <c r="C27" s="83">
        <v>2187.0</v>
      </c>
      <c r="D27" s="83">
        <v>2700.0</v>
      </c>
      <c r="E27" s="84">
        <v>47.0</v>
      </c>
      <c r="F27" s="84">
        <v>50.0</v>
      </c>
      <c r="G27" s="84">
        <f t="shared" si="0"/>
        <v>4984.0</v>
      </c>
      <c r="H27" s="85">
        <f t="shared" si="1"/>
        <v>4.984E8</v>
      </c>
      <c r="J27" s="86"/>
      <c r="K27" s="86"/>
      <c r="L27" s="86"/>
    </row>
    <row r="28" spans="8:8" s="81" ht="15.75" customFormat="1">
      <c r="A28" s="18" t="s">
        <v>35</v>
      </c>
      <c r="B28" s="82" t="s">
        <v>13</v>
      </c>
      <c r="C28" s="83">
        <v>2943.0</v>
      </c>
      <c r="D28" s="83">
        <v>2592.0</v>
      </c>
      <c r="E28" s="84">
        <v>47.0</v>
      </c>
      <c r="F28" s="84">
        <v>50.0</v>
      </c>
      <c r="G28" s="84">
        <f t="shared" si="0"/>
        <v>5632.0</v>
      </c>
      <c r="H28" s="85">
        <f t="shared" si="1"/>
        <v>5.632E8</v>
      </c>
      <c r="J28" s="86"/>
      <c r="K28" s="86"/>
      <c r="L28" s="86"/>
    </row>
    <row r="29" spans="8:8" s="81" ht="15.75" customFormat="1">
      <c r="A29" s="18" t="s">
        <v>36</v>
      </c>
      <c r="B29" s="82" t="s">
        <v>13</v>
      </c>
      <c r="C29" s="83">
        <v>2223.0</v>
      </c>
      <c r="D29" s="83">
        <v>2700.0</v>
      </c>
      <c r="E29" s="84">
        <v>47.0</v>
      </c>
      <c r="F29" s="84">
        <v>50.0</v>
      </c>
      <c r="G29" s="84">
        <f t="shared" si="0"/>
        <v>5020.0</v>
      </c>
      <c r="H29" s="85">
        <f t="shared" si="1"/>
        <v>5.02E8</v>
      </c>
      <c r="J29" s="86"/>
      <c r="K29" s="86"/>
      <c r="L29" s="86"/>
    </row>
    <row r="30" spans="8:8" s="81" ht="15.75" customFormat="1">
      <c r="A30" s="18" t="s">
        <v>37</v>
      </c>
      <c r="B30" s="82" t="s">
        <v>13</v>
      </c>
      <c r="C30" s="83">
        <v>1125.0</v>
      </c>
      <c r="D30" s="83">
        <v>2592.0</v>
      </c>
      <c r="E30" s="84">
        <v>47.0</v>
      </c>
      <c r="F30" s="84">
        <v>50.0</v>
      </c>
      <c r="G30" s="84">
        <f t="shared" si="0"/>
        <v>3814.0</v>
      </c>
      <c r="H30" s="85">
        <f t="shared" si="1"/>
        <v>3.814E8</v>
      </c>
      <c r="J30" s="86"/>
      <c r="K30" s="86"/>
      <c r="L30" s="86"/>
    </row>
    <row r="31" spans="8:8" s="81" ht="15.75" customFormat="1">
      <c r="A31" s="18" t="s">
        <v>38</v>
      </c>
      <c r="B31" s="82" t="s">
        <v>13</v>
      </c>
      <c r="C31" s="83">
        <v>1206.0</v>
      </c>
      <c r="D31" s="83">
        <v>2592.0</v>
      </c>
      <c r="E31" s="84">
        <v>47.0</v>
      </c>
      <c r="F31" s="84">
        <v>50.0</v>
      </c>
      <c r="G31" s="84">
        <f t="shared" si="0"/>
        <v>3895.0</v>
      </c>
      <c r="H31" s="85">
        <f t="shared" si="1"/>
        <v>3.895E8</v>
      </c>
      <c r="J31" s="86"/>
      <c r="K31" s="86"/>
      <c r="L31" s="86"/>
    </row>
    <row r="32" spans="8:8" s="81" ht="15.75" customFormat="1">
      <c r="A32" s="18" t="s">
        <v>39</v>
      </c>
      <c r="B32" s="82" t="s">
        <v>13</v>
      </c>
      <c r="C32" s="83">
        <v>1368.0</v>
      </c>
      <c r="D32" s="83">
        <v>2700.0</v>
      </c>
      <c r="E32" s="84">
        <v>47.0</v>
      </c>
      <c r="F32" s="84">
        <v>50.0</v>
      </c>
      <c r="G32" s="84">
        <f t="shared" si="0"/>
        <v>4165.0</v>
      </c>
      <c r="H32" s="85">
        <f t="shared" si="1"/>
        <v>4.165E8</v>
      </c>
      <c r="J32" s="86"/>
      <c r="K32" s="86"/>
      <c r="L32" s="86"/>
    </row>
    <row r="33" spans="8:8" s="81" ht="15.75" customFormat="1">
      <c r="A33" s="18" t="s">
        <v>40</v>
      </c>
      <c r="B33" s="82" t="s">
        <v>13</v>
      </c>
      <c r="C33" s="83">
        <v>2187.0</v>
      </c>
      <c r="D33" s="83">
        <v>2592.0</v>
      </c>
      <c r="E33" s="84">
        <v>47.0</v>
      </c>
      <c r="F33" s="84">
        <v>50.0</v>
      </c>
      <c r="G33" s="84">
        <f t="shared" si="0"/>
        <v>4876.0</v>
      </c>
      <c r="H33" s="85">
        <f t="shared" si="1"/>
        <v>4.876E8</v>
      </c>
      <c r="J33" s="86"/>
      <c r="K33" s="86"/>
      <c r="L33" s="86"/>
    </row>
    <row r="34" spans="8:8" s="81" ht="15.75" customFormat="1">
      <c r="A34" s="18" t="s">
        <v>41</v>
      </c>
      <c r="B34" s="82" t="s">
        <v>13</v>
      </c>
      <c r="C34" s="83">
        <v>981.0</v>
      </c>
      <c r="D34" s="83">
        <v>2592.0</v>
      </c>
      <c r="E34" s="84">
        <v>47.0</v>
      </c>
      <c r="F34" s="84">
        <v>50.0</v>
      </c>
      <c r="G34" s="84">
        <f t="shared" si="0"/>
        <v>3670.0</v>
      </c>
      <c r="H34" s="85">
        <f t="shared" si="1"/>
        <v>3.67E8</v>
      </c>
      <c r="J34" s="86"/>
      <c r="K34" s="86"/>
      <c r="L34" s="86"/>
    </row>
    <row r="35" spans="8:8" s="81" ht="15.75" customFormat="1">
      <c r="A35" s="18" t="s">
        <v>42</v>
      </c>
      <c r="B35" s="82" t="s">
        <v>13</v>
      </c>
      <c r="C35" s="83">
        <v>981.0</v>
      </c>
      <c r="D35" s="83">
        <v>2592.0</v>
      </c>
      <c r="E35" s="84">
        <v>47.0</v>
      </c>
      <c r="F35" s="84">
        <v>50.0</v>
      </c>
      <c r="G35" s="84">
        <f t="shared" si="0"/>
        <v>3670.0</v>
      </c>
      <c r="H35" s="85">
        <f t="shared" si="1"/>
        <v>3.67E8</v>
      </c>
      <c r="J35" s="86"/>
      <c r="K35" s="86"/>
      <c r="L35" s="86"/>
    </row>
    <row r="36" spans="8:8" s="81" ht="15.75" customFormat="1">
      <c r="A36" s="18" t="s">
        <v>43</v>
      </c>
      <c r="B36" s="82" t="s">
        <v>13</v>
      </c>
      <c r="C36" s="83">
        <v>2223.0</v>
      </c>
      <c r="D36" s="83">
        <v>2592.0</v>
      </c>
      <c r="E36" s="84">
        <v>47.0</v>
      </c>
      <c r="F36" s="84">
        <v>50.0</v>
      </c>
      <c r="G36" s="84">
        <f t="shared" si="0"/>
        <v>4912.0</v>
      </c>
      <c r="H36" s="85">
        <f t="shared" si="1"/>
        <v>4.912E8</v>
      </c>
      <c r="J36" s="86"/>
      <c r="K36" s="86"/>
      <c r="L36" s="86"/>
    </row>
    <row r="37" spans="8:8" s="81" ht="15.75" customFormat="1">
      <c r="A37" s="18" t="s">
        <v>44</v>
      </c>
      <c r="B37" s="82" t="s">
        <v>13</v>
      </c>
      <c r="C37" s="83">
        <v>1206.0</v>
      </c>
      <c r="D37" s="83">
        <v>2592.0</v>
      </c>
      <c r="E37" s="84">
        <v>47.0</v>
      </c>
      <c r="F37" s="84">
        <v>50.0</v>
      </c>
      <c r="G37" s="84">
        <f t="shared" si="0"/>
        <v>3895.0</v>
      </c>
      <c r="H37" s="85">
        <f t="shared" si="1"/>
        <v>3.895E8</v>
      </c>
      <c r="J37" s="86"/>
      <c r="K37" s="86"/>
      <c r="L37" s="86"/>
    </row>
    <row r="38" spans="8:8" s="81" ht="15.75" customFormat="1">
      <c r="A38" s="18" t="s">
        <v>45</v>
      </c>
      <c r="B38" s="82" t="s">
        <v>13</v>
      </c>
      <c r="C38" s="83">
        <v>4599.0</v>
      </c>
      <c r="D38" s="83">
        <v>2700.0</v>
      </c>
      <c r="E38" s="84">
        <v>47.0</v>
      </c>
      <c r="F38" s="84">
        <v>50.0</v>
      </c>
      <c r="G38" s="84">
        <f t="shared" si="0"/>
        <v>7396.0</v>
      </c>
      <c r="H38" s="85">
        <f t="shared" si="1"/>
        <v>7.396E8</v>
      </c>
      <c r="J38" s="86"/>
      <c r="K38" s="86"/>
      <c r="L38" s="86"/>
    </row>
    <row r="39" spans="8:8" s="81" ht="15.75" customFormat="1">
      <c r="A39" s="18" t="s">
        <v>46</v>
      </c>
      <c r="B39" s="82" t="s">
        <v>13</v>
      </c>
      <c r="C39" s="83">
        <v>4599.0</v>
      </c>
      <c r="D39" s="83">
        <v>2700.0</v>
      </c>
      <c r="E39" s="84">
        <v>47.0</v>
      </c>
      <c r="F39" s="84">
        <v>50.0</v>
      </c>
      <c r="G39" s="84">
        <f t="shared" si="0"/>
        <v>7396.0</v>
      </c>
      <c r="H39" s="85">
        <f t="shared" si="1"/>
        <v>7.396E8</v>
      </c>
      <c r="J39" s="86"/>
      <c r="K39" s="86"/>
      <c r="L39" s="86"/>
    </row>
    <row r="40" spans="8:8" s="81" ht="15.75" customFormat="1">
      <c r="A40" s="18" t="s">
        <v>47</v>
      </c>
      <c r="B40" s="82" t="s">
        <v>13</v>
      </c>
      <c r="C40" s="83">
        <v>6471.0</v>
      </c>
      <c r="D40" s="83">
        <v>2700.0</v>
      </c>
      <c r="E40" s="84">
        <v>47.0</v>
      </c>
      <c r="F40" s="84">
        <v>50.0</v>
      </c>
      <c r="G40" s="84">
        <f t="shared" si="0"/>
        <v>9268.0</v>
      </c>
      <c r="H40" s="85">
        <f t="shared" si="1"/>
        <v>9.268E8</v>
      </c>
      <c r="J40" s="86"/>
      <c r="K40" s="86"/>
      <c r="L40" s="86"/>
    </row>
    <row r="41" spans="8:8" s="81" ht="15.75" customFormat="1">
      <c r="A41" s="18" t="s">
        <v>48</v>
      </c>
      <c r="B41" s="82" t="s">
        <v>13</v>
      </c>
      <c r="C41" s="83">
        <v>2628.0</v>
      </c>
      <c r="D41" s="83">
        <v>2700.0</v>
      </c>
      <c r="E41" s="84">
        <v>47.0</v>
      </c>
      <c r="F41" s="84">
        <v>50.0</v>
      </c>
      <c r="G41" s="84">
        <f t="shared" si="0"/>
        <v>5425.0</v>
      </c>
      <c r="H41" s="85">
        <f t="shared" si="1"/>
        <v>5.425E8</v>
      </c>
      <c r="J41" s="86"/>
      <c r="K41" s="86"/>
      <c r="L41" s="86"/>
    </row>
    <row r="42" spans="8:8" s="81" ht="15.75" customFormat="1">
      <c r="A42" s="18" t="s">
        <v>49</v>
      </c>
      <c r="B42" s="82" t="s">
        <v>13</v>
      </c>
      <c r="C42" s="83">
        <v>981.0</v>
      </c>
      <c r="D42" s="83">
        <v>2592.0</v>
      </c>
      <c r="E42" s="84">
        <v>47.0</v>
      </c>
      <c r="F42" s="84">
        <v>50.0</v>
      </c>
      <c r="G42" s="84">
        <f t="shared" si="0"/>
        <v>3670.0</v>
      </c>
      <c r="H42" s="85">
        <f t="shared" si="1"/>
        <v>3.67E8</v>
      </c>
      <c r="J42" s="86"/>
      <c r="K42" s="86"/>
      <c r="L42" s="86"/>
    </row>
    <row r="43" spans="8:8" s="81" ht="15.75" customFormat="1">
      <c r="A43" s="18" t="s">
        <v>50</v>
      </c>
      <c r="B43" s="82" t="s">
        <v>13</v>
      </c>
      <c r="C43" s="83">
        <v>981.0</v>
      </c>
      <c r="D43" s="83">
        <v>2592.0</v>
      </c>
      <c r="E43" s="84">
        <v>47.0</v>
      </c>
      <c r="F43" s="84">
        <v>50.0</v>
      </c>
      <c r="G43" s="84">
        <f t="shared" si="0"/>
        <v>3670.0</v>
      </c>
      <c r="H43" s="85">
        <f t="shared" si="1"/>
        <v>3.67E8</v>
      </c>
      <c r="J43" s="86"/>
      <c r="K43" s="86"/>
      <c r="L43" s="86"/>
    </row>
    <row r="44" spans="8:8" s="81" ht="15.75" customFormat="1">
      <c r="A44" s="18" t="s">
        <v>51</v>
      </c>
      <c r="B44" s="82" t="s">
        <v>13</v>
      </c>
      <c r="C44" s="83">
        <v>981.0</v>
      </c>
      <c r="D44" s="83">
        <v>2592.0</v>
      </c>
      <c r="E44" s="84">
        <v>47.0</v>
      </c>
      <c r="F44" s="84">
        <v>50.0</v>
      </c>
      <c r="G44" s="84">
        <f t="shared" si="0"/>
        <v>3670.0</v>
      </c>
      <c r="H44" s="85">
        <f t="shared" si="1"/>
        <v>3.67E8</v>
      </c>
      <c r="J44" s="86"/>
      <c r="K44" s="86"/>
      <c r="L44" s="86"/>
    </row>
    <row r="45" spans="8:8" s="81" ht="15.75" customFormat="1">
      <c r="A45" s="18" t="s">
        <v>52</v>
      </c>
      <c r="B45" s="82" t="s">
        <v>13</v>
      </c>
      <c r="C45" s="83">
        <v>981.0</v>
      </c>
      <c r="D45" s="83">
        <v>2592.0</v>
      </c>
      <c r="E45" s="84">
        <v>47.0</v>
      </c>
      <c r="F45" s="84">
        <v>50.0</v>
      </c>
      <c r="G45" s="84">
        <f t="shared" si="0"/>
        <v>3670.0</v>
      </c>
      <c r="H45" s="85">
        <f t="shared" si="1"/>
        <v>3.67E8</v>
      </c>
      <c r="J45" s="86"/>
      <c r="K45" s="86"/>
      <c r="L45" s="86"/>
    </row>
    <row r="46" spans="8:8" s="81" ht="15.75" customFormat="1">
      <c r="A46" s="18" t="s">
        <v>53</v>
      </c>
      <c r="B46" s="82" t="s">
        <v>13</v>
      </c>
      <c r="C46" s="83">
        <v>1341.0</v>
      </c>
      <c r="D46" s="83">
        <v>2592.0</v>
      </c>
      <c r="E46" s="84">
        <v>47.0</v>
      </c>
      <c r="F46" s="84">
        <v>50.0</v>
      </c>
      <c r="G46" s="84">
        <f t="shared" si="0"/>
        <v>4030.0</v>
      </c>
      <c r="H46" s="85">
        <f t="shared" si="1"/>
        <v>4.03E8</v>
      </c>
      <c r="J46" s="86"/>
      <c r="K46" s="86"/>
      <c r="L46" s="86"/>
    </row>
    <row r="47" spans="8:8" s="81" ht="15.75" customFormat="1">
      <c r="A47" s="18" t="s">
        <v>54</v>
      </c>
      <c r="B47" s="82" t="s">
        <v>13</v>
      </c>
      <c r="C47" s="83">
        <v>2133.0</v>
      </c>
      <c r="D47" s="83">
        <v>2592.0</v>
      </c>
      <c r="E47" s="84">
        <v>47.0</v>
      </c>
      <c r="F47" s="84">
        <v>50.0</v>
      </c>
      <c r="G47" s="84">
        <f t="shared" si="0"/>
        <v>4822.0</v>
      </c>
      <c r="H47" s="85">
        <f t="shared" si="1"/>
        <v>4.822E8</v>
      </c>
      <c r="J47" s="86"/>
      <c r="K47" s="86"/>
      <c r="L47" s="86"/>
    </row>
    <row r="48" spans="8:8" s="81" ht="15.75" customFormat="1">
      <c r="A48" s="18" t="s">
        <v>55</v>
      </c>
      <c r="B48" s="82" t="s">
        <v>13</v>
      </c>
      <c r="C48" s="83">
        <v>2133.0</v>
      </c>
      <c r="D48" s="83">
        <v>2592.0</v>
      </c>
      <c r="E48" s="84">
        <v>47.0</v>
      </c>
      <c r="F48" s="84">
        <v>50.0</v>
      </c>
      <c r="G48" s="84">
        <v>4822.0</v>
      </c>
      <c r="H48" s="85">
        <f t="shared" si="1"/>
        <v>4.822E8</v>
      </c>
      <c r="J48" s="86"/>
      <c r="K48" s="86"/>
      <c r="L48" s="86"/>
    </row>
    <row r="49" spans="8:8" s="81" ht="15.75" customFormat="1">
      <c r="A49" s="18" t="s">
        <v>56</v>
      </c>
      <c r="B49" s="82" t="s">
        <v>13</v>
      </c>
      <c r="C49" s="83">
        <v>2025.0</v>
      </c>
      <c r="D49" s="83">
        <v>2970.0</v>
      </c>
      <c r="E49" s="84">
        <v>47.0</v>
      </c>
      <c r="F49" s="84">
        <v>50.0</v>
      </c>
      <c r="G49" s="84">
        <f t="shared" si="0"/>
        <v>5092.0</v>
      </c>
      <c r="H49" s="85">
        <f t="shared" si="1"/>
        <v>5.092E8</v>
      </c>
      <c r="J49" s="86"/>
      <c r="K49" s="86"/>
      <c r="L49" s="86"/>
    </row>
    <row r="50" spans="8:8" s="81" ht="15.75" customFormat="1">
      <c r="A50" s="18" t="s">
        <v>57</v>
      </c>
      <c r="B50" s="82" t="s">
        <v>13</v>
      </c>
      <c r="C50" s="83">
        <v>0.01</v>
      </c>
      <c r="D50" s="83">
        <v>3240.0</v>
      </c>
      <c r="E50" s="84">
        <v>47.0</v>
      </c>
      <c r="F50" s="84">
        <v>50.0</v>
      </c>
      <c r="G50" s="84">
        <f t="shared" si="0"/>
        <v>3337.01</v>
      </c>
      <c r="H50" s="85">
        <f t="shared" si="1"/>
        <v>3.33701E8</v>
      </c>
      <c r="J50" s="86"/>
      <c r="K50" s="86"/>
      <c r="L50" s="86"/>
    </row>
    <row r="51" spans="8:8" s="81" ht="15.75" customFormat="1">
      <c r="A51" s="18" t="s">
        <v>58</v>
      </c>
      <c r="B51" s="82" t="s">
        <v>13</v>
      </c>
      <c r="C51" s="83">
        <v>0.01</v>
      </c>
      <c r="D51" s="83">
        <v>3240.0</v>
      </c>
      <c r="E51" s="84">
        <v>47.0</v>
      </c>
      <c r="F51" s="84">
        <v>50.0</v>
      </c>
      <c r="G51" s="84">
        <f t="shared" si="0"/>
        <v>3337.01</v>
      </c>
      <c r="H51" s="85">
        <f t="shared" si="1"/>
        <v>3.33701E8</v>
      </c>
      <c r="J51" s="86"/>
      <c r="K51" s="86"/>
      <c r="L51" s="86"/>
    </row>
    <row r="52" spans="8:8" s="81" ht="15.75" customFormat="1">
      <c r="A52" s="18" t="s">
        <v>59</v>
      </c>
      <c r="B52" s="82" t="s">
        <v>60</v>
      </c>
      <c r="C52" s="83">
        <v>0.01</v>
      </c>
      <c r="D52" s="83">
        <v>3240.0</v>
      </c>
      <c r="E52" s="84">
        <v>47.0</v>
      </c>
      <c r="F52" s="84">
        <v>50.0</v>
      </c>
      <c r="G52" s="84">
        <f t="shared" si="0"/>
        <v>3337.01</v>
      </c>
      <c r="H52" s="85">
        <f t="shared" si="1"/>
        <v>3.33701E8</v>
      </c>
      <c r="J52" s="86"/>
      <c r="K52" s="86"/>
      <c r="L52" s="86"/>
    </row>
    <row r="53" spans="8:8" s="81" ht="15.75" customFormat="1">
      <c r="A53" s="18" t="s">
        <v>61</v>
      </c>
      <c r="B53" s="82" t="s">
        <v>60</v>
      </c>
      <c r="C53" s="83">
        <v>675.0</v>
      </c>
      <c r="D53" s="83">
        <v>5670.0</v>
      </c>
      <c r="E53" s="84">
        <v>47.0</v>
      </c>
      <c r="F53" s="84">
        <v>50.0</v>
      </c>
      <c r="G53" s="84">
        <f t="shared" si="0"/>
        <v>6442.0</v>
      </c>
      <c r="H53" s="85">
        <f t="shared" si="1"/>
        <v>6.442E8</v>
      </c>
      <c r="J53" s="86"/>
      <c r="K53" s="86"/>
      <c r="L53" s="86"/>
    </row>
    <row r="54" spans="8:8" s="81" ht="15.75" customFormat="1">
      <c r="A54" s="18" t="s">
        <v>62</v>
      </c>
      <c r="B54" s="82" t="s">
        <v>60</v>
      </c>
      <c r="C54" s="83">
        <v>0.01</v>
      </c>
      <c r="D54" s="83">
        <v>3240.0</v>
      </c>
      <c r="E54" s="84">
        <v>47.0</v>
      </c>
      <c r="F54" s="84">
        <v>50.0</v>
      </c>
      <c r="G54" s="84">
        <f t="shared" si="0"/>
        <v>3337.01</v>
      </c>
      <c r="H54" s="85">
        <f t="shared" si="1"/>
        <v>3.33701E8</v>
      </c>
      <c r="J54" s="86"/>
      <c r="K54" s="86"/>
      <c r="L54" s="86"/>
    </row>
    <row r="55" spans="8:8" s="81" ht="15.75" customFormat="1">
      <c r="A55" s="18" t="s">
        <v>63</v>
      </c>
      <c r="B55" s="82" t="s">
        <v>60</v>
      </c>
      <c r="C55" s="83">
        <v>0.01</v>
      </c>
      <c r="D55" s="83">
        <v>3240.0</v>
      </c>
      <c r="E55" s="84">
        <v>47.0</v>
      </c>
      <c r="F55" s="84">
        <v>50.0</v>
      </c>
      <c r="G55" s="84">
        <f t="shared" si="0"/>
        <v>3337.01</v>
      </c>
      <c r="H55" s="85">
        <f t="shared" si="1"/>
        <v>3.33701E8</v>
      </c>
      <c r="J55" s="86"/>
      <c r="K55" s="86"/>
      <c r="L55" s="86"/>
    </row>
    <row r="56" spans="8:8" s="81" ht="15.75" customFormat="1">
      <c r="A56" s="18" t="s">
        <v>64</v>
      </c>
      <c r="B56" s="82" t="s">
        <v>65</v>
      </c>
      <c r="C56" s="83">
        <v>0.01</v>
      </c>
      <c r="D56" s="83">
        <v>2385.0</v>
      </c>
      <c r="E56" s="84">
        <v>47.0</v>
      </c>
      <c r="F56" s="84">
        <v>50.0</v>
      </c>
      <c r="G56" s="84">
        <f t="shared" si="0"/>
        <v>2482.01</v>
      </c>
      <c r="H56" s="85">
        <f t="shared" si="1"/>
        <v>2.4820100000000003E8</v>
      </c>
      <c r="J56" s="86"/>
      <c r="K56" s="86"/>
      <c r="L56" s="86"/>
    </row>
    <row r="57" spans="8:8" s="81" ht="15.75" customFormat="1">
      <c r="A57" s="18" t="s">
        <v>66</v>
      </c>
      <c r="B57" s="82" t="s">
        <v>65</v>
      </c>
      <c r="C57" s="83">
        <v>0.01</v>
      </c>
      <c r="D57" s="83">
        <v>2538.0</v>
      </c>
      <c r="E57" s="84">
        <v>47.0</v>
      </c>
      <c r="F57" s="84">
        <v>50.0</v>
      </c>
      <c r="G57" s="84">
        <f t="shared" si="0"/>
        <v>2635.01</v>
      </c>
      <c r="H57" s="85">
        <f t="shared" si="1"/>
        <v>2.6350100000000003E8</v>
      </c>
      <c r="J57" s="86"/>
      <c r="K57" s="86"/>
      <c r="L57" s="86"/>
    </row>
    <row r="58" spans="8:8" s="81" ht="15.75" customFormat="1">
      <c r="A58" s="18" t="s">
        <v>67</v>
      </c>
      <c r="B58" s="82" t="s">
        <v>65</v>
      </c>
      <c r="C58" s="83">
        <v>0.01</v>
      </c>
      <c r="D58" s="83">
        <v>2385.0</v>
      </c>
      <c r="E58" s="84">
        <v>47.0</v>
      </c>
      <c r="F58" s="84">
        <v>50.0</v>
      </c>
      <c r="G58" s="84">
        <f t="shared" si="0"/>
        <v>2482.01</v>
      </c>
      <c r="H58" s="85">
        <f t="shared" si="1"/>
        <v>2.4820100000000003E8</v>
      </c>
      <c r="J58" s="86"/>
      <c r="K58" s="86"/>
      <c r="L58" s="86"/>
    </row>
    <row r="59" spans="8:8" s="81" ht="15.75" customFormat="1">
      <c r="A59" s="18" t="s">
        <v>68</v>
      </c>
      <c r="B59" s="82" t="s">
        <v>65</v>
      </c>
      <c r="C59" s="83">
        <v>0.01</v>
      </c>
      <c r="D59" s="83">
        <v>2538.0</v>
      </c>
      <c r="E59" s="84">
        <v>47.0</v>
      </c>
      <c r="F59" s="84">
        <v>50.0</v>
      </c>
      <c r="G59" s="84">
        <f t="shared" si="0"/>
        <v>2635.01</v>
      </c>
      <c r="H59" s="85">
        <f t="shared" si="1"/>
        <v>2.6350100000000003E8</v>
      </c>
      <c r="J59" s="86"/>
      <c r="K59" s="86"/>
      <c r="L59" s="86"/>
    </row>
    <row r="60" spans="8:8" s="81" ht="15.75" customFormat="1">
      <c r="A60" s="18" t="s">
        <v>69</v>
      </c>
      <c r="B60" s="82" t="s">
        <v>65</v>
      </c>
      <c r="C60" s="83">
        <v>0.01</v>
      </c>
      <c r="D60" s="83">
        <v>3096.0</v>
      </c>
      <c r="E60" s="84">
        <v>47.0</v>
      </c>
      <c r="F60" s="84">
        <v>50.0</v>
      </c>
      <c r="G60" s="84">
        <f t="shared" si="0"/>
        <v>3193.01</v>
      </c>
      <c r="H60" s="85">
        <f t="shared" si="1"/>
        <v>3.19301E8</v>
      </c>
      <c r="J60" s="86"/>
      <c r="K60" s="86"/>
      <c r="L60" s="86"/>
    </row>
    <row r="61" spans="8:8" s="81" ht="15.75" customFormat="1">
      <c r="A61" s="18" t="s">
        <v>70</v>
      </c>
      <c r="B61" s="82" t="s">
        <v>65</v>
      </c>
      <c r="C61" s="83">
        <v>0.01</v>
      </c>
      <c r="D61" s="83">
        <v>2385.0</v>
      </c>
      <c r="E61" s="84">
        <v>47.0</v>
      </c>
      <c r="F61" s="84">
        <v>50.0</v>
      </c>
      <c r="G61" s="84">
        <f t="shared" si="0"/>
        <v>2482.01</v>
      </c>
      <c r="H61" s="85">
        <f t="shared" si="1"/>
        <v>2.4820100000000003E8</v>
      </c>
      <c r="J61" s="86"/>
      <c r="K61" s="86"/>
      <c r="L61" s="86"/>
    </row>
    <row r="62" spans="8:8" s="81" ht="15.75" customFormat="1">
      <c r="A62" s="18" t="s">
        <v>71</v>
      </c>
      <c r="B62" s="82" t="s">
        <v>65</v>
      </c>
      <c r="C62" s="83">
        <v>0.01</v>
      </c>
      <c r="D62" s="83">
        <v>2808.0</v>
      </c>
      <c r="E62" s="84">
        <v>47.0</v>
      </c>
      <c r="F62" s="84">
        <v>50.0</v>
      </c>
      <c r="G62" s="84">
        <f t="shared" si="0"/>
        <v>2905.01</v>
      </c>
      <c r="H62" s="85">
        <f t="shared" si="1"/>
        <v>2.90501E8</v>
      </c>
      <c r="J62" s="86"/>
      <c r="K62" s="86"/>
      <c r="L62" s="86"/>
    </row>
    <row r="63" spans="8:8" s="81" ht="15.75" customFormat="1">
      <c r="A63" s="18" t="s">
        <v>72</v>
      </c>
      <c r="B63" s="82" t="s">
        <v>65</v>
      </c>
      <c r="C63" s="83">
        <v>0.01</v>
      </c>
      <c r="D63" s="83">
        <v>2574.0</v>
      </c>
      <c r="E63" s="84">
        <v>47.0</v>
      </c>
      <c r="F63" s="84">
        <v>50.0</v>
      </c>
      <c r="G63" s="84">
        <f t="shared" si="0"/>
        <v>2671.01</v>
      </c>
      <c r="H63" s="85">
        <f t="shared" si="1"/>
        <v>2.6710100000000003E8</v>
      </c>
      <c r="J63" s="86"/>
      <c r="K63" s="86"/>
      <c r="L63" s="86"/>
    </row>
    <row r="64" spans="8:8" s="81" ht="15.75" customFormat="1">
      <c r="A64" s="18" t="s">
        <v>73</v>
      </c>
      <c r="B64" s="82" t="s">
        <v>65</v>
      </c>
      <c r="C64" s="83">
        <v>0.01</v>
      </c>
      <c r="D64" s="83">
        <v>2250.0</v>
      </c>
      <c r="E64" s="84">
        <v>47.0</v>
      </c>
      <c r="F64" s="84">
        <v>50.0</v>
      </c>
      <c r="G64" s="84">
        <f t="shared" si="0"/>
        <v>2347.01</v>
      </c>
      <c r="H64" s="85">
        <f t="shared" si="1"/>
        <v>2.3470100000000003E8</v>
      </c>
      <c r="J64" s="86"/>
      <c r="K64" s="86"/>
      <c r="L64" s="86"/>
    </row>
    <row r="65" spans="8:8" s="81" ht="15.75" customFormat="1">
      <c r="A65" s="18" t="s">
        <v>74</v>
      </c>
      <c r="B65" s="82" t="s">
        <v>65</v>
      </c>
      <c r="C65" s="83">
        <v>0.01</v>
      </c>
      <c r="D65" s="83">
        <v>2466.0</v>
      </c>
      <c r="E65" s="84">
        <v>47.0</v>
      </c>
      <c r="F65" s="84">
        <v>50.0</v>
      </c>
      <c r="G65" s="84">
        <f t="shared" si="0"/>
        <v>2563.01</v>
      </c>
      <c r="H65" s="85">
        <f t="shared" si="1"/>
        <v>2.5630100000000003E8</v>
      </c>
      <c r="J65" s="86"/>
      <c r="K65" s="86"/>
      <c r="L65" s="86"/>
    </row>
    <row r="66" spans="8:8" s="81" ht="15.75" customFormat="1">
      <c r="A66" s="18" t="s">
        <v>75</v>
      </c>
      <c r="B66" s="82" t="s">
        <v>65</v>
      </c>
      <c r="C66" s="83">
        <v>0.01</v>
      </c>
      <c r="D66" s="83">
        <v>3915.0</v>
      </c>
      <c r="E66" s="84">
        <v>47.0</v>
      </c>
      <c r="F66" s="84">
        <v>50.0</v>
      </c>
      <c r="G66" s="84">
        <f t="shared" si="2" ref="G66:G129">SUM(C66:F66)</f>
        <v>4012.01</v>
      </c>
      <c r="H66" s="85">
        <f t="shared" si="1"/>
        <v>4.01201E8</v>
      </c>
      <c r="J66" s="86"/>
      <c r="K66" s="86"/>
      <c r="L66" s="86"/>
    </row>
    <row r="67" spans="8:8" s="81" ht="15.75" customFormat="1">
      <c r="A67" s="18" t="s">
        <v>76</v>
      </c>
      <c r="B67" s="82" t="s">
        <v>65</v>
      </c>
      <c r="C67" s="83">
        <v>0.01</v>
      </c>
      <c r="D67" s="83">
        <v>2385.0</v>
      </c>
      <c r="E67" s="84">
        <v>47.0</v>
      </c>
      <c r="F67" s="84">
        <v>50.0</v>
      </c>
      <c r="G67" s="84">
        <f t="shared" si="2"/>
        <v>2482.01</v>
      </c>
      <c r="H67" s="85">
        <f t="shared" si="3" ref="H67:H130">G67*100000</f>
        <v>2.4820100000000003E8</v>
      </c>
      <c r="J67" s="86"/>
      <c r="K67" s="86"/>
      <c r="L67" s="86"/>
    </row>
    <row r="68" spans="8:8" s="81" ht="15.75" customFormat="1">
      <c r="A68" s="18" t="s">
        <v>77</v>
      </c>
      <c r="B68" s="82" t="s">
        <v>65</v>
      </c>
      <c r="C68" s="83">
        <v>0.01</v>
      </c>
      <c r="D68" s="83">
        <v>2466.0</v>
      </c>
      <c r="E68" s="84">
        <v>47.0</v>
      </c>
      <c r="F68" s="84">
        <v>50.0</v>
      </c>
      <c r="G68" s="84">
        <f t="shared" si="2"/>
        <v>2563.01</v>
      </c>
      <c r="H68" s="85">
        <f t="shared" si="3"/>
        <v>2.5630100000000003E8</v>
      </c>
      <c r="J68" s="86"/>
      <c r="K68" s="86"/>
      <c r="L68" s="86"/>
    </row>
    <row r="69" spans="8:8" s="81" ht="15.75" customFormat="1">
      <c r="A69" s="18" t="s">
        <v>78</v>
      </c>
      <c r="B69" s="82" t="s">
        <v>65</v>
      </c>
      <c r="C69" s="83">
        <v>0.01</v>
      </c>
      <c r="D69" s="83">
        <v>2934.0</v>
      </c>
      <c r="E69" s="84">
        <v>47.0</v>
      </c>
      <c r="F69" s="84">
        <v>50.0</v>
      </c>
      <c r="G69" s="84">
        <f t="shared" si="2"/>
        <v>3031.01</v>
      </c>
      <c r="H69" s="85">
        <f t="shared" si="3"/>
        <v>3.03101E8</v>
      </c>
      <c r="J69" s="86"/>
      <c r="K69" s="86"/>
      <c r="L69" s="86"/>
    </row>
    <row r="70" spans="8:8" s="81" ht="15.75" customFormat="1">
      <c r="A70" s="18" t="s">
        <v>79</v>
      </c>
      <c r="B70" s="82" t="s">
        <v>65</v>
      </c>
      <c r="C70" s="83">
        <v>0.01</v>
      </c>
      <c r="D70" s="83">
        <v>3096.0</v>
      </c>
      <c r="E70" s="84">
        <v>47.0</v>
      </c>
      <c r="F70" s="84">
        <v>50.0</v>
      </c>
      <c r="G70" s="84">
        <f t="shared" si="2"/>
        <v>3193.01</v>
      </c>
      <c r="H70" s="85">
        <f t="shared" si="3"/>
        <v>3.19301E8</v>
      </c>
      <c r="J70" s="86"/>
      <c r="K70" s="86"/>
      <c r="L70" s="86"/>
    </row>
    <row r="71" spans="8:8" s="81" ht="15.75" customFormat="1">
      <c r="A71" s="18" t="s">
        <v>80</v>
      </c>
      <c r="B71" s="82" t="s">
        <v>65</v>
      </c>
      <c r="C71" s="83">
        <v>0.01</v>
      </c>
      <c r="D71" s="83">
        <v>2250.0</v>
      </c>
      <c r="E71" s="84">
        <v>47.0</v>
      </c>
      <c r="F71" s="84">
        <v>50.0</v>
      </c>
      <c r="G71" s="84">
        <f t="shared" si="2"/>
        <v>2347.01</v>
      </c>
      <c r="H71" s="85">
        <f t="shared" si="3"/>
        <v>2.3470100000000003E8</v>
      </c>
      <c r="J71" s="86"/>
      <c r="K71" s="86"/>
      <c r="L71" s="86"/>
    </row>
    <row r="72" spans="8:8" s="81" ht="15.75" customFormat="1">
      <c r="A72" s="18" t="s">
        <v>81</v>
      </c>
      <c r="B72" s="82" t="s">
        <v>65</v>
      </c>
      <c r="C72" s="83">
        <v>0.01</v>
      </c>
      <c r="D72" s="83">
        <v>2466.0</v>
      </c>
      <c r="E72" s="84">
        <v>47.0</v>
      </c>
      <c r="F72" s="84">
        <v>50.0</v>
      </c>
      <c r="G72" s="84">
        <f t="shared" si="2"/>
        <v>2563.01</v>
      </c>
      <c r="H72" s="85">
        <f t="shared" si="3"/>
        <v>2.5630100000000003E8</v>
      </c>
      <c r="J72" s="86"/>
      <c r="K72" s="86"/>
      <c r="L72" s="86"/>
    </row>
    <row r="73" spans="8:8" s="81" ht="15.75" customFormat="1">
      <c r="A73" s="18" t="s">
        <v>82</v>
      </c>
      <c r="B73" s="82" t="s">
        <v>65</v>
      </c>
      <c r="C73" s="83">
        <v>0.01</v>
      </c>
      <c r="D73" s="83">
        <v>3609.0</v>
      </c>
      <c r="E73" s="84">
        <v>47.0</v>
      </c>
      <c r="F73" s="84">
        <v>50.0</v>
      </c>
      <c r="G73" s="84">
        <f t="shared" si="2"/>
        <v>3706.01</v>
      </c>
      <c r="H73" s="85">
        <f t="shared" si="3"/>
        <v>3.70601E8</v>
      </c>
      <c r="J73" s="86"/>
      <c r="K73" s="86"/>
      <c r="L73" s="86"/>
    </row>
    <row r="74" spans="8:8" s="81" ht="15.75" customFormat="1">
      <c r="A74" s="18" t="s">
        <v>83</v>
      </c>
      <c r="B74" s="82" t="s">
        <v>65</v>
      </c>
      <c r="C74" s="83">
        <v>0.01</v>
      </c>
      <c r="D74" s="83">
        <v>3834.0</v>
      </c>
      <c r="E74" s="84">
        <v>47.0</v>
      </c>
      <c r="F74" s="84">
        <v>50.0</v>
      </c>
      <c r="G74" s="84">
        <f t="shared" si="2"/>
        <v>3931.01</v>
      </c>
      <c r="H74" s="85">
        <f t="shared" si="3"/>
        <v>3.93101E8</v>
      </c>
      <c r="J74" s="86"/>
      <c r="K74" s="86"/>
      <c r="L74" s="86"/>
    </row>
    <row r="75" spans="8:8" s="81" ht="15.75" customFormat="1">
      <c r="A75" s="18" t="s">
        <v>84</v>
      </c>
      <c r="B75" s="82" t="s">
        <v>65</v>
      </c>
      <c r="C75" s="83">
        <v>0.01</v>
      </c>
      <c r="D75" s="83">
        <v>2466.0</v>
      </c>
      <c r="E75" s="84">
        <v>47.0</v>
      </c>
      <c r="F75" s="84">
        <v>50.0</v>
      </c>
      <c r="G75" s="84">
        <f t="shared" si="2"/>
        <v>2563.01</v>
      </c>
      <c r="H75" s="85">
        <f t="shared" si="3"/>
        <v>2.5630100000000003E8</v>
      </c>
      <c r="J75" s="86"/>
      <c r="K75" s="86"/>
      <c r="L75" s="86"/>
    </row>
    <row r="76" spans="8:8" s="81" ht="15.75" customFormat="1">
      <c r="A76" s="18" t="s">
        <v>85</v>
      </c>
      <c r="B76" s="82" t="s">
        <v>65</v>
      </c>
      <c r="C76" s="83">
        <v>0.01</v>
      </c>
      <c r="D76" s="83">
        <v>3834.0</v>
      </c>
      <c r="E76" s="84">
        <v>47.0</v>
      </c>
      <c r="F76" s="84">
        <v>50.0</v>
      </c>
      <c r="G76" s="84">
        <f t="shared" si="2"/>
        <v>3931.01</v>
      </c>
      <c r="H76" s="85">
        <f t="shared" si="3"/>
        <v>3.93101E8</v>
      </c>
      <c r="J76" s="86"/>
      <c r="K76" s="86"/>
      <c r="L76" s="86"/>
    </row>
    <row r="77" spans="8:8" s="81" ht="15.75" customFormat="1">
      <c r="A77" s="18" t="s">
        <v>86</v>
      </c>
      <c r="B77" s="82" t="s">
        <v>65</v>
      </c>
      <c r="C77" s="83">
        <v>0.01</v>
      </c>
      <c r="D77" s="83">
        <v>2466.0</v>
      </c>
      <c r="E77" s="84">
        <v>47.0</v>
      </c>
      <c r="F77" s="84">
        <v>50.0</v>
      </c>
      <c r="G77" s="84">
        <f t="shared" si="2"/>
        <v>2563.01</v>
      </c>
      <c r="H77" s="85">
        <f t="shared" si="3"/>
        <v>2.5630100000000003E8</v>
      </c>
      <c r="J77" s="86"/>
      <c r="K77" s="86"/>
      <c r="L77" s="86"/>
    </row>
    <row r="78" spans="8:8" s="81" ht="15.75" customFormat="1">
      <c r="A78" s="18" t="s">
        <v>87</v>
      </c>
      <c r="B78" s="82" t="s">
        <v>65</v>
      </c>
      <c r="C78" s="83">
        <v>0.01</v>
      </c>
      <c r="D78" s="83">
        <v>2763.0</v>
      </c>
      <c r="E78" s="84">
        <v>47.0</v>
      </c>
      <c r="F78" s="84">
        <v>50.0</v>
      </c>
      <c r="G78" s="84">
        <f t="shared" si="2"/>
        <v>2860.01</v>
      </c>
      <c r="H78" s="85">
        <f t="shared" si="3"/>
        <v>2.86001E8</v>
      </c>
      <c r="J78" s="86"/>
      <c r="K78" s="86"/>
      <c r="L78" s="86"/>
    </row>
    <row r="79" spans="8:8" s="81" ht="15.75" customFormat="1">
      <c r="A79" s="18" t="s">
        <v>88</v>
      </c>
      <c r="B79" s="82" t="s">
        <v>65</v>
      </c>
      <c r="C79" s="83">
        <v>0.01</v>
      </c>
      <c r="D79" s="83">
        <v>3096.0</v>
      </c>
      <c r="E79" s="84">
        <v>47.0</v>
      </c>
      <c r="F79" s="84">
        <v>50.0</v>
      </c>
      <c r="G79" s="84">
        <f t="shared" si="2"/>
        <v>3193.01</v>
      </c>
      <c r="H79" s="85">
        <f t="shared" si="3"/>
        <v>3.19301E8</v>
      </c>
      <c r="J79" s="86"/>
      <c r="K79" s="86"/>
      <c r="L79" s="86"/>
    </row>
    <row r="80" spans="8:8" s="81" ht="15.75" customFormat="1">
      <c r="A80" s="18" t="s">
        <v>89</v>
      </c>
      <c r="B80" s="82" t="s">
        <v>65</v>
      </c>
      <c r="C80" s="83">
        <v>0.01</v>
      </c>
      <c r="D80" s="83">
        <v>3510.0</v>
      </c>
      <c r="E80" s="84">
        <v>47.0</v>
      </c>
      <c r="F80" s="84">
        <v>50.0</v>
      </c>
      <c r="G80" s="84">
        <f t="shared" si="2"/>
        <v>3607.01</v>
      </c>
      <c r="H80" s="85">
        <f t="shared" si="3"/>
        <v>3.60701E8</v>
      </c>
      <c r="J80" s="86"/>
      <c r="K80" s="86"/>
      <c r="L80" s="86"/>
    </row>
    <row r="81" spans="8:8" s="81" ht="15.75" customFormat="1">
      <c r="A81" s="18" t="s">
        <v>90</v>
      </c>
      <c r="B81" s="82" t="s">
        <v>65</v>
      </c>
      <c r="C81" s="83">
        <v>0.01</v>
      </c>
      <c r="D81" s="83">
        <v>3600.0</v>
      </c>
      <c r="E81" s="84">
        <v>47.0</v>
      </c>
      <c r="F81" s="84">
        <v>50.0</v>
      </c>
      <c r="G81" s="84">
        <f t="shared" si="2"/>
        <v>3697.01</v>
      </c>
      <c r="H81" s="85">
        <f t="shared" si="3"/>
        <v>3.69701E8</v>
      </c>
      <c r="J81" s="86"/>
      <c r="K81" s="86"/>
      <c r="L81" s="86"/>
    </row>
    <row r="82" spans="8:8" s="81" ht="15.75" customFormat="1">
      <c r="A82" s="18" t="s">
        <v>91</v>
      </c>
      <c r="B82" s="82" t="s">
        <v>65</v>
      </c>
      <c r="C82" s="83">
        <v>0.01</v>
      </c>
      <c r="D82" s="83">
        <v>3996.0</v>
      </c>
      <c r="E82" s="84">
        <v>47.0</v>
      </c>
      <c r="F82" s="84">
        <v>50.0</v>
      </c>
      <c r="G82" s="84">
        <f t="shared" si="2"/>
        <v>4093.01</v>
      </c>
      <c r="H82" s="85">
        <f t="shared" si="3"/>
        <v>4.09301E8</v>
      </c>
      <c r="J82" s="86"/>
      <c r="K82" s="86"/>
      <c r="L82" s="86"/>
    </row>
    <row r="83" spans="8:8" s="81" ht="15.75" customFormat="1">
      <c r="A83" s="18" t="s">
        <v>92</v>
      </c>
      <c r="B83" s="82" t="s">
        <v>65</v>
      </c>
      <c r="C83" s="83">
        <v>0.01</v>
      </c>
      <c r="D83" s="83">
        <v>2385.0</v>
      </c>
      <c r="E83" s="84">
        <v>47.0</v>
      </c>
      <c r="F83" s="84">
        <v>50.0</v>
      </c>
      <c r="G83" s="84">
        <f t="shared" si="2"/>
        <v>2482.01</v>
      </c>
      <c r="H83" s="85">
        <f t="shared" si="3"/>
        <v>2.4820100000000003E8</v>
      </c>
      <c r="J83" s="86"/>
      <c r="K83" s="86"/>
      <c r="L83" s="86"/>
    </row>
    <row r="84" spans="8:8" s="81" ht="15.75" customFormat="1">
      <c r="A84" s="18" t="s">
        <v>93</v>
      </c>
      <c r="B84" s="82" t="s">
        <v>65</v>
      </c>
      <c r="C84" s="83">
        <v>0.01</v>
      </c>
      <c r="D84" s="83">
        <v>2538.0</v>
      </c>
      <c r="E84" s="84">
        <v>47.0</v>
      </c>
      <c r="F84" s="84">
        <v>50.0</v>
      </c>
      <c r="G84" s="84">
        <f t="shared" si="2"/>
        <v>2635.01</v>
      </c>
      <c r="H84" s="85">
        <f t="shared" si="3"/>
        <v>2.6350100000000003E8</v>
      </c>
      <c r="J84" s="86"/>
      <c r="K84" s="86"/>
      <c r="L84" s="86"/>
    </row>
    <row r="85" spans="8:8" s="81" ht="15.75" customFormat="1">
      <c r="A85" s="18" t="s">
        <v>94</v>
      </c>
      <c r="B85" s="82" t="s">
        <v>65</v>
      </c>
      <c r="C85" s="83">
        <v>0.01</v>
      </c>
      <c r="D85" s="83">
        <v>3042.0</v>
      </c>
      <c r="E85" s="84">
        <v>47.0</v>
      </c>
      <c r="F85" s="84">
        <v>50.0</v>
      </c>
      <c r="G85" s="84">
        <f t="shared" si="2"/>
        <v>3139.01</v>
      </c>
      <c r="H85" s="85">
        <f t="shared" si="3"/>
        <v>3.13901E8</v>
      </c>
      <c r="J85" s="86"/>
      <c r="K85" s="86"/>
      <c r="L85" s="86"/>
    </row>
    <row r="86" spans="8:8" s="81" ht="15.75" customFormat="1">
      <c r="A86" s="18" t="s">
        <v>95</v>
      </c>
      <c r="B86" s="82" t="s">
        <v>65</v>
      </c>
      <c r="C86" s="83">
        <v>0.01</v>
      </c>
      <c r="D86" s="83">
        <v>2664.0</v>
      </c>
      <c r="E86" s="84">
        <v>47.0</v>
      </c>
      <c r="F86" s="84">
        <v>50.0</v>
      </c>
      <c r="G86" s="84">
        <f t="shared" si="2"/>
        <v>2761.01</v>
      </c>
      <c r="H86" s="85">
        <f t="shared" si="3"/>
        <v>2.76101E8</v>
      </c>
      <c r="J86" s="86"/>
      <c r="K86" s="86"/>
      <c r="L86" s="86"/>
    </row>
    <row r="87" spans="8:8" s="81" ht="15.75" customFormat="1">
      <c r="A87" s="18" t="s">
        <v>96</v>
      </c>
      <c r="B87" s="82" t="s">
        <v>65</v>
      </c>
      <c r="C87" s="83">
        <v>0.01</v>
      </c>
      <c r="D87" s="83">
        <v>3096.0</v>
      </c>
      <c r="E87" s="84">
        <v>47.0</v>
      </c>
      <c r="F87" s="84">
        <v>50.0</v>
      </c>
      <c r="G87" s="84">
        <f t="shared" si="2"/>
        <v>3193.01</v>
      </c>
      <c r="H87" s="85">
        <f t="shared" si="3"/>
        <v>3.19301E8</v>
      </c>
      <c r="J87" s="86"/>
      <c r="K87" s="86"/>
      <c r="L87" s="86"/>
    </row>
    <row r="88" spans="8:8" s="81" ht="15.75" customFormat="1">
      <c r="A88" s="18" t="s">
        <v>97</v>
      </c>
      <c r="B88" s="82" t="s">
        <v>65</v>
      </c>
      <c r="C88" s="83">
        <v>0.01</v>
      </c>
      <c r="D88" s="83">
        <v>2367.0</v>
      </c>
      <c r="E88" s="84">
        <v>47.0</v>
      </c>
      <c r="F88" s="84">
        <v>50.0</v>
      </c>
      <c r="G88" s="84">
        <f t="shared" si="2"/>
        <v>2464.01</v>
      </c>
      <c r="H88" s="85">
        <f t="shared" si="3"/>
        <v>2.4640100000000003E8</v>
      </c>
      <c r="J88" s="86"/>
      <c r="K88" s="86"/>
      <c r="L88" s="86"/>
    </row>
    <row r="89" spans="8:8" s="81" ht="15.75" customFormat="1">
      <c r="A89" s="18" t="s">
        <v>98</v>
      </c>
      <c r="B89" s="82" t="s">
        <v>65</v>
      </c>
      <c r="C89" s="83">
        <v>0.01</v>
      </c>
      <c r="D89" s="83">
        <v>2538.0</v>
      </c>
      <c r="E89" s="84">
        <v>47.0</v>
      </c>
      <c r="F89" s="84">
        <v>50.0</v>
      </c>
      <c r="G89" s="84">
        <f t="shared" si="2"/>
        <v>2635.01</v>
      </c>
      <c r="H89" s="85">
        <f t="shared" si="3"/>
        <v>2.6350100000000003E8</v>
      </c>
      <c r="J89" s="86"/>
      <c r="K89" s="86"/>
      <c r="L89" s="86"/>
    </row>
    <row r="90" spans="8:8" s="81" ht="15.75" customFormat="1">
      <c r="A90" s="18" t="s">
        <v>99</v>
      </c>
      <c r="B90" s="82" t="s">
        <v>65</v>
      </c>
      <c r="C90" s="83">
        <v>0.01</v>
      </c>
      <c r="D90" s="83">
        <v>3042.0</v>
      </c>
      <c r="E90" s="84">
        <v>47.0</v>
      </c>
      <c r="F90" s="84">
        <v>50.0</v>
      </c>
      <c r="G90" s="84">
        <f t="shared" si="2"/>
        <v>3139.01</v>
      </c>
      <c r="H90" s="85">
        <f t="shared" si="3"/>
        <v>3.13901E8</v>
      </c>
      <c r="J90" s="86"/>
      <c r="K90" s="86"/>
      <c r="L90" s="86"/>
    </row>
    <row r="91" spans="8:8" s="81" ht="15.75" customFormat="1">
      <c r="A91" s="18" t="s">
        <v>100</v>
      </c>
      <c r="B91" s="82" t="s">
        <v>65</v>
      </c>
      <c r="C91" s="83">
        <v>0.01</v>
      </c>
      <c r="D91" s="83">
        <v>3771.0</v>
      </c>
      <c r="E91" s="84">
        <v>47.0</v>
      </c>
      <c r="F91" s="84">
        <v>50.0</v>
      </c>
      <c r="G91" s="84">
        <f t="shared" si="2"/>
        <v>3868.01</v>
      </c>
      <c r="H91" s="85">
        <f t="shared" si="3"/>
        <v>3.86801E8</v>
      </c>
      <c r="J91" s="86"/>
      <c r="K91" s="86"/>
      <c r="L91" s="86"/>
    </row>
    <row r="92" spans="8:8" s="81" ht="15.75" customFormat="1">
      <c r="A92" s="18" t="s">
        <v>101</v>
      </c>
      <c r="B92" s="82" t="s">
        <v>65</v>
      </c>
      <c r="C92" s="83">
        <v>0.01</v>
      </c>
      <c r="D92" s="83">
        <v>3870.0</v>
      </c>
      <c r="E92" s="84">
        <v>47.0</v>
      </c>
      <c r="F92" s="84">
        <v>50.0</v>
      </c>
      <c r="G92" s="84">
        <f t="shared" si="2"/>
        <v>3967.01</v>
      </c>
      <c r="H92" s="85">
        <f t="shared" si="3"/>
        <v>3.96701E8</v>
      </c>
      <c r="J92" s="86"/>
      <c r="K92" s="86"/>
      <c r="L92" s="86"/>
    </row>
    <row r="93" spans="8:8" s="81" ht="15.75" customFormat="1">
      <c r="A93" s="18" t="s">
        <v>102</v>
      </c>
      <c r="B93" s="82" t="s">
        <v>65</v>
      </c>
      <c r="C93" s="83">
        <v>0.01</v>
      </c>
      <c r="D93" s="83">
        <v>2511.0</v>
      </c>
      <c r="E93" s="84">
        <v>47.0</v>
      </c>
      <c r="F93" s="84">
        <v>50.0</v>
      </c>
      <c r="G93" s="84">
        <f t="shared" si="2"/>
        <v>2608.01</v>
      </c>
      <c r="H93" s="85">
        <f t="shared" si="3"/>
        <v>2.6080100000000003E8</v>
      </c>
      <c r="J93" s="86"/>
      <c r="K93" s="86"/>
      <c r="L93" s="86"/>
    </row>
    <row r="94" spans="8:8" s="81" ht="15.75" customFormat="1">
      <c r="A94" s="18" t="s">
        <v>103</v>
      </c>
      <c r="B94" s="82" t="s">
        <v>65</v>
      </c>
      <c r="C94" s="83">
        <v>0.01</v>
      </c>
      <c r="D94" s="83">
        <v>2385.0</v>
      </c>
      <c r="E94" s="84">
        <v>47.0</v>
      </c>
      <c r="F94" s="84">
        <v>50.0</v>
      </c>
      <c r="G94" s="84">
        <f t="shared" si="2"/>
        <v>2482.01</v>
      </c>
      <c r="H94" s="85">
        <f t="shared" si="3"/>
        <v>2.4820100000000003E8</v>
      </c>
      <c r="J94" s="86"/>
      <c r="K94" s="86"/>
      <c r="L94" s="86"/>
    </row>
    <row r="95" spans="8:8" s="81" ht="15.75" customFormat="1">
      <c r="A95" s="18" t="s">
        <v>104</v>
      </c>
      <c r="B95" s="82" t="s">
        <v>65</v>
      </c>
      <c r="C95" s="83">
        <v>0.01</v>
      </c>
      <c r="D95" s="83">
        <v>2538.0</v>
      </c>
      <c r="E95" s="84">
        <v>47.0</v>
      </c>
      <c r="F95" s="84">
        <v>50.0</v>
      </c>
      <c r="G95" s="84">
        <f t="shared" si="2"/>
        <v>2635.01</v>
      </c>
      <c r="H95" s="85">
        <f t="shared" si="3"/>
        <v>2.6350100000000003E8</v>
      </c>
      <c r="J95" s="86"/>
      <c r="K95" s="86"/>
      <c r="L95" s="86"/>
    </row>
    <row r="96" spans="8:8" s="81" ht="15.75" customFormat="1">
      <c r="A96" s="18" t="s">
        <v>105</v>
      </c>
      <c r="B96" s="82" t="s">
        <v>65</v>
      </c>
      <c r="C96" s="83">
        <v>0.01</v>
      </c>
      <c r="D96" s="83">
        <v>2844.0</v>
      </c>
      <c r="E96" s="84">
        <v>47.0</v>
      </c>
      <c r="F96" s="84">
        <v>50.0</v>
      </c>
      <c r="G96" s="84">
        <f t="shared" si="2"/>
        <v>2941.01</v>
      </c>
      <c r="H96" s="85">
        <f t="shared" si="3"/>
        <v>2.94101E8</v>
      </c>
      <c r="J96" s="86"/>
      <c r="K96" s="86"/>
      <c r="L96" s="86"/>
    </row>
    <row r="97" spans="8:8" s="81" ht="15.75" customFormat="1">
      <c r="A97" s="18" t="s">
        <v>106</v>
      </c>
      <c r="B97" s="82" t="s">
        <v>65</v>
      </c>
      <c r="C97" s="83">
        <v>0.01</v>
      </c>
      <c r="D97" s="83">
        <v>2385.0</v>
      </c>
      <c r="E97" s="84">
        <v>47.0</v>
      </c>
      <c r="F97" s="84">
        <v>50.0</v>
      </c>
      <c r="G97" s="84">
        <f t="shared" si="2"/>
        <v>2482.01</v>
      </c>
      <c r="H97" s="85">
        <f t="shared" si="3"/>
        <v>2.4820100000000003E8</v>
      </c>
      <c r="J97" s="86"/>
      <c r="K97" s="86"/>
      <c r="L97" s="86"/>
    </row>
    <row r="98" spans="8:8" s="81" ht="15.75" customFormat="1">
      <c r="A98" s="18" t="s">
        <v>107</v>
      </c>
      <c r="B98" s="82" t="s">
        <v>65</v>
      </c>
      <c r="C98" s="83">
        <v>0.01</v>
      </c>
      <c r="D98" s="83">
        <v>2538.0</v>
      </c>
      <c r="E98" s="84">
        <v>47.0</v>
      </c>
      <c r="F98" s="84">
        <v>50.0</v>
      </c>
      <c r="G98" s="84">
        <f t="shared" si="2"/>
        <v>2635.01</v>
      </c>
      <c r="H98" s="85">
        <f t="shared" si="3"/>
        <v>2.6350100000000003E8</v>
      </c>
      <c r="J98" s="86"/>
      <c r="K98" s="86"/>
      <c r="L98" s="86"/>
    </row>
    <row r="99" spans="8:8" s="81" ht="15.75" customFormat="1">
      <c r="A99" s="18" t="s">
        <v>108</v>
      </c>
      <c r="B99" s="82" t="s">
        <v>65</v>
      </c>
      <c r="C99" s="83">
        <v>0.01</v>
      </c>
      <c r="D99" s="83">
        <v>2511.0</v>
      </c>
      <c r="E99" s="84">
        <v>47.0</v>
      </c>
      <c r="F99" s="84">
        <v>50.0</v>
      </c>
      <c r="G99" s="84">
        <f t="shared" si="2"/>
        <v>2608.01</v>
      </c>
      <c r="H99" s="85">
        <f t="shared" si="3"/>
        <v>2.6080100000000003E8</v>
      </c>
      <c r="J99" s="86"/>
      <c r="K99" s="86"/>
      <c r="L99" s="86"/>
    </row>
    <row r="100" spans="8:8" s="81" ht="15.75" customFormat="1">
      <c r="A100" s="18" t="s">
        <v>109</v>
      </c>
      <c r="B100" s="82" t="s">
        <v>65</v>
      </c>
      <c r="C100" s="83">
        <v>0.01</v>
      </c>
      <c r="D100" s="83">
        <v>2934.0</v>
      </c>
      <c r="E100" s="84">
        <v>47.0</v>
      </c>
      <c r="F100" s="84">
        <v>50.0</v>
      </c>
      <c r="G100" s="84">
        <f t="shared" si="2"/>
        <v>3031.01</v>
      </c>
      <c r="H100" s="85">
        <f t="shared" si="3"/>
        <v>3.03101E8</v>
      </c>
      <c r="J100" s="86"/>
      <c r="K100" s="86"/>
      <c r="L100" s="86"/>
    </row>
    <row r="101" spans="8:8" s="81" ht="15.75" customFormat="1">
      <c r="A101" s="18" t="s">
        <v>110</v>
      </c>
      <c r="B101" s="82" t="s">
        <v>65</v>
      </c>
      <c r="C101" s="83">
        <v>1350.0</v>
      </c>
      <c r="D101" s="83">
        <v>2331.0</v>
      </c>
      <c r="E101" s="84">
        <v>47.0</v>
      </c>
      <c r="F101" s="84">
        <v>50.0</v>
      </c>
      <c r="G101" s="84">
        <f t="shared" si="2"/>
        <v>3778.0</v>
      </c>
      <c r="H101" s="85">
        <f t="shared" si="3"/>
        <v>3.778E8</v>
      </c>
      <c r="J101" s="86"/>
      <c r="K101" s="86"/>
      <c r="L101" s="86"/>
    </row>
    <row r="102" spans="8:8" s="81" ht="15.75" customFormat="1">
      <c r="A102" s="18" t="s">
        <v>111</v>
      </c>
      <c r="B102" s="82" t="s">
        <v>65</v>
      </c>
      <c r="C102" s="83">
        <v>0.01</v>
      </c>
      <c r="D102" s="83">
        <v>2250.0</v>
      </c>
      <c r="E102" s="84">
        <v>47.0</v>
      </c>
      <c r="F102" s="84">
        <v>50.0</v>
      </c>
      <c r="G102" s="84">
        <f t="shared" si="2"/>
        <v>2347.01</v>
      </c>
      <c r="H102" s="85">
        <f t="shared" si="3"/>
        <v>2.3470100000000003E8</v>
      </c>
      <c r="J102" s="86"/>
      <c r="K102" s="86"/>
      <c r="L102" s="86"/>
    </row>
    <row r="103" spans="8:8" s="81" ht="15.75" customFormat="1">
      <c r="A103" s="18" t="s">
        <v>112</v>
      </c>
      <c r="B103" s="82" t="s">
        <v>65</v>
      </c>
      <c r="C103" s="83">
        <v>0.01</v>
      </c>
      <c r="D103" s="83">
        <v>2574.0</v>
      </c>
      <c r="E103" s="84">
        <v>47.0</v>
      </c>
      <c r="F103" s="84">
        <v>50.0</v>
      </c>
      <c r="G103" s="84">
        <f t="shared" si="2"/>
        <v>2671.01</v>
      </c>
      <c r="H103" s="85">
        <f t="shared" si="3"/>
        <v>2.6710100000000003E8</v>
      </c>
      <c r="J103" s="86"/>
      <c r="K103" s="86"/>
      <c r="L103" s="86"/>
    </row>
    <row r="104" spans="8:8" s="81" ht="15.75" customFormat="1">
      <c r="A104" s="18" t="s">
        <v>113</v>
      </c>
      <c r="B104" s="82" t="s">
        <v>65</v>
      </c>
      <c r="C104" s="83">
        <v>0.01</v>
      </c>
      <c r="D104" s="83">
        <v>2745.0</v>
      </c>
      <c r="E104" s="84">
        <v>47.0</v>
      </c>
      <c r="F104" s="84">
        <v>50.0</v>
      </c>
      <c r="G104" s="84">
        <f t="shared" si="2"/>
        <v>2842.01</v>
      </c>
      <c r="H104" s="85">
        <f t="shared" si="3"/>
        <v>2.84201E8</v>
      </c>
      <c r="J104" s="86"/>
      <c r="K104" s="86"/>
      <c r="L104" s="86"/>
    </row>
    <row r="105" spans="8:8" s="81" ht="15.75" customFormat="1">
      <c r="A105" s="18" t="s">
        <v>114</v>
      </c>
      <c r="B105" s="82" t="s">
        <v>65</v>
      </c>
      <c r="C105" s="83">
        <v>0.01</v>
      </c>
      <c r="D105" s="83">
        <v>2421.0</v>
      </c>
      <c r="E105" s="84">
        <v>47.0</v>
      </c>
      <c r="F105" s="84">
        <v>50.0</v>
      </c>
      <c r="G105" s="84">
        <f t="shared" si="2"/>
        <v>2518.01</v>
      </c>
      <c r="H105" s="85">
        <f t="shared" si="3"/>
        <v>2.5180100000000003E8</v>
      </c>
      <c r="J105" s="86"/>
      <c r="K105" s="86"/>
      <c r="L105" s="86"/>
    </row>
    <row r="106" spans="8:8" s="81" ht="15.75" customFormat="1">
      <c r="A106" s="18" t="s">
        <v>115</v>
      </c>
      <c r="B106" s="82" t="s">
        <v>65</v>
      </c>
      <c r="C106" s="83">
        <v>0.01</v>
      </c>
      <c r="D106" s="83">
        <v>2529.0</v>
      </c>
      <c r="E106" s="84">
        <v>47.0</v>
      </c>
      <c r="F106" s="84">
        <v>50.0</v>
      </c>
      <c r="G106" s="84">
        <f t="shared" si="2"/>
        <v>2626.01</v>
      </c>
      <c r="H106" s="85">
        <f t="shared" si="3"/>
        <v>2.6260100000000003E8</v>
      </c>
      <c r="J106" s="86"/>
      <c r="K106" s="86"/>
      <c r="L106" s="86"/>
    </row>
    <row r="107" spans="8:8" s="81" ht="15.75" customFormat="1">
      <c r="A107" s="18" t="s">
        <v>116</v>
      </c>
      <c r="B107" s="82" t="s">
        <v>65</v>
      </c>
      <c r="C107" s="83">
        <v>0.01</v>
      </c>
      <c r="D107" s="83">
        <v>2826.0</v>
      </c>
      <c r="E107" s="84">
        <v>47.0</v>
      </c>
      <c r="F107" s="84">
        <v>50.0</v>
      </c>
      <c r="G107" s="84">
        <f t="shared" si="2"/>
        <v>2923.01</v>
      </c>
      <c r="H107" s="85">
        <f t="shared" si="3"/>
        <v>2.92301E8</v>
      </c>
      <c r="J107" s="86"/>
      <c r="K107" s="86"/>
      <c r="L107" s="86"/>
    </row>
    <row r="108" spans="8:8" s="81" ht="15.75" customFormat="1">
      <c r="A108" s="18" t="s">
        <v>117</v>
      </c>
      <c r="B108" s="82" t="s">
        <v>65</v>
      </c>
      <c r="C108" s="83">
        <v>0.01</v>
      </c>
      <c r="D108" s="83">
        <v>2484.0</v>
      </c>
      <c r="E108" s="84">
        <v>47.0</v>
      </c>
      <c r="F108" s="84">
        <v>50.0</v>
      </c>
      <c r="G108" s="84">
        <f t="shared" si="2"/>
        <v>2581.01</v>
      </c>
      <c r="H108" s="85">
        <f t="shared" si="3"/>
        <v>2.5810100000000003E8</v>
      </c>
      <c r="J108" s="86"/>
      <c r="K108" s="86"/>
      <c r="L108" s="86"/>
    </row>
    <row r="109" spans="8:8" s="81" ht="15.75" customFormat="1">
      <c r="A109" s="18" t="s">
        <v>118</v>
      </c>
      <c r="B109" s="82" t="s">
        <v>65</v>
      </c>
      <c r="C109" s="83">
        <v>0.01</v>
      </c>
      <c r="D109" s="83">
        <v>2196.0</v>
      </c>
      <c r="E109" s="84">
        <v>47.0</v>
      </c>
      <c r="F109" s="84">
        <v>50.0</v>
      </c>
      <c r="G109" s="84">
        <f t="shared" si="2"/>
        <v>2293.01</v>
      </c>
      <c r="H109" s="85">
        <f t="shared" si="3"/>
        <v>2.2930100000000003E8</v>
      </c>
      <c r="J109" s="86"/>
      <c r="K109" s="86"/>
      <c r="L109" s="86"/>
    </row>
    <row r="110" spans="8:8" s="81" ht="15.75" customFormat="1">
      <c r="A110" s="18" t="s">
        <v>119</v>
      </c>
      <c r="B110" s="82" t="s">
        <v>65</v>
      </c>
      <c r="C110" s="83">
        <v>0.01</v>
      </c>
      <c r="D110" s="83">
        <v>2529.0</v>
      </c>
      <c r="E110" s="84">
        <v>47.0</v>
      </c>
      <c r="F110" s="84">
        <v>50.0</v>
      </c>
      <c r="G110" s="84">
        <f t="shared" si="2"/>
        <v>2626.01</v>
      </c>
      <c r="H110" s="85">
        <f t="shared" si="3"/>
        <v>2.6260100000000003E8</v>
      </c>
      <c r="J110" s="86"/>
      <c r="K110" s="86"/>
      <c r="L110" s="86"/>
    </row>
    <row r="111" spans="8:8" s="81" ht="15.75" customFormat="1">
      <c r="A111" s="18" t="s">
        <v>120</v>
      </c>
      <c r="B111" s="82" t="s">
        <v>65</v>
      </c>
      <c r="C111" s="83">
        <v>0.01</v>
      </c>
      <c r="D111" s="83">
        <v>3546.0</v>
      </c>
      <c r="E111" s="84">
        <v>47.0</v>
      </c>
      <c r="F111" s="84">
        <v>50.0</v>
      </c>
      <c r="G111" s="84">
        <f t="shared" si="2"/>
        <v>3643.01</v>
      </c>
      <c r="H111" s="85">
        <f t="shared" si="3"/>
        <v>3.64301E8</v>
      </c>
      <c r="J111" s="86"/>
      <c r="K111" s="86"/>
      <c r="L111" s="86"/>
    </row>
    <row r="112" spans="8:8" s="81" ht="15.75" customFormat="1">
      <c r="A112" s="18" t="s">
        <v>121</v>
      </c>
      <c r="B112" s="82" t="s">
        <v>65</v>
      </c>
      <c r="C112" s="83">
        <v>0.01</v>
      </c>
      <c r="D112" s="83">
        <v>3906.0</v>
      </c>
      <c r="E112" s="84">
        <v>47.0</v>
      </c>
      <c r="F112" s="84">
        <v>50.0</v>
      </c>
      <c r="G112" s="84">
        <f t="shared" si="2"/>
        <v>4003.01</v>
      </c>
      <c r="H112" s="85">
        <f t="shared" si="3"/>
        <v>4.00301E8</v>
      </c>
      <c r="J112" s="86"/>
      <c r="K112" s="86"/>
      <c r="L112" s="86"/>
    </row>
    <row r="113" spans="8:8" s="81" ht="15.75" customFormat="1">
      <c r="A113" s="18" t="s">
        <v>122</v>
      </c>
      <c r="B113" s="82" t="s">
        <v>65</v>
      </c>
      <c r="C113" s="83">
        <v>0.01</v>
      </c>
      <c r="D113" s="83">
        <v>2331.0</v>
      </c>
      <c r="E113" s="84">
        <v>47.0</v>
      </c>
      <c r="F113" s="84">
        <v>50.0</v>
      </c>
      <c r="G113" s="84">
        <f t="shared" si="2"/>
        <v>2428.01</v>
      </c>
      <c r="H113" s="85">
        <f t="shared" si="3"/>
        <v>2.4280100000000003E8</v>
      </c>
      <c r="J113" s="86"/>
      <c r="K113" s="86"/>
      <c r="L113" s="86"/>
    </row>
    <row r="114" spans="8:8" s="81" ht="15.75" customFormat="1">
      <c r="A114" s="18" t="s">
        <v>123</v>
      </c>
      <c r="B114" s="82" t="s">
        <v>65</v>
      </c>
      <c r="C114" s="83">
        <v>0.01</v>
      </c>
      <c r="D114" s="83">
        <v>2601.0</v>
      </c>
      <c r="E114" s="84">
        <v>47.0</v>
      </c>
      <c r="F114" s="84">
        <v>50.0</v>
      </c>
      <c r="G114" s="84">
        <f t="shared" si="2"/>
        <v>2698.01</v>
      </c>
      <c r="H114" s="85">
        <f t="shared" si="3"/>
        <v>2.69801E8</v>
      </c>
      <c r="J114" s="86"/>
      <c r="K114" s="86"/>
      <c r="L114" s="86"/>
    </row>
    <row r="115" spans="8:8" s="81" ht="15.75" customFormat="1">
      <c r="A115" s="18" t="s">
        <v>124</v>
      </c>
      <c r="B115" s="82" t="s">
        <v>65</v>
      </c>
      <c r="C115" s="83">
        <v>0.01</v>
      </c>
      <c r="D115" s="83">
        <v>2907.0</v>
      </c>
      <c r="E115" s="84">
        <v>47.0</v>
      </c>
      <c r="F115" s="84">
        <v>50.0</v>
      </c>
      <c r="G115" s="84">
        <f t="shared" si="2"/>
        <v>3004.01</v>
      </c>
      <c r="H115" s="85">
        <f t="shared" si="3"/>
        <v>3.00401E8</v>
      </c>
      <c r="J115" s="86"/>
      <c r="K115" s="86"/>
      <c r="L115" s="86"/>
    </row>
    <row r="116" spans="8:8" s="81" ht="15.75" customFormat="1">
      <c r="A116" s="18" t="s">
        <v>125</v>
      </c>
      <c r="B116" s="82" t="s">
        <v>65</v>
      </c>
      <c r="C116" s="83">
        <v>0.01</v>
      </c>
      <c r="D116" s="83">
        <v>3033.0</v>
      </c>
      <c r="E116" s="84">
        <v>47.0</v>
      </c>
      <c r="F116" s="84">
        <v>50.0</v>
      </c>
      <c r="G116" s="84">
        <f t="shared" si="2"/>
        <v>3130.01</v>
      </c>
      <c r="H116" s="85">
        <f t="shared" si="3"/>
        <v>3.13001E8</v>
      </c>
      <c r="J116" s="86"/>
      <c r="K116" s="86"/>
      <c r="L116" s="86"/>
    </row>
    <row r="117" spans="8:8" s="81" ht="15.75" customFormat="1">
      <c r="A117" s="18" t="s">
        <v>126</v>
      </c>
      <c r="B117" s="82" t="s">
        <v>65</v>
      </c>
      <c r="C117" s="83">
        <v>0.01</v>
      </c>
      <c r="D117" s="83">
        <v>4041.0</v>
      </c>
      <c r="E117" s="84">
        <v>47.0</v>
      </c>
      <c r="F117" s="84">
        <v>50.0</v>
      </c>
      <c r="G117" s="84">
        <f t="shared" si="2"/>
        <v>4138.01</v>
      </c>
      <c r="H117" s="85">
        <f t="shared" si="3"/>
        <v>4.13801E8</v>
      </c>
      <c r="J117" s="86"/>
      <c r="K117" s="86"/>
      <c r="L117" s="86"/>
    </row>
    <row r="118" spans="8:8" s="81" ht="15.75" customFormat="1">
      <c r="A118" s="18" t="s">
        <v>127</v>
      </c>
      <c r="B118" s="82" t="s">
        <v>65</v>
      </c>
      <c r="C118" s="83">
        <v>0.01</v>
      </c>
      <c r="D118" s="83">
        <v>3672.0</v>
      </c>
      <c r="E118" s="84">
        <v>47.0</v>
      </c>
      <c r="F118" s="84">
        <v>50.0</v>
      </c>
      <c r="G118" s="84">
        <f t="shared" si="2"/>
        <v>3769.01</v>
      </c>
      <c r="H118" s="85">
        <f t="shared" si="3"/>
        <v>3.76901E8</v>
      </c>
      <c r="J118" s="86"/>
      <c r="K118" s="86"/>
      <c r="L118" s="86"/>
    </row>
    <row r="119" spans="8:8" s="81" ht="15.75" customFormat="1">
      <c r="A119" s="18" t="s">
        <v>128</v>
      </c>
      <c r="B119" s="82" t="s">
        <v>65</v>
      </c>
      <c r="C119" s="83">
        <v>0.01</v>
      </c>
      <c r="D119" s="83">
        <v>3906.0</v>
      </c>
      <c r="E119" s="84">
        <v>47.0</v>
      </c>
      <c r="F119" s="84">
        <v>50.0</v>
      </c>
      <c r="G119" s="84">
        <f t="shared" si="2"/>
        <v>4003.01</v>
      </c>
      <c r="H119" s="85">
        <f t="shared" si="3"/>
        <v>4.00301E8</v>
      </c>
      <c r="J119" s="86"/>
      <c r="K119" s="86"/>
      <c r="L119" s="86"/>
    </row>
    <row r="120" spans="8:8" s="81" ht="15.75" customFormat="1">
      <c r="A120" s="18" t="s">
        <v>129</v>
      </c>
      <c r="B120" s="82" t="s">
        <v>65</v>
      </c>
      <c r="C120" s="83">
        <v>0.01</v>
      </c>
      <c r="D120" s="83">
        <v>4050.0</v>
      </c>
      <c r="E120" s="84">
        <v>47.0</v>
      </c>
      <c r="F120" s="84">
        <v>50.0</v>
      </c>
      <c r="G120" s="84">
        <f t="shared" si="2"/>
        <v>4147.01</v>
      </c>
      <c r="H120" s="85">
        <f t="shared" si="3"/>
        <v>4.14701E8</v>
      </c>
      <c r="J120" s="86"/>
      <c r="K120" s="86"/>
      <c r="L120" s="86"/>
    </row>
    <row r="121" spans="8:8" s="81" ht="15.75" customFormat="1">
      <c r="A121" s="18" t="s">
        <v>130</v>
      </c>
      <c r="B121" s="82" t="s">
        <v>65</v>
      </c>
      <c r="C121" s="83">
        <v>0.01</v>
      </c>
      <c r="D121" s="83">
        <v>4455.0</v>
      </c>
      <c r="E121" s="84">
        <v>47.0</v>
      </c>
      <c r="F121" s="84">
        <v>50.0</v>
      </c>
      <c r="G121" s="84">
        <f t="shared" si="2"/>
        <v>4552.01</v>
      </c>
      <c r="H121" s="85">
        <f t="shared" si="3"/>
        <v>4.55201E8</v>
      </c>
      <c r="J121" s="86"/>
      <c r="K121" s="86"/>
      <c r="L121" s="86"/>
    </row>
    <row r="122" spans="8:8" s="81" ht="15.75" customFormat="1">
      <c r="A122" s="18" t="s">
        <v>131</v>
      </c>
      <c r="B122" s="82" t="s">
        <v>65</v>
      </c>
      <c r="C122" s="83">
        <v>0.01</v>
      </c>
      <c r="D122" s="83">
        <v>4599.0</v>
      </c>
      <c r="E122" s="84">
        <v>47.0</v>
      </c>
      <c r="F122" s="84">
        <v>50.0</v>
      </c>
      <c r="G122" s="84">
        <f t="shared" si="2"/>
        <v>4696.01</v>
      </c>
      <c r="H122" s="85">
        <f t="shared" si="3"/>
        <v>4.69601E8</v>
      </c>
      <c r="J122" s="86"/>
      <c r="K122" s="86"/>
      <c r="L122" s="86"/>
    </row>
    <row r="123" spans="8:8" s="81" ht="15.75" customFormat="1">
      <c r="A123" s="18" t="s">
        <v>132</v>
      </c>
      <c r="B123" s="82" t="s">
        <v>65</v>
      </c>
      <c r="C123" s="83">
        <v>0.01</v>
      </c>
      <c r="D123" s="83">
        <v>2322.0</v>
      </c>
      <c r="E123" s="84">
        <v>47.0</v>
      </c>
      <c r="F123" s="84">
        <v>50.0</v>
      </c>
      <c r="G123" s="84">
        <f t="shared" si="2"/>
        <v>2419.01</v>
      </c>
      <c r="H123" s="85">
        <f t="shared" si="3"/>
        <v>2.4190100000000003E8</v>
      </c>
      <c r="J123" s="86"/>
      <c r="K123" s="86"/>
      <c r="L123" s="86"/>
    </row>
    <row r="124" spans="8:8" s="81" ht="15.75" customFormat="1">
      <c r="A124" s="18" t="s">
        <v>133</v>
      </c>
      <c r="B124" s="82" t="s">
        <v>65</v>
      </c>
      <c r="C124" s="83">
        <v>0.01</v>
      </c>
      <c r="D124" s="83">
        <v>2529.0</v>
      </c>
      <c r="E124" s="84">
        <v>47.0</v>
      </c>
      <c r="F124" s="84">
        <v>50.0</v>
      </c>
      <c r="G124" s="84">
        <f t="shared" si="2"/>
        <v>2626.01</v>
      </c>
      <c r="H124" s="85">
        <f t="shared" si="3"/>
        <v>2.6260100000000003E8</v>
      </c>
      <c r="J124" s="86"/>
      <c r="K124" s="86"/>
      <c r="L124" s="86"/>
    </row>
    <row r="125" spans="8:8" s="81" ht="15.75" customFormat="1">
      <c r="A125" s="18" t="s">
        <v>134</v>
      </c>
      <c r="B125" s="82" t="s">
        <v>65</v>
      </c>
      <c r="C125" s="83">
        <v>0.01</v>
      </c>
      <c r="D125" s="83">
        <v>2727.0</v>
      </c>
      <c r="E125" s="84">
        <v>47.0</v>
      </c>
      <c r="F125" s="84">
        <v>50.0</v>
      </c>
      <c r="G125" s="84">
        <f t="shared" si="2"/>
        <v>2824.01</v>
      </c>
      <c r="H125" s="85">
        <f t="shared" si="3"/>
        <v>2.82401E8</v>
      </c>
      <c r="J125" s="86"/>
      <c r="K125" s="86"/>
      <c r="L125" s="86"/>
    </row>
    <row r="126" spans="8:8" s="81" ht="15.75" customFormat="1">
      <c r="A126" s="18" t="s">
        <v>135</v>
      </c>
      <c r="B126" s="82" t="s">
        <v>65</v>
      </c>
      <c r="C126" s="83">
        <v>0.01</v>
      </c>
      <c r="D126" s="83">
        <v>2421.0</v>
      </c>
      <c r="E126" s="84">
        <v>47.0</v>
      </c>
      <c r="F126" s="84">
        <v>50.0</v>
      </c>
      <c r="G126" s="84">
        <f t="shared" si="2"/>
        <v>2518.01</v>
      </c>
      <c r="H126" s="85">
        <f t="shared" si="3"/>
        <v>2.5180100000000003E8</v>
      </c>
      <c r="J126" s="86"/>
      <c r="K126" s="86"/>
      <c r="L126" s="86"/>
    </row>
    <row r="127" spans="8:8" s="81" ht="15.75" customFormat="1">
      <c r="A127" s="18" t="s">
        <v>136</v>
      </c>
      <c r="B127" s="82" t="s">
        <v>65</v>
      </c>
      <c r="C127" s="83">
        <v>0.01</v>
      </c>
      <c r="D127" s="83">
        <v>2529.0</v>
      </c>
      <c r="E127" s="84">
        <v>47.0</v>
      </c>
      <c r="F127" s="84">
        <v>50.0</v>
      </c>
      <c r="G127" s="84">
        <f t="shared" si="2"/>
        <v>2626.01</v>
      </c>
      <c r="H127" s="85">
        <f t="shared" si="3"/>
        <v>2.6260100000000003E8</v>
      </c>
      <c r="J127" s="86"/>
      <c r="K127" s="86"/>
      <c r="L127" s="86"/>
    </row>
    <row r="128" spans="8:8" s="81" ht="15.75" customFormat="1">
      <c r="A128" s="18" t="s">
        <v>137</v>
      </c>
      <c r="B128" s="82" t="s">
        <v>65</v>
      </c>
      <c r="C128" s="83">
        <v>0.01</v>
      </c>
      <c r="D128" s="83">
        <v>3600.0</v>
      </c>
      <c r="E128" s="84">
        <v>47.0</v>
      </c>
      <c r="F128" s="84">
        <v>50.0</v>
      </c>
      <c r="G128" s="84">
        <f t="shared" si="2"/>
        <v>3697.01</v>
      </c>
      <c r="H128" s="85">
        <f t="shared" si="3"/>
        <v>3.69701E8</v>
      </c>
      <c r="J128" s="86"/>
      <c r="K128" s="86"/>
      <c r="L128" s="86"/>
    </row>
    <row r="129" spans="8:8" s="81" ht="15.75" customFormat="1">
      <c r="A129" s="18" t="s">
        <v>138</v>
      </c>
      <c r="B129" s="82" t="s">
        <v>65</v>
      </c>
      <c r="C129" s="83">
        <v>0.01</v>
      </c>
      <c r="D129" s="83">
        <v>3807.0</v>
      </c>
      <c r="E129" s="84">
        <v>47.0</v>
      </c>
      <c r="F129" s="84">
        <v>50.0</v>
      </c>
      <c r="G129" s="84">
        <f t="shared" si="2"/>
        <v>3904.01</v>
      </c>
      <c r="H129" s="85">
        <f t="shared" si="3"/>
        <v>3.90401E8</v>
      </c>
      <c r="J129" s="86"/>
      <c r="K129" s="86"/>
      <c r="L129" s="86"/>
    </row>
    <row r="130" spans="8:8" s="81" ht="15.75" customFormat="1">
      <c r="A130" s="18" t="s">
        <v>139</v>
      </c>
      <c r="B130" s="82" t="s">
        <v>65</v>
      </c>
      <c r="C130" s="83">
        <v>0.01</v>
      </c>
      <c r="D130" s="83">
        <v>2250.0</v>
      </c>
      <c r="E130" s="84">
        <v>47.0</v>
      </c>
      <c r="F130" s="84">
        <v>50.0</v>
      </c>
      <c r="G130" s="84">
        <f t="shared" si="4" ref="G130:G190">SUM(C130:F130)</f>
        <v>2347.01</v>
      </c>
      <c r="H130" s="85">
        <f t="shared" si="3"/>
        <v>2.3470100000000003E8</v>
      </c>
      <c r="J130" s="86"/>
      <c r="K130" s="86"/>
      <c r="L130" s="86"/>
    </row>
    <row r="131" spans="8:8" s="81" ht="15.75" customFormat="1">
      <c r="A131" s="18" t="s">
        <v>140</v>
      </c>
      <c r="B131" s="82" t="s">
        <v>65</v>
      </c>
      <c r="C131" s="83">
        <v>0.01</v>
      </c>
      <c r="D131" s="83">
        <v>2466.0</v>
      </c>
      <c r="E131" s="84">
        <v>47.0</v>
      </c>
      <c r="F131" s="84">
        <v>50.0</v>
      </c>
      <c r="G131" s="84">
        <f t="shared" si="4"/>
        <v>2563.01</v>
      </c>
      <c r="H131" s="85">
        <f t="shared" si="5" ref="H131:H190">G131*100000</f>
        <v>2.5630100000000003E8</v>
      </c>
      <c r="J131" s="86"/>
      <c r="K131" s="86"/>
      <c r="L131" s="86"/>
    </row>
    <row r="132" spans="8:8" s="81" ht="15.75" customFormat="1">
      <c r="A132" s="18" t="s">
        <v>141</v>
      </c>
      <c r="B132" s="82" t="s">
        <v>65</v>
      </c>
      <c r="C132" s="83">
        <v>0.01</v>
      </c>
      <c r="D132" s="83">
        <v>2934.0</v>
      </c>
      <c r="E132" s="84">
        <v>47.0</v>
      </c>
      <c r="F132" s="84">
        <v>50.0</v>
      </c>
      <c r="G132" s="84">
        <f t="shared" si="4"/>
        <v>3031.01</v>
      </c>
      <c r="H132" s="85">
        <f t="shared" si="5"/>
        <v>3.03101E8</v>
      </c>
      <c r="J132" s="86"/>
      <c r="K132" s="86"/>
      <c r="L132" s="86"/>
    </row>
    <row r="133" spans="8:8" s="81" ht="15.75" customFormat="1">
      <c r="A133" s="18" t="s">
        <v>142</v>
      </c>
      <c r="B133" s="82" t="s">
        <v>65</v>
      </c>
      <c r="C133" s="83">
        <v>0.01</v>
      </c>
      <c r="D133" s="83">
        <v>3645.0</v>
      </c>
      <c r="E133" s="84">
        <v>47.0</v>
      </c>
      <c r="F133" s="84">
        <v>50.0</v>
      </c>
      <c r="G133" s="84">
        <f t="shared" si="4"/>
        <v>3742.01</v>
      </c>
      <c r="H133" s="85">
        <f t="shared" si="5"/>
        <v>3.74201E8</v>
      </c>
      <c r="J133" s="86"/>
      <c r="K133" s="86"/>
      <c r="L133" s="86"/>
    </row>
    <row r="134" spans="8:8" s="81" ht="15.75" customFormat="1">
      <c r="A134" s="18" t="s">
        <v>143</v>
      </c>
      <c r="B134" s="82" t="s">
        <v>65</v>
      </c>
      <c r="C134" s="83">
        <v>0.01</v>
      </c>
      <c r="D134" s="83">
        <v>4032.0</v>
      </c>
      <c r="E134" s="84">
        <v>47.0</v>
      </c>
      <c r="F134" s="84">
        <v>50.0</v>
      </c>
      <c r="G134" s="84">
        <f t="shared" si="4"/>
        <v>4129.01</v>
      </c>
      <c r="H134" s="85">
        <f t="shared" si="5"/>
        <v>4.12901E8</v>
      </c>
      <c r="J134" s="86"/>
      <c r="K134" s="86"/>
      <c r="L134" s="86"/>
    </row>
    <row r="135" spans="8:8" s="81" ht="15.75" customFormat="1">
      <c r="A135" s="18" t="s">
        <v>144</v>
      </c>
      <c r="B135" s="82" t="s">
        <v>65</v>
      </c>
      <c r="C135" s="83">
        <v>0.01</v>
      </c>
      <c r="D135" s="83">
        <v>4086.0</v>
      </c>
      <c r="E135" s="84">
        <v>47.0</v>
      </c>
      <c r="F135" s="84">
        <v>50.0</v>
      </c>
      <c r="G135" s="84">
        <f t="shared" si="4"/>
        <v>4183.01</v>
      </c>
      <c r="H135" s="85">
        <f t="shared" si="5"/>
        <v>4.18301E8</v>
      </c>
      <c r="J135" s="86"/>
      <c r="K135" s="86"/>
      <c r="L135" s="86"/>
    </row>
    <row r="136" spans="8:8" s="81" ht="15.75" customFormat="1">
      <c r="A136" s="18" t="s">
        <v>145</v>
      </c>
      <c r="B136" s="82" t="s">
        <v>65</v>
      </c>
      <c r="C136" s="83">
        <v>0.01</v>
      </c>
      <c r="D136" s="83">
        <v>2250.0</v>
      </c>
      <c r="E136" s="84">
        <v>47.0</v>
      </c>
      <c r="F136" s="84">
        <v>50.0</v>
      </c>
      <c r="G136" s="84">
        <f t="shared" si="4"/>
        <v>2347.01</v>
      </c>
      <c r="H136" s="85">
        <f t="shared" si="5"/>
        <v>2.3470100000000003E8</v>
      </c>
      <c r="J136" s="86"/>
      <c r="K136" s="86"/>
      <c r="L136" s="86"/>
    </row>
    <row r="137" spans="8:8" s="81" ht="15.75" customFormat="1">
      <c r="A137" s="18" t="s">
        <v>146</v>
      </c>
      <c r="B137" s="82" t="s">
        <v>65</v>
      </c>
      <c r="C137" s="83">
        <v>0.01</v>
      </c>
      <c r="D137" s="83">
        <v>2466.0</v>
      </c>
      <c r="E137" s="84">
        <v>47.0</v>
      </c>
      <c r="F137" s="84">
        <v>50.0</v>
      </c>
      <c r="G137" s="84">
        <f t="shared" si="4"/>
        <v>2563.01</v>
      </c>
      <c r="H137" s="85">
        <f t="shared" si="5"/>
        <v>2.5630100000000003E8</v>
      </c>
      <c r="J137" s="86"/>
      <c r="K137" s="86"/>
      <c r="L137" s="86"/>
    </row>
    <row r="138" spans="8:8" s="81" ht="15.75" customFormat="1">
      <c r="A138" s="18" t="s">
        <v>147</v>
      </c>
      <c r="B138" s="82" t="s">
        <v>65</v>
      </c>
      <c r="C138" s="83">
        <v>0.01</v>
      </c>
      <c r="D138" s="83">
        <v>2934.0</v>
      </c>
      <c r="E138" s="84">
        <v>47.0</v>
      </c>
      <c r="F138" s="84">
        <v>50.0</v>
      </c>
      <c r="G138" s="84">
        <f t="shared" si="4"/>
        <v>3031.01</v>
      </c>
      <c r="H138" s="85">
        <f t="shared" si="5"/>
        <v>3.03101E8</v>
      </c>
      <c r="J138" s="86"/>
      <c r="K138" s="86"/>
      <c r="L138" s="86"/>
    </row>
    <row r="139" spans="8:8" s="81" ht="15.75" customFormat="1">
      <c r="A139" s="18" t="s">
        <v>148</v>
      </c>
      <c r="B139" s="82" t="s">
        <v>65</v>
      </c>
      <c r="C139" s="83">
        <v>0.01</v>
      </c>
      <c r="D139" s="83">
        <v>2466.0</v>
      </c>
      <c r="E139" s="84">
        <v>47.0</v>
      </c>
      <c r="F139" s="84">
        <v>50.0</v>
      </c>
      <c r="G139" s="84">
        <f t="shared" si="4"/>
        <v>2563.01</v>
      </c>
      <c r="H139" s="85">
        <f t="shared" si="5"/>
        <v>2.5630100000000003E8</v>
      </c>
      <c r="J139" s="86"/>
      <c r="K139" s="86"/>
      <c r="L139" s="86"/>
    </row>
    <row r="140" spans="8:8" s="81" ht="15.75" customFormat="1">
      <c r="A140" s="18" t="s">
        <v>149</v>
      </c>
      <c r="B140" s="82" t="s">
        <v>65</v>
      </c>
      <c r="C140" s="83">
        <v>0.01</v>
      </c>
      <c r="D140" s="83">
        <v>2934.0</v>
      </c>
      <c r="E140" s="84">
        <v>47.0</v>
      </c>
      <c r="F140" s="84">
        <v>50.0</v>
      </c>
      <c r="G140" s="84">
        <f t="shared" si="4"/>
        <v>3031.01</v>
      </c>
      <c r="H140" s="85">
        <f t="shared" si="5"/>
        <v>3.03101E8</v>
      </c>
      <c r="J140" s="86"/>
      <c r="K140" s="86"/>
      <c r="L140" s="86"/>
    </row>
    <row r="141" spans="8:8" s="81" ht="15.75" customFormat="1">
      <c r="A141" s="18" t="s">
        <v>150</v>
      </c>
      <c r="B141" s="82" t="s">
        <v>65</v>
      </c>
      <c r="C141" s="83">
        <v>0.01</v>
      </c>
      <c r="D141" s="83">
        <v>4869.0</v>
      </c>
      <c r="E141" s="84">
        <v>47.0</v>
      </c>
      <c r="F141" s="84">
        <v>50.0</v>
      </c>
      <c r="G141" s="84">
        <f t="shared" si="4"/>
        <v>4966.01</v>
      </c>
      <c r="H141" s="85">
        <f t="shared" si="5"/>
        <v>4.96601E8</v>
      </c>
      <c r="J141" s="86"/>
      <c r="K141" s="86"/>
      <c r="L141" s="86"/>
    </row>
    <row r="142" spans="8:8" s="81" ht="15.75" customFormat="1">
      <c r="A142" s="18" t="s">
        <v>151</v>
      </c>
      <c r="B142" s="82" t="s">
        <v>65</v>
      </c>
      <c r="C142" s="83">
        <v>0.01</v>
      </c>
      <c r="D142" s="83">
        <v>4041.0</v>
      </c>
      <c r="E142" s="84">
        <v>47.0</v>
      </c>
      <c r="F142" s="84">
        <v>50.0</v>
      </c>
      <c r="G142" s="84">
        <f t="shared" si="4"/>
        <v>4138.01</v>
      </c>
      <c r="H142" s="85">
        <f t="shared" si="5"/>
        <v>4.13801E8</v>
      </c>
      <c r="J142" s="86"/>
      <c r="K142" s="86"/>
      <c r="L142" s="86"/>
    </row>
    <row r="143" spans="8:8" s="81" ht="15.75" customFormat="1">
      <c r="A143" s="18" t="s">
        <v>152</v>
      </c>
      <c r="B143" s="82" t="s">
        <v>65</v>
      </c>
      <c r="C143" s="83">
        <v>0.01</v>
      </c>
      <c r="D143" s="83">
        <v>4158.0</v>
      </c>
      <c r="E143" s="84">
        <v>47.0</v>
      </c>
      <c r="F143" s="84">
        <v>50.0</v>
      </c>
      <c r="G143" s="84">
        <f t="shared" si="4"/>
        <v>4255.01</v>
      </c>
      <c r="H143" s="85">
        <f t="shared" si="5"/>
        <v>4.25501E8</v>
      </c>
      <c r="J143" s="86"/>
      <c r="K143" s="86"/>
      <c r="L143" s="86"/>
    </row>
    <row r="144" spans="8:8" s="81" ht="15.75" customFormat="1">
      <c r="A144" s="18" t="s">
        <v>153</v>
      </c>
      <c r="B144" s="82" t="s">
        <v>65</v>
      </c>
      <c r="C144" s="83">
        <v>0.01</v>
      </c>
      <c r="D144" s="83">
        <v>11700.0</v>
      </c>
      <c r="E144" s="84">
        <v>47.0</v>
      </c>
      <c r="F144" s="84">
        <v>50.0</v>
      </c>
      <c r="G144" s="84">
        <f t="shared" si="4"/>
        <v>11797.01</v>
      </c>
      <c r="H144" s="85">
        <f t="shared" si="5"/>
        <v>1.179701E9</v>
      </c>
      <c r="J144" s="86"/>
      <c r="K144" s="86"/>
      <c r="L144" s="86"/>
    </row>
    <row r="145" spans="8:8" s="81" ht="15.75" customFormat="1">
      <c r="A145" s="18" t="s">
        <v>154</v>
      </c>
      <c r="B145" s="82" t="s">
        <v>65</v>
      </c>
      <c r="C145" s="83">
        <v>0.01</v>
      </c>
      <c r="D145" s="83">
        <v>2250.0</v>
      </c>
      <c r="E145" s="84">
        <v>47.0</v>
      </c>
      <c r="F145" s="84">
        <v>50.0</v>
      </c>
      <c r="G145" s="84">
        <f t="shared" si="4"/>
        <v>2347.01</v>
      </c>
      <c r="H145" s="85">
        <f t="shared" si="5"/>
        <v>2.3470100000000003E8</v>
      </c>
      <c r="J145" s="86"/>
      <c r="K145" s="86"/>
      <c r="L145" s="86"/>
    </row>
    <row r="146" spans="8:8" s="81" ht="15.75" customFormat="1">
      <c r="A146" s="18" t="s">
        <v>155</v>
      </c>
      <c r="B146" s="82" t="s">
        <v>65</v>
      </c>
      <c r="C146" s="83">
        <v>0.01</v>
      </c>
      <c r="D146" s="83">
        <v>2385.0</v>
      </c>
      <c r="E146" s="84">
        <v>47.0</v>
      </c>
      <c r="F146" s="84">
        <v>50.0</v>
      </c>
      <c r="G146" s="84">
        <f t="shared" si="4"/>
        <v>2482.01</v>
      </c>
      <c r="H146" s="85">
        <f t="shared" si="5"/>
        <v>2.4820100000000003E8</v>
      </c>
      <c r="J146" s="86"/>
      <c r="K146" s="86"/>
      <c r="L146" s="86"/>
    </row>
    <row r="147" spans="8:8" s="81" ht="15.75" customFormat="1">
      <c r="A147" s="18" t="s">
        <v>156</v>
      </c>
      <c r="B147" s="82" t="s">
        <v>65</v>
      </c>
      <c r="C147" s="83">
        <v>0.01</v>
      </c>
      <c r="D147" s="83">
        <v>2538.0</v>
      </c>
      <c r="E147" s="84">
        <v>47.0</v>
      </c>
      <c r="F147" s="84">
        <v>50.0</v>
      </c>
      <c r="G147" s="84">
        <f t="shared" si="4"/>
        <v>2635.01</v>
      </c>
      <c r="H147" s="85">
        <f t="shared" si="5"/>
        <v>2.6350100000000003E8</v>
      </c>
      <c r="J147" s="86"/>
      <c r="K147" s="86"/>
      <c r="L147" s="86"/>
    </row>
    <row r="148" spans="8:8" s="81" ht="15.75" customFormat="1">
      <c r="A148" s="18" t="s">
        <v>157</v>
      </c>
      <c r="B148" s="82" t="s">
        <v>65</v>
      </c>
      <c r="C148" s="83">
        <v>0.01</v>
      </c>
      <c r="D148" s="83">
        <v>2385.0</v>
      </c>
      <c r="E148" s="84">
        <v>47.0</v>
      </c>
      <c r="F148" s="84">
        <v>50.0</v>
      </c>
      <c r="G148" s="84">
        <f t="shared" si="4"/>
        <v>2482.01</v>
      </c>
      <c r="H148" s="85">
        <f t="shared" si="5"/>
        <v>2.4820100000000003E8</v>
      </c>
      <c r="J148" s="86"/>
      <c r="K148" s="86"/>
      <c r="L148" s="86"/>
    </row>
    <row r="149" spans="8:8" s="81" ht="15.75" customFormat="1">
      <c r="A149" s="18" t="s">
        <v>158</v>
      </c>
      <c r="B149" s="82" t="s">
        <v>65</v>
      </c>
      <c r="C149" s="83">
        <v>0.01</v>
      </c>
      <c r="D149" s="83">
        <v>2538.0</v>
      </c>
      <c r="E149" s="84">
        <v>47.0</v>
      </c>
      <c r="F149" s="84">
        <v>50.0</v>
      </c>
      <c r="G149" s="84">
        <f t="shared" si="4"/>
        <v>2635.01</v>
      </c>
      <c r="H149" s="85">
        <f t="shared" si="5"/>
        <v>2.6350100000000003E8</v>
      </c>
      <c r="J149" s="86"/>
      <c r="K149" s="86"/>
      <c r="L149" s="86"/>
    </row>
    <row r="150" spans="8:8" s="81" ht="15.75" customFormat="1">
      <c r="A150" s="18" t="s">
        <v>159</v>
      </c>
      <c r="B150" s="82" t="s">
        <v>65</v>
      </c>
      <c r="C150" s="83">
        <v>0.01</v>
      </c>
      <c r="D150" s="83">
        <v>2745.0</v>
      </c>
      <c r="E150" s="84">
        <v>47.0</v>
      </c>
      <c r="F150" s="84">
        <v>50.0</v>
      </c>
      <c r="G150" s="84">
        <f t="shared" si="4"/>
        <v>2842.01</v>
      </c>
      <c r="H150" s="85">
        <f t="shared" si="5"/>
        <v>2.84201E8</v>
      </c>
      <c r="J150" s="86"/>
      <c r="K150" s="86"/>
      <c r="L150" s="86"/>
    </row>
    <row r="151" spans="8:8" s="81" ht="15.75" customFormat="1">
      <c r="A151" s="18" t="s">
        <v>160</v>
      </c>
      <c r="B151" s="82" t="s">
        <v>65</v>
      </c>
      <c r="C151" s="83">
        <v>0.01</v>
      </c>
      <c r="D151" s="83">
        <v>2466.0</v>
      </c>
      <c r="E151" s="84">
        <v>47.0</v>
      </c>
      <c r="F151" s="84">
        <v>50.0</v>
      </c>
      <c r="G151" s="84">
        <f t="shared" si="4"/>
        <v>2563.01</v>
      </c>
      <c r="H151" s="85">
        <f t="shared" si="5"/>
        <v>2.5630100000000003E8</v>
      </c>
      <c r="J151" s="86"/>
      <c r="K151" s="86"/>
      <c r="L151" s="86"/>
    </row>
    <row r="152" spans="8:8" s="81" ht="15.75" customFormat="1">
      <c r="A152" s="18" t="s">
        <v>161</v>
      </c>
      <c r="B152" s="82" t="s">
        <v>65</v>
      </c>
      <c r="C152" s="83">
        <v>0.01</v>
      </c>
      <c r="D152" s="83">
        <v>2934.0</v>
      </c>
      <c r="E152" s="84">
        <v>47.0</v>
      </c>
      <c r="F152" s="84">
        <v>50.0</v>
      </c>
      <c r="G152" s="84">
        <f t="shared" si="4"/>
        <v>3031.01</v>
      </c>
      <c r="H152" s="85">
        <f t="shared" si="5"/>
        <v>3.03101E8</v>
      </c>
      <c r="J152" s="86"/>
      <c r="K152" s="86"/>
      <c r="L152" s="86"/>
    </row>
    <row r="153" spans="8:8" s="81" ht="15.75" customFormat="1">
      <c r="A153" s="18" t="s">
        <v>162</v>
      </c>
      <c r="B153" s="82" t="s">
        <v>65</v>
      </c>
      <c r="C153" s="83">
        <v>0.01</v>
      </c>
      <c r="D153" s="83">
        <v>3834.0</v>
      </c>
      <c r="E153" s="84">
        <v>47.0</v>
      </c>
      <c r="F153" s="84">
        <v>50.0</v>
      </c>
      <c r="G153" s="84">
        <f t="shared" si="4"/>
        <v>3931.01</v>
      </c>
      <c r="H153" s="85">
        <f t="shared" si="5"/>
        <v>3.93101E8</v>
      </c>
      <c r="J153" s="86"/>
      <c r="K153" s="86"/>
      <c r="L153" s="86"/>
    </row>
    <row r="154" spans="8:8" s="81" ht="15.75" customFormat="1">
      <c r="A154" s="18" t="s">
        <v>163</v>
      </c>
      <c r="B154" s="82" t="s">
        <v>65</v>
      </c>
      <c r="C154" s="83">
        <v>0.01</v>
      </c>
      <c r="D154" s="83">
        <v>4230.0</v>
      </c>
      <c r="E154" s="84">
        <v>47.0</v>
      </c>
      <c r="F154" s="84">
        <v>50.0</v>
      </c>
      <c r="G154" s="84">
        <f t="shared" si="4"/>
        <v>4327.01</v>
      </c>
      <c r="H154" s="85">
        <f t="shared" si="5"/>
        <v>4.32701E8</v>
      </c>
      <c r="J154" s="86"/>
      <c r="K154" s="86"/>
      <c r="L154" s="86"/>
    </row>
    <row r="155" spans="8:8" s="81" ht="15.75" customFormat="1">
      <c r="A155" s="18" t="s">
        <v>164</v>
      </c>
      <c r="B155" s="82" t="s">
        <v>65</v>
      </c>
      <c r="C155" s="83">
        <v>0.01</v>
      </c>
      <c r="D155" s="83">
        <v>2196.0</v>
      </c>
      <c r="E155" s="84">
        <v>47.0</v>
      </c>
      <c r="F155" s="84">
        <v>50.0</v>
      </c>
      <c r="G155" s="84">
        <f t="shared" si="4"/>
        <v>2293.01</v>
      </c>
      <c r="H155" s="85">
        <f t="shared" si="5"/>
        <v>2.2930100000000003E8</v>
      </c>
      <c r="J155" s="86"/>
      <c r="K155" s="86"/>
      <c r="L155" s="86"/>
    </row>
    <row r="156" spans="8:8" s="81" ht="15.75" customFormat="1">
      <c r="A156" s="18" t="s">
        <v>165</v>
      </c>
      <c r="B156" s="82" t="s">
        <v>65</v>
      </c>
      <c r="C156" s="83">
        <v>0.01</v>
      </c>
      <c r="D156" s="83">
        <v>2466.0</v>
      </c>
      <c r="E156" s="84">
        <v>47.0</v>
      </c>
      <c r="F156" s="84">
        <v>50.0</v>
      </c>
      <c r="G156" s="84">
        <f t="shared" si="4"/>
        <v>2563.01</v>
      </c>
      <c r="H156" s="85">
        <f t="shared" si="5"/>
        <v>2.5630100000000003E8</v>
      </c>
      <c r="J156" s="86"/>
      <c r="K156" s="86"/>
      <c r="L156" s="86"/>
    </row>
    <row r="157" spans="8:8" s="81" ht="15.75" customFormat="1">
      <c r="A157" s="18" t="s">
        <v>166</v>
      </c>
      <c r="B157" s="82" t="s">
        <v>65</v>
      </c>
      <c r="C157" s="83">
        <v>0.01</v>
      </c>
      <c r="D157" s="83">
        <v>2250.0</v>
      </c>
      <c r="E157" s="84">
        <v>47.0</v>
      </c>
      <c r="F157" s="84">
        <v>50.0</v>
      </c>
      <c r="G157" s="84">
        <f t="shared" si="4"/>
        <v>2347.01</v>
      </c>
      <c r="H157" s="85">
        <f t="shared" si="5"/>
        <v>2.3470100000000003E8</v>
      </c>
      <c r="J157" s="86"/>
      <c r="K157" s="86"/>
      <c r="L157" s="86"/>
    </row>
    <row r="158" spans="8:8" s="81" ht="15.75" customFormat="1">
      <c r="A158" s="18" t="s">
        <v>167</v>
      </c>
      <c r="B158" s="82" t="s">
        <v>65</v>
      </c>
      <c r="C158" s="83">
        <v>0.01</v>
      </c>
      <c r="D158" s="83">
        <v>2475.0</v>
      </c>
      <c r="E158" s="84">
        <v>47.0</v>
      </c>
      <c r="F158" s="84">
        <v>50.0</v>
      </c>
      <c r="G158" s="84">
        <f t="shared" si="4"/>
        <v>2572.01</v>
      </c>
      <c r="H158" s="85">
        <f t="shared" si="5"/>
        <v>2.5720100000000003E8</v>
      </c>
      <c r="J158" s="86"/>
      <c r="K158" s="86"/>
      <c r="L158" s="86"/>
    </row>
    <row r="159" spans="8:8" s="81" ht="15.75" customFormat="1">
      <c r="A159" s="18" t="s">
        <v>168</v>
      </c>
      <c r="B159" s="82" t="s">
        <v>65</v>
      </c>
      <c r="C159" s="83">
        <v>0.01</v>
      </c>
      <c r="D159" s="83">
        <v>2259.0</v>
      </c>
      <c r="E159" s="84">
        <v>47.0</v>
      </c>
      <c r="F159" s="84">
        <v>50.0</v>
      </c>
      <c r="G159" s="84">
        <f t="shared" si="4"/>
        <v>2356.01</v>
      </c>
      <c r="H159" s="85">
        <f t="shared" si="5"/>
        <v>2.3560100000000003E8</v>
      </c>
      <c r="J159" s="86"/>
      <c r="K159" s="86"/>
      <c r="L159" s="86"/>
    </row>
    <row r="160" spans="8:8" s="81" ht="15.75" customFormat="1">
      <c r="A160" s="18" t="s">
        <v>169</v>
      </c>
      <c r="B160" s="82" t="s">
        <v>65</v>
      </c>
      <c r="C160" s="83">
        <v>0.01</v>
      </c>
      <c r="D160" s="83">
        <v>3987.0</v>
      </c>
      <c r="E160" s="84">
        <v>47.0</v>
      </c>
      <c r="F160" s="84">
        <v>50.0</v>
      </c>
      <c r="G160" s="84">
        <f t="shared" si="4"/>
        <v>4084.01</v>
      </c>
      <c r="H160" s="85">
        <f t="shared" si="5"/>
        <v>4.08401E8</v>
      </c>
      <c r="J160" s="86"/>
      <c r="K160" s="86"/>
      <c r="L160" s="86"/>
    </row>
    <row r="161" spans="8:8" s="81" ht="15.75" customFormat="1">
      <c r="A161" s="18" t="s">
        <v>170</v>
      </c>
      <c r="B161" s="82" t="s">
        <v>65</v>
      </c>
      <c r="C161" s="83">
        <v>0.01</v>
      </c>
      <c r="D161" s="83">
        <v>2250.0</v>
      </c>
      <c r="E161" s="84">
        <v>47.0</v>
      </c>
      <c r="F161" s="84">
        <v>50.0</v>
      </c>
      <c r="G161" s="84">
        <f t="shared" si="4"/>
        <v>2347.01</v>
      </c>
      <c r="H161" s="85">
        <f t="shared" si="5"/>
        <v>2.3470100000000003E8</v>
      </c>
      <c r="J161" s="86"/>
      <c r="K161" s="86"/>
      <c r="L161" s="86"/>
    </row>
    <row r="162" spans="8:8" s="81" ht="15.75" customFormat="1">
      <c r="A162" s="18" t="s">
        <v>171</v>
      </c>
      <c r="B162" s="82" t="s">
        <v>65</v>
      </c>
      <c r="C162" s="83">
        <v>0.01</v>
      </c>
      <c r="D162" s="83">
        <v>2673.0</v>
      </c>
      <c r="E162" s="84">
        <v>47.0</v>
      </c>
      <c r="F162" s="84">
        <v>50.0</v>
      </c>
      <c r="G162" s="84">
        <f t="shared" si="4"/>
        <v>2770.01</v>
      </c>
      <c r="H162" s="85">
        <f t="shared" si="5"/>
        <v>2.77001E8</v>
      </c>
      <c r="J162" s="86"/>
      <c r="K162" s="86"/>
      <c r="L162" s="86"/>
    </row>
    <row r="163" spans="8:8" s="81" ht="15.75" customFormat="1">
      <c r="A163" s="18" t="s">
        <v>172</v>
      </c>
      <c r="B163" s="82" t="s">
        <v>65</v>
      </c>
      <c r="C163" s="83">
        <v>0.01</v>
      </c>
      <c r="D163" s="83">
        <v>2862.0</v>
      </c>
      <c r="E163" s="84">
        <v>47.0</v>
      </c>
      <c r="F163" s="84">
        <v>50.0</v>
      </c>
      <c r="G163" s="84">
        <f t="shared" si="4"/>
        <v>2959.01</v>
      </c>
      <c r="H163" s="85">
        <f t="shared" si="5"/>
        <v>2.95901E8</v>
      </c>
      <c r="J163" s="86"/>
      <c r="K163" s="86"/>
      <c r="L163" s="86"/>
    </row>
    <row r="164" spans="8:8" s="81" ht="15.75" customFormat="1">
      <c r="A164" s="18" t="s">
        <v>173</v>
      </c>
      <c r="B164" s="82" t="s">
        <v>65</v>
      </c>
      <c r="C164" s="83">
        <v>0.01</v>
      </c>
      <c r="D164" s="83">
        <v>3609.0</v>
      </c>
      <c r="E164" s="84">
        <v>47.0</v>
      </c>
      <c r="F164" s="84">
        <v>50.0</v>
      </c>
      <c r="G164" s="84">
        <f t="shared" si="4"/>
        <v>3706.01</v>
      </c>
      <c r="H164" s="85">
        <f t="shared" si="5"/>
        <v>3.70601E8</v>
      </c>
      <c r="J164" s="86"/>
      <c r="K164" s="86"/>
      <c r="L164" s="86"/>
    </row>
    <row r="165" spans="8:8" s="81" ht="15.75" customFormat="1">
      <c r="A165" s="18" t="s">
        <v>174</v>
      </c>
      <c r="B165" s="82" t="s">
        <v>65</v>
      </c>
      <c r="C165" s="83">
        <v>0.01</v>
      </c>
      <c r="D165" s="83">
        <v>3987.0</v>
      </c>
      <c r="E165" s="84">
        <v>47.0</v>
      </c>
      <c r="F165" s="84">
        <v>50.0</v>
      </c>
      <c r="G165" s="84">
        <f t="shared" si="4"/>
        <v>4084.01</v>
      </c>
      <c r="H165" s="85">
        <f t="shared" si="5"/>
        <v>4.08401E8</v>
      </c>
      <c r="J165" s="86"/>
      <c r="K165" s="86"/>
      <c r="L165" s="86"/>
    </row>
    <row r="166" spans="8:8" s="81" ht="15.75" customFormat="1">
      <c r="A166" s="18" t="s">
        <v>175</v>
      </c>
      <c r="B166" s="82" t="s">
        <v>65</v>
      </c>
      <c r="C166" s="83">
        <v>0.01</v>
      </c>
      <c r="D166" s="83">
        <v>4086.0</v>
      </c>
      <c r="E166" s="84">
        <v>47.0</v>
      </c>
      <c r="F166" s="84">
        <v>50.0</v>
      </c>
      <c r="G166" s="84">
        <f t="shared" si="4"/>
        <v>4183.01</v>
      </c>
      <c r="H166" s="85">
        <f t="shared" si="5"/>
        <v>4.18301E8</v>
      </c>
      <c r="J166" s="86"/>
      <c r="K166" s="86"/>
      <c r="L166" s="86"/>
    </row>
    <row r="167" spans="8:8" s="81" ht="15.75" customFormat="1">
      <c r="A167" s="18" t="s">
        <v>176</v>
      </c>
      <c r="B167" s="82" t="s">
        <v>65</v>
      </c>
      <c r="C167" s="83">
        <v>0.01</v>
      </c>
      <c r="D167" s="83">
        <v>2223.0</v>
      </c>
      <c r="E167" s="84">
        <v>47.0</v>
      </c>
      <c r="F167" s="84">
        <v>50.0</v>
      </c>
      <c r="G167" s="84">
        <f t="shared" si="4"/>
        <v>2320.01</v>
      </c>
      <c r="H167" s="85">
        <f t="shared" si="5"/>
        <v>2.3200100000000003E8</v>
      </c>
      <c r="J167" s="86"/>
      <c r="K167" s="86"/>
      <c r="L167" s="86"/>
    </row>
    <row r="168" spans="8:8" s="81" ht="15.75" customFormat="1">
      <c r="A168" s="18" t="s">
        <v>177</v>
      </c>
      <c r="B168" s="82" t="s">
        <v>65</v>
      </c>
      <c r="C168" s="83">
        <v>0.01</v>
      </c>
      <c r="D168" s="83">
        <v>2763.0</v>
      </c>
      <c r="E168" s="84">
        <v>47.0</v>
      </c>
      <c r="F168" s="84">
        <v>50.0</v>
      </c>
      <c r="G168" s="84">
        <f t="shared" si="4"/>
        <v>2860.01</v>
      </c>
      <c r="H168" s="85">
        <f t="shared" si="5"/>
        <v>2.86001E8</v>
      </c>
      <c r="J168" s="86"/>
      <c r="K168" s="86"/>
      <c r="L168" s="86"/>
    </row>
    <row r="169" spans="8:8" s="81" ht="15.75" customFormat="1">
      <c r="A169" s="18" t="s">
        <v>178</v>
      </c>
      <c r="B169" s="82" t="s">
        <v>65</v>
      </c>
      <c r="C169" s="83">
        <v>1620.0</v>
      </c>
      <c r="D169" s="83">
        <v>42183.0</v>
      </c>
      <c r="E169" s="84">
        <v>47.0</v>
      </c>
      <c r="F169" s="84">
        <v>50.0</v>
      </c>
      <c r="G169" s="84">
        <f t="shared" si="4"/>
        <v>43900.0</v>
      </c>
      <c r="H169" s="85">
        <f t="shared" si="5"/>
        <v>4.39E9</v>
      </c>
      <c r="J169" s="86"/>
      <c r="K169" s="86"/>
      <c r="L169" s="86"/>
    </row>
    <row r="170" spans="8:8" s="81" ht="15.75" customFormat="1">
      <c r="A170" s="18" t="s">
        <v>179</v>
      </c>
      <c r="B170" s="82" t="s">
        <v>65</v>
      </c>
      <c r="C170" s="83">
        <v>0.01</v>
      </c>
      <c r="D170" s="83">
        <v>5409.0</v>
      </c>
      <c r="E170" s="84">
        <v>47.0</v>
      </c>
      <c r="F170" s="84">
        <v>50.0</v>
      </c>
      <c r="G170" s="84">
        <f t="shared" si="4"/>
        <v>5506.01</v>
      </c>
      <c r="H170" s="85">
        <f t="shared" si="5"/>
        <v>5.50601E8</v>
      </c>
      <c r="J170" s="86"/>
      <c r="K170" s="86"/>
      <c r="L170" s="86"/>
    </row>
    <row r="171" spans="8:8" s="81" ht="15.75" customFormat="1">
      <c r="A171" s="18" t="s">
        <v>180</v>
      </c>
      <c r="B171" s="82" t="s">
        <v>65</v>
      </c>
      <c r="C171" s="83">
        <v>0.01</v>
      </c>
      <c r="D171" s="83">
        <v>2466.0</v>
      </c>
      <c r="E171" s="84">
        <v>47.0</v>
      </c>
      <c r="F171" s="84">
        <v>50.0</v>
      </c>
      <c r="G171" s="84">
        <f t="shared" si="4"/>
        <v>2563.01</v>
      </c>
      <c r="H171" s="85">
        <f t="shared" si="5"/>
        <v>2.5630100000000003E8</v>
      </c>
      <c r="J171" s="86"/>
      <c r="K171" s="86"/>
      <c r="L171" s="86"/>
    </row>
    <row r="172" spans="8:8" s="81" ht="15.75" customFormat="1">
      <c r="A172" s="18" t="s">
        <v>181</v>
      </c>
      <c r="B172" s="82" t="s">
        <v>65</v>
      </c>
      <c r="C172" s="83">
        <v>0.01</v>
      </c>
      <c r="D172" s="83">
        <v>3834.0</v>
      </c>
      <c r="E172" s="84">
        <v>47.0</v>
      </c>
      <c r="F172" s="84">
        <v>50.0</v>
      </c>
      <c r="G172" s="84">
        <f t="shared" si="4"/>
        <v>3931.01</v>
      </c>
      <c r="H172" s="85">
        <f t="shared" si="5"/>
        <v>3.93101E8</v>
      </c>
      <c r="J172" s="86"/>
      <c r="K172" s="86"/>
      <c r="L172" s="86"/>
    </row>
    <row r="173" spans="8:8" s="81" ht="15.75" customFormat="1">
      <c r="A173" s="18" t="s">
        <v>182</v>
      </c>
      <c r="B173" s="82" t="s">
        <v>65</v>
      </c>
      <c r="C173" s="83">
        <v>0.01</v>
      </c>
      <c r="D173" s="83">
        <v>2250.0</v>
      </c>
      <c r="E173" s="84">
        <v>47.0</v>
      </c>
      <c r="F173" s="84">
        <v>50.0</v>
      </c>
      <c r="G173" s="84">
        <f t="shared" si="4"/>
        <v>2347.01</v>
      </c>
      <c r="H173" s="85">
        <f t="shared" si="5"/>
        <v>2.3470100000000003E8</v>
      </c>
      <c r="J173" s="86"/>
      <c r="K173" s="86"/>
      <c r="L173" s="86"/>
    </row>
    <row r="174" spans="8:8" s="81" ht="15.75" customFormat="1">
      <c r="A174" s="18" t="s">
        <v>183</v>
      </c>
      <c r="B174" s="82" t="s">
        <v>65</v>
      </c>
      <c r="C174" s="83">
        <v>0.01</v>
      </c>
      <c r="D174" s="83">
        <v>2466.0</v>
      </c>
      <c r="E174" s="84">
        <v>47.0</v>
      </c>
      <c r="F174" s="84">
        <v>50.0</v>
      </c>
      <c r="G174" s="84">
        <f t="shared" si="4"/>
        <v>2563.01</v>
      </c>
      <c r="H174" s="85">
        <f t="shared" si="5"/>
        <v>2.5630100000000003E8</v>
      </c>
      <c r="J174" s="86"/>
      <c r="K174" s="86"/>
      <c r="L174" s="86"/>
    </row>
    <row r="175" spans="8:8" s="81" ht="15.75" customFormat="1">
      <c r="A175" s="18" t="s">
        <v>184</v>
      </c>
      <c r="B175" s="82" t="s">
        <v>65</v>
      </c>
      <c r="C175" s="83">
        <v>0.01</v>
      </c>
      <c r="D175" s="83">
        <v>2943.0</v>
      </c>
      <c r="E175" s="84">
        <v>47.0</v>
      </c>
      <c r="F175" s="84">
        <v>50.0</v>
      </c>
      <c r="G175" s="84">
        <f t="shared" si="4"/>
        <v>3040.01</v>
      </c>
      <c r="H175" s="85">
        <f t="shared" si="5"/>
        <v>3.04001E8</v>
      </c>
      <c r="J175" s="86"/>
      <c r="K175" s="86"/>
      <c r="L175" s="86"/>
    </row>
    <row r="176" spans="8:8" s="81" ht="15.75" customFormat="1">
      <c r="A176" s="18" t="s">
        <v>185</v>
      </c>
      <c r="B176" s="82" t="s">
        <v>65</v>
      </c>
      <c r="C176" s="83">
        <v>0.01</v>
      </c>
      <c r="D176" s="83">
        <v>3645.0</v>
      </c>
      <c r="E176" s="84">
        <v>47.0</v>
      </c>
      <c r="F176" s="84">
        <v>50.0</v>
      </c>
      <c r="G176" s="84">
        <f t="shared" si="4"/>
        <v>3742.01</v>
      </c>
      <c r="H176" s="85">
        <f t="shared" si="5"/>
        <v>3.74201E8</v>
      </c>
      <c r="J176" s="86"/>
      <c r="K176" s="86"/>
      <c r="L176" s="86"/>
    </row>
    <row r="177" spans="8:8" s="81" ht="15.75" customFormat="1">
      <c r="A177" s="18" t="s">
        <v>186</v>
      </c>
      <c r="B177" s="82" t="s">
        <v>65</v>
      </c>
      <c r="C177" s="83">
        <v>0.01</v>
      </c>
      <c r="D177" s="83">
        <v>3807.0</v>
      </c>
      <c r="E177" s="84">
        <v>47.0</v>
      </c>
      <c r="F177" s="84">
        <v>50.0</v>
      </c>
      <c r="G177" s="84">
        <f t="shared" si="4"/>
        <v>3904.01</v>
      </c>
      <c r="H177" s="85">
        <f t="shared" si="5"/>
        <v>3.90401E8</v>
      </c>
      <c r="J177" s="86"/>
      <c r="K177" s="86"/>
      <c r="L177" s="86"/>
    </row>
    <row r="178" spans="8:8" s="81" ht="15.75" customFormat="1">
      <c r="A178" s="18" t="s">
        <v>187</v>
      </c>
      <c r="B178" s="82" t="s">
        <v>65</v>
      </c>
      <c r="C178" s="83">
        <v>0.01</v>
      </c>
      <c r="D178" s="83">
        <v>4131.0</v>
      </c>
      <c r="E178" s="84">
        <v>47.0</v>
      </c>
      <c r="F178" s="84">
        <v>50.0</v>
      </c>
      <c r="G178" s="84">
        <f t="shared" si="4"/>
        <v>4228.01</v>
      </c>
      <c r="H178" s="85">
        <f t="shared" si="5"/>
        <v>4.22801E8</v>
      </c>
      <c r="J178" s="86"/>
      <c r="K178" s="86"/>
      <c r="L178" s="86"/>
    </row>
    <row r="179" spans="8:8" s="81" ht="15.75" customFormat="1">
      <c r="A179" s="18" t="s">
        <v>188</v>
      </c>
      <c r="B179" s="82" t="s">
        <v>65</v>
      </c>
      <c r="C179" s="83">
        <v>0.01</v>
      </c>
      <c r="D179" s="83">
        <v>2385.0</v>
      </c>
      <c r="E179" s="84">
        <v>47.0</v>
      </c>
      <c r="F179" s="84">
        <v>50.0</v>
      </c>
      <c r="G179" s="84">
        <f t="shared" si="4"/>
        <v>2482.01</v>
      </c>
      <c r="H179" s="85">
        <f t="shared" si="5"/>
        <v>2.4820100000000003E8</v>
      </c>
      <c r="J179" s="86"/>
      <c r="K179" s="86"/>
      <c r="L179" s="86"/>
    </row>
    <row r="180" spans="8:8" s="81" ht="15.75" customFormat="1">
      <c r="A180" s="18" t="s">
        <v>189</v>
      </c>
      <c r="B180" s="82" t="s">
        <v>65</v>
      </c>
      <c r="C180" s="83">
        <v>0.01</v>
      </c>
      <c r="D180" s="83">
        <v>2538.0</v>
      </c>
      <c r="E180" s="84">
        <v>47.0</v>
      </c>
      <c r="F180" s="84">
        <v>50.0</v>
      </c>
      <c r="G180" s="84">
        <f t="shared" si="4"/>
        <v>2635.01</v>
      </c>
      <c r="H180" s="85">
        <f t="shared" si="5"/>
        <v>2.6350100000000003E8</v>
      </c>
      <c r="J180" s="86"/>
      <c r="K180" s="86"/>
      <c r="L180" s="86"/>
    </row>
    <row r="181" spans="8:8" s="81" ht="15.75" customFormat="1">
      <c r="A181" s="18" t="s">
        <v>190</v>
      </c>
      <c r="B181" s="82" t="s">
        <v>65</v>
      </c>
      <c r="C181" s="83">
        <v>0.01</v>
      </c>
      <c r="D181" s="83">
        <v>2385.0</v>
      </c>
      <c r="E181" s="84">
        <v>47.0</v>
      </c>
      <c r="F181" s="84">
        <v>50.0</v>
      </c>
      <c r="G181" s="84">
        <f t="shared" si="4"/>
        <v>2482.01</v>
      </c>
      <c r="H181" s="85">
        <f t="shared" si="5"/>
        <v>2.4820100000000003E8</v>
      </c>
      <c r="J181" s="86"/>
      <c r="K181" s="86"/>
      <c r="L181" s="86"/>
    </row>
    <row r="182" spans="8:8" s="81" ht="15.75" customFormat="1">
      <c r="A182" s="18" t="s">
        <v>191</v>
      </c>
      <c r="B182" s="82" t="s">
        <v>65</v>
      </c>
      <c r="C182" s="83">
        <v>0.01</v>
      </c>
      <c r="D182" s="83">
        <v>2538.0</v>
      </c>
      <c r="E182" s="84">
        <v>47.0</v>
      </c>
      <c r="F182" s="84">
        <v>50.0</v>
      </c>
      <c r="G182" s="84">
        <f t="shared" si="4"/>
        <v>2635.01</v>
      </c>
      <c r="H182" s="85">
        <f t="shared" si="5"/>
        <v>2.6350100000000003E8</v>
      </c>
      <c r="J182" s="86"/>
      <c r="K182" s="86"/>
      <c r="L182" s="86"/>
    </row>
    <row r="183" spans="8:8" s="81" ht="15.75" customFormat="1">
      <c r="A183" s="18" t="s">
        <v>192</v>
      </c>
      <c r="B183" s="82" t="s">
        <v>65</v>
      </c>
      <c r="C183" s="83">
        <v>0.01</v>
      </c>
      <c r="D183" s="83">
        <v>2745.0</v>
      </c>
      <c r="E183" s="84">
        <v>47.0</v>
      </c>
      <c r="F183" s="84">
        <v>50.0</v>
      </c>
      <c r="G183" s="84">
        <f t="shared" si="4"/>
        <v>2842.01</v>
      </c>
      <c r="H183" s="85">
        <f t="shared" si="5"/>
        <v>2.84201E8</v>
      </c>
      <c r="J183" s="86"/>
      <c r="K183" s="86"/>
      <c r="L183" s="86"/>
    </row>
    <row r="184" spans="8:8" s="81" ht="15.75" customFormat="1">
      <c r="A184" s="18" t="s">
        <v>193</v>
      </c>
      <c r="B184" s="82" t="s">
        <v>65</v>
      </c>
      <c r="C184" s="83">
        <v>0.01</v>
      </c>
      <c r="D184" s="83">
        <v>2385.0</v>
      </c>
      <c r="E184" s="84">
        <v>47.0</v>
      </c>
      <c r="F184" s="84">
        <v>50.0</v>
      </c>
      <c r="G184" s="84">
        <f t="shared" si="4"/>
        <v>2482.01</v>
      </c>
      <c r="H184" s="85">
        <f t="shared" si="5"/>
        <v>2.4820100000000003E8</v>
      </c>
      <c r="J184" s="86"/>
      <c r="K184" s="86"/>
      <c r="L184" s="86"/>
    </row>
    <row r="185" spans="8:8" s="81" ht="15.75" customFormat="1">
      <c r="A185" s="18" t="s">
        <v>194</v>
      </c>
      <c r="B185" s="82" t="s">
        <v>65</v>
      </c>
      <c r="C185" s="83">
        <v>0.01</v>
      </c>
      <c r="D185" s="83">
        <v>2538.0</v>
      </c>
      <c r="E185" s="84">
        <v>47.0</v>
      </c>
      <c r="F185" s="84">
        <v>50.0</v>
      </c>
      <c r="G185" s="84">
        <f t="shared" si="4"/>
        <v>2635.01</v>
      </c>
      <c r="H185" s="85">
        <f t="shared" si="5"/>
        <v>2.6350100000000003E8</v>
      </c>
      <c r="J185" s="86"/>
      <c r="K185" s="86"/>
      <c r="L185" s="86"/>
    </row>
    <row r="186" spans="8:8" s="81" ht="15.75" customFormat="1">
      <c r="A186" s="18" t="s">
        <v>195</v>
      </c>
      <c r="B186" s="82" t="s">
        <v>196</v>
      </c>
      <c r="C186" s="83">
        <v>1188.0</v>
      </c>
      <c r="D186" s="83">
        <v>8154.0</v>
      </c>
      <c r="E186" s="84">
        <v>47.0</v>
      </c>
      <c r="F186" s="84">
        <v>50.0</v>
      </c>
      <c r="G186" s="84">
        <f t="shared" si="4"/>
        <v>9439.0</v>
      </c>
      <c r="H186" s="85">
        <f t="shared" si="5"/>
        <v>9.439E8</v>
      </c>
      <c r="J186" s="86"/>
      <c r="K186" s="86"/>
      <c r="L186" s="86"/>
    </row>
    <row r="187" spans="8:8" s="81" ht="15.75" customFormat="1">
      <c r="A187" s="18" t="s">
        <v>197</v>
      </c>
      <c r="B187" s="82" t="s">
        <v>196</v>
      </c>
      <c r="C187" s="83">
        <v>0.01</v>
      </c>
      <c r="D187" s="83">
        <v>9927.0</v>
      </c>
      <c r="E187" s="84">
        <v>47.0</v>
      </c>
      <c r="F187" s="84">
        <v>50.0</v>
      </c>
      <c r="G187" s="84">
        <f t="shared" si="4"/>
        <v>10024.01</v>
      </c>
      <c r="H187" s="85">
        <f t="shared" si="5"/>
        <v>1.002401E9</v>
      </c>
      <c r="J187" s="86"/>
      <c r="K187" s="86"/>
      <c r="L187" s="86"/>
    </row>
    <row r="188" spans="8:8" s="81" ht="15.75" customFormat="1">
      <c r="A188" s="18" t="s">
        <v>198</v>
      </c>
      <c r="B188" s="82" t="s">
        <v>196</v>
      </c>
      <c r="C188" s="83">
        <v>0.01</v>
      </c>
      <c r="D188" s="83">
        <v>98847.0</v>
      </c>
      <c r="E188" s="84">
        <v>47.0</v>
      </c>
      <c r="F188" s="84">
        <v>50.0</v>
      </c>
      <c r="G188" s="84">
        <f t="shared" si="4"/>
        <v>98944.01</v>
      </c>
      <c r="H188" s="85">
        <f t="shared" si="5"/>
        <v>9.894401E9</v>
      </c>
      <c r="J188" s="86"/>
      <c r="K188" s="86"/>
      <c r="L188" s="86"/>
    </row>
    <row r="189" spans="8:8" s="81" ht="15.75" customFormat="1">
      <c r="A189" s="18" t="s">
        <v>199</v>
      </c>
      <c r="B189" s="82" t="s">
        <v>196</v>
      </c>
      <c r="C189" s="83">
        <v>0.01</v>
      </c>
      <c r="D189" s="83">
        <v>9738.0</v>
      </c>
      <c r="E189" s="84">
        <v>47.0</v>
      </c>
      <c r="F189" s="84">
        <v>50.0</v>
      </c>
      <c r="G189" s="84">
        <f t="shared" si="4"/>
        <v>9835.01</v>
      </c>
      <c r="H189" s="85">
        <f t="shared" si="5"/>
        <v>9.83501E8</v>
      </c>
      <c r="J189" s="86"/>
      <c r="K189" s="86"/>
      <c r="L189" s="86"/>
    </row>
    <row r="190" spans="8:8" s="81" ht="15.75" customFormat="1">
      <c r="A190" s="18" t="s">
        <v>304</v>
      </c>
      <c r="B190" s="82" t="s">
        <v>196</v>
      </c>
      <c r="C190" s="83">
        <v>0.01</v>
      </c>
      <c r="D190" s="83">
        <v>16398.0</v>
      </c>
      <c r="E190" s="84">
        <v>47.0</v>
      </c>
      <c r="F190" s="84">
        <v>50.0</v>
      </c>
      <c r="G190" s="84">
        <f t="shared" si="4"/>
        <v>16495.01</v>
      </c>
      <c r="H190" s="85">
        <f t="shared" si="5"/>
        <v>1.6495009999999998E9</v>
      </c>
      <c r="J190" s="86"/>
      <c r="K190" s="86"/>
      <c r="L190" s="86"/>
    </row>
    <row r="191" spans="8:8" s="81" ht="15.75" customFormat="1">
      <c r="A191" s="18" t="s">
        <v>300</v>
      </c>
      <c r="B191" s="82" t="s">
        <v>196</v>
      </c>
      <c r="C191" s="83">
        <v>0.01</v>
      </c>
      <c r="D191" s="83">
        <v>17793.0</v>
      </c>
      <c r="E191" s="84">
        <v>47.0</v>
      </c>
      <c r="F191" s="84">
        <v>50.0</v>
      </c>
      <c r="G191" s="84">
        <f t="shared" si="6" ref="G191:G243">SUM(C191:F191)</f>
        <v>17890.01</v>
      </c>
      <c r="H191" s="85">
        <f t="shared" si="7" ref="H191:H244">G191*100000</f>
        <v>1.7890009999999998E9</v>
      </c>
      <c r="J191" s="86"/>
      <c r="K191" s="86"/>
      <c r="L191" s="86"/>
    </row>
    <row r="192" spans="8:8" s="81" ht="15.75" customFormat="1">
      <c r="A192" s="18" t="s">
        <v>201</v>
      </c>
      <c r="B192" s="82" t="s">
        <v>196</v>
      </c>
      <c r="C192" s="83">
        <v>0.01</v>
      </c>
      <c r="D192" s="83">
        <v>9909.0</v>
      </c>
      <c r="E192" s="84">
        <v>47.0</v>
      </c>
      <c r="F192" s="84">
        <v>50.0</v>
      </c>
      <c r="G192" s="84">
        <f t="shared" si="6"/>
        <v>10006.01</v>
      </c>
      <c r="H192" s="85">
        <f t="shared" si="7"/>
        <v>1.000601E9</v>
      </c>
      <c r="J192" s="86"/>
      <c r="K192" s="86"/>
      <c r="L192" s="86"/>
    </row>
    <row r="193" spans="8:8" s="81" ht="15.75" customFormat="1">
      <c r="A193" s="18" t="s">
        <v>202</v>
      </c>
      <c r="B193" s="82" t="s">
        <v>196</v>
      </c>
      <c r="C193" s="83">
        <v>0.01</v>
      </c>
      <c r="D193" s="83">
        <v>9756.0</v>
      </c>
      <c r="E193" s="84">
        <v>47.0</v>
      </c>
      <c r="F193" s="84">
        <v>50.0</v>
      </c>
      <c r="G193" s="84">
        <f t="shared" si="6"/>
        <v>9853.01</v>
      </c>
      <c r="H193" s="85">
        <f t="shared" si="7"/>
        <v>9.85301E8</v>
      </c>
      <c r="J193" s="86"/>
      <c r="K193" s="86"/>
      <c r="L193" s="86"/>
    </row>
    <row r="194" spans="8:8" s="81" ht="15.75" customFormat="1">
      <c r="A194" s="18" t="s">
        <v>203</v>
      </c>
      <c r="B194" s="82" t="s">
        <v>196</v>
      </c>
      <c r="C194" s="83">
        <v>0.01</v>
      </c>
      <c r="D194" s="83">
        <v>9756.0</v>
      </c>
      <c r="E194" s="84">
        <v>47.0</v>
      </c>
      <c r="F194" s="84">
        <v>50.0</v>
      </c>
      <c r="G194" s="84">
        <f t="shared" si="6"/>
        <v>9853.01</v>
      </c>
      <c r="H194" s="85">
        <f t="shared" si="7"/>
        <v>9.85301E8</v>
      </c>
      <c r="J194" s="86"/>
      <c r="K194" s="86"/>
      <c r="L194" s="86"/>
    </row>
    <row r="195" spans="8:8" s="81" ht="15.75" customFormat="1">
      <c r="A195" s="18" t="s">
        <v>204</v>
      </c>
      <c r="B195" s="82" t="s">
        <v>196</v>
      </c>
      <c r="C195" s="83">
        <v>0.01</v>
      </c>
      <c r="D195" s="83">
        <v>9756.0</v>
      </c>
      <c r="E195" s="84">
        <v>47.0</v>
      </c>
      <c r="F195" s="84">
        <v>50.0</v>
      </c>
      <c r="G195" s="84">
        <f t="shared" si="6"/>
        <v>9853.01</v>
      </c>
      <c r="H195" s="85">
        <f t="shared" si="7"/>
        <v>9.85301E8</v>
      </c>
      <c r="J195" s="86"/>
      <c r="K195" s="86"/>
      <c r="L195" s="86"/>
    </row>
    <row r="196" spans="8:8" s="81" ht="15.75" customFormat="1">
      <c r="A196" s="18" t="s">
        <v>205</v>
      </c>
      <c r="B196" s="82" t="s">
        <v>196</v>
      </c>
      <c r="C196" s="83">
        <v>0.01</v>
      </c>
      <c r="D196" s="83">
        <v>9756.0</v>
      </c>
      <c r="E196" s="84">
        <v>47.0</v>
      </c>
      <c r="F196" s="84">
        <v>50.0</v>
      </c>
      <c r="G196" s="84">
        <f t="shared" si="6"/>
        <v>9853.01</v>
      </c>
      <c r="H196" s="85">
        <f t="shared" si="7"/>
        <v>9.85301E8</v>
      </c>
      <c r="J196" s="86"/>
      <c r="K196" s="86"/>
      <c r="L196" s="86"/>
    </row>
    <row r="197" spans="8:8" s="81" ht="15.75" customFormat="1">
      <c r="A197" s="18" t="s">
        <v>206</v>
      </c>
      <c r="B197" s="82" t="s">
        <v>196</v>
      </c>
      <c r="C197" s="83">
        <v>0.01</v>
      </c>
      <c r="D197" s="83">
        <v>9945.0</v>
      </c>
      <c r="E197" s="84">
        <v>47.0</v>
      </c>
      <c r="F197" s="84">
        <v>50.0</v>
      </c>
      <c r="G197" s="84">
        <f t="shared" si="6"/>
        <v>10042.01</v>
      </c>
      <c r="H197" s="85">
        <f t="shared" si="7"/>
        <v>1.004201E9</v>
      </c>
      <c r="J197" s="86"/>
      <c r="K197" s="86"/>
      <c r="L197" s="86"/>
    </row>
    <row r="198" spans="8:8" s="81" ht="15.75" customFormat="1">
      <c r="A198" s="18" t="s">
        <v>207</v>
      </c>
      <c r="B198" s="82" t="s">
        <v>196</v>
      </c>
      <c r="C198" s="83">
        <v>0.01</v>
      </c>
      <c r="D198" s="83">
        <v>9981.0</v>
      </c>
      <c r="E198" s="84">
        <v>47.0</v>
      </c>
      <c r="F198" s="84">
        <v>50.0</v>
      </c>
      <c r="G198" s="84">
        <f t="shared" si="6"/>
        <v>10078.01</v>
      </c>
      <c r="H198" s="85">
        <f t="shared" si="7"/>
        <v>1.007801E9</v>
      </c>
      <c r="J198" s="86"/>
      <c r="K198" s="86"/>
      <c r="L198" s="86"/>
    </row>
    <row r="199" spans="8:8" s="81" ht="15.75" customFormat="1">
      <c r="A199" s="18" t="s">
        <v>208</v>
      </c>
      <c r="B199" s="82" t="s">
        <v>196</v>
      </c>
      <c r="C199" s="83">
        <v>0.01</v>
      </c>
      <c r="D199" s="83">
        <v>9981.0</v>
      </c>
      <c r="E199" s="84">
        <v>47.0</v>
      </c>
      <c r="F199" s="84">
        <v>50.0</v>
      </c>
      <c r="G199" s="84">
        <f t="shared" si="6"/>
        <v>10078.01</v>
      </c>
      <c r="H199" s="85">
        <f t="shared" si="7"/>
        <v>1.007801E9</v>
      </c>
      <c r="J199" s="86"/>
      <c r="K199" s="86"/>
      <c r="L199" s="86"/>
    </row>
    <row r="200" spans="8:8" s="81" ht="15.75" customFormat="1">
      <c r="A200" s="18" t="s">
        <v>209</v>
      </c>
      <c r="B200" s="82" t="s">
        <v>196</v>
      </c>
      <c r="C200" s="83">
        <v>0.01</v>
      </c>
      <c r="D200" s="83">
        <v>9891.0</v>
      </c>
      <c r="E200" s="84">
        <v>47.0</v>
      </c>
      <c r="F200" s="84">
        <v>50.0</v>
      </c>
      <c r="G200" s="84">
        <f t="shared" si="6"/>
        <v>9988.01</v>
      </c>
      <c r="H200" s="85">
        <f t="shared" si="7"/>
        <v>9.98801E8</v>
      </c>
      <c r="J200" s="86"/>
      <c r="K200" s="86"/>
      <c r="L200" s="86"/>
    </row>
    <row r="201" spans="8:8" s="81" ht="15.75" customFormat="1">
      <c r="A201" s="18" t="s">
        <v>210</v>
      </c>
      <c r="B201" s="82" t="s">
        <v>196</v>
      </c>
      <c r="C201" s="83">
        <v>0.01</v>
      </c>
      <c r="D201" s="83">
        <v>9981.0</v>
      </c>
      <c r="E201" s="84">
        <v>47.0</v>
      </c>
      <c r="F201" s="84">
        <v>50.0</v>
      </c>
      <c r="G201" s="84">
        <f t="shared" si="6"/>
        <v>10078.01</v>
      </c>
      <c r="H201" s="85">
        <f t="shared" si="7"/>
        <v>1.007801E9</v>
      </c>
      <c r="J201" s="86"/>
      <c r="K201" s="86"/>
      <c r="L201" s="86"/>
    </row>
    <row r="202" spans="8:8" s="81" ht="15.75" customFormat="1">
      <c r="A202" s="18" t="s">
        <v>211</v>
      </c>
      <c r="B202" s="82" t="s">
        <v>196</v>
      </c>
      <c r="C202" s="83">
        <v>0.01</v>
      </c>
      <c r="D202" s="83">
        <v>9981.0</v>
      </c>
      <c r="E202" s="84">
        <v>47.0</v>
      </c>
      <c r="F202" s="84">
        <v>50.0</v>
      </c>
      <c r="G202" s="84">
        <f t="shared" si="6"/>
        <v>10078.01</v>
      </c>
      <c r="H202" s="85">
        <f t="shared" si="7"/>
        <v>1.007801E9</v>
      </c>
      <c r="J202" s="86"/>
      <c r="K202" s="86"/>
      <c r="L202" s="86"/>
    </row>
    <row r="203" spans="8:8" s="81" ht="15.75" customFormat="1">
      <c r="A203" s="18" t="s">
        <v>212</v>
      </c>
      <c r="B203" s="82" t="s">
        <v>196</v>
      </c>
      <c r="C203" s="83">
        <v>0.01</v>
      </c>
      <c r="D203" s="83">
        <v>9981.0</v>
      </c>
      <c r="E203" s="84">
        <v>47.0</v>
      </c>
      <c r="F203" s="84">
        <v>50.0</v>
      </c>
      <c r="G203" s="84">
        <f t="shared" si="6"/>
        <v>10078.01</v>
      </c>
      <c r="H203" s="85">
        <f t="shared" si="7"/>
        <v>1.007801E9</v>
      </c>
      <c r="J203" s="86"/>
      <c r="K203" s="86"/>
      <c r="L203" s="86"/>
    </row>
    <row r="204" spans="8:8" s="81" ht="15.75" customFormat="1">
      <c r="A204" s="18" t="s">
        <v>213</v>
      </c>
      <c r="B204" s="82" t="s">
        <v>196</v>
      </c>
      <c r="C204" s="83">
        <v>0.01</v>
      </c>
      <c r="D204" s="83">
        <v>9972.0</v>
      </c>
      <c r="E204" s="84">
        <v>47.0</v>
      </c>
      <c r="F204" s="84">
        <v>50.0</v>
      </c>
      <c r="G204" s="84">
        <f t="shared" si="6"/>
        <v>10069.01</v>
      </c>
      <c r="H204" s="85">
        <f t="shared" si="7"/>
        <v>1.006901E9</v>
      </c>
      <c r="J204" s="86"/>
      <c r="K204" s="86"/>
      <c r="L204" s="86"/>
    </row>
    <row r="205" spans="8:8" s="81" ht="15.75" customFormat="1">
      <c r="A205" s="18" t="s">
        <v>214</v>
      </c>
      <c r="B205" s="82" t="s">
        <v>196</v>
      </c>
      <c r="C205" s="83">
        <v>0.01</v>
      </c>
      <c r="D205" s="83">
        <v>9981.0</v>
      </c>
      <c r="E205" s="84">
        <v>47.0</v>
      </c>
      <c r="F205" s="84">
        <v>50.0</v>
      </c>
      <c r="G205" s="84">
        <f t="shared" si="6"/>
        <v>10078.01</v>
      </c>
      <c r="H205" s="85">
        <f t="shared" si="7"/>
        <v>1.007801E9</v>
      </c>
      <c r="J205" s="86"/>
      <c r="K205" s="86"/>
      <c r="L205" s="86"/>
    </row>
    <row r="206" spans="8:8" s="81" ht="15.75" customFormat="1">
      <c r="A206" s="18" t="s">
        <v>215</v>
      </c>
      <c r="B206" s="82" t="s">
        <v>196</v>
      </c>
      <c r="C206" s="83">
        <v>0.02</v>
      </c>
      <c r="D206" s="83">
        <v>9963.0</v>
      </c>
      <c r="E206" s="84">
        <v>47.0</v>
      </c>
      <c r="F206" s="84">
        <v>50.0</v>
      </c>
      <c r="G206" s="84">
        <f t="shared" si="6"/>
        <v>10060.02</v>
      </c>
      <c r="H206" s="85">
        <f t="shared" si="7"/>
        <v>1.006002E9</v>
      </c>
      <c r="J206" s="86"/>
      <c r="K206" s="86"/>
      <c r="L206" s="86"/>
    </row>
    <row r="207" spans="8:8" s="81" ht="15.75" customFormat="1">
      <c r="A207" s="18" t="s">
        <v>216</v>
      </c>
      <c r="B207" s="82" t="s">
        <v>196</v>
      </c>
      <c r="C207" s="83">
        <v>0.01</v>
      </c>
      <c r="D207" s="83">
        <v>9963.0</v>
      </c>
      <c r="E207" s="84">
        <v>47.0</v>
      </c>
      <c r="F207" s="84">
        <v>50.0</v>
      </c>
      <c r="G207" s="84">
        <f t="shared" si="6"/>
        <v>10060.01</v>
      </c>
      <c r="H207" s="85">
        <f t="shared" si="7"/>
        <v>1.006001E9</v>
      </c>
      <c r="J207" s="86"/>
      <c r="K207" s="86"/>
      <c r="L207" s="86"/>
    </row>
    <row r="208" spans="8:8" s="81" ht="15.75" customFormat="1">
      <c r="A208" s="18" t="s">
        <v>217</v>
      </c>
      <c r="B208" s="82" t="s">
        <v>196</v>
      </c>
      <c r="C208" s="83">
        <v>0.01</v>
      </c>
      <c r="D208" s="83">
        <v>9981.0</v>
      </c>
      <c r="E208" s="84">
        <v>47.0</v>
      </c>
      <c r="F208" s="84">
        <v>50.0</v>
      </c>
      <c r="G208" s="84">
        <f t="shared" si="6"/>
        <v>10078.01</v>
      </c>
      <c r="H208" s="85">
        <f t="shared" si="7"/>
        <v>1.007801E9</v>
      </c>
      <c r="J208" s="86"/>
      <c r="K208" s="86"/>
      <c r="L208" s="86"/>
    </row>
    <row r="209" spans="8:8" s="81" ht="15.75" customFormat="1">
      <c r="A209" s="18" t="s">
        <v>218</v>
      </c>
      <c r="B209" s="82" t="s">
        <v>196</v>
      </c>
      <c r="C209" s="83">
        <v>0.01</v>
      </c>
      <c r="D209" s="83">
        <v>9981.0</v>
      </c>
      <c r="E209" s="84">
        <v>47.0</v>
      </c>
      <c r="F209" s="84">
        <v>50.0</v>
      </c>
      <c r="G209" s="84">
        <f t="shared" si="6"/>
        <v>10078.01</v>
      </c>
      <c r="H209" s="85">
        <f t="shared" si="7"/>
        <v>1.007801E9</v>
      </c>
      <c r="J209" s="86"/>
      <c r="K209" s="86"/>
      <c r="L209" s="86"/>
    </row>
    <row r="210" spans="8:8" s="81" ht="15.75" customFormat="1">
      <c r="A210" s="18" t="s">
        <v>219</v>
      </c>
      <c r="B210" s="82" t="s">
        <v>196</v>
      </c>
      <c r="C210" s="83">
        <v>0.01</v>
      </c>
      <c r="D210" s="83">
        <v>9864.0</v>
      </c>
      <c r="E210" s="84">
        <v>47.0</v>
      </c>
      <c r="F210" s="84">
        <v>50.0</v>
      </c>
      <c r="G210" s="84">
        <f t="shared" si="6"/>
        <v>9961.01</v>
      </c>
      <c r="H210" s="85">
        <f t="shared" si="7"/>
        <v>9.96101E8</v>
      </c>
      <c r="J210" s="86"/>
      <c r="K210" s="86"/>
      <c r="L210" s="86"/>
    </row>
    <row r="211" spans="8:8" s="81" ht="15.75" customFormat="1">
      <c r="A211" s="18" t="s">
        <v>220</v>
      </c>
      <c r="B211" s="82" t="s">
        <v>196</v>
      </c>
      <c r="C211" s="83">
        <v>0.01</v>
      </c>
      <c r="D211" s="83">
        <v>9864.0</v>
      </c>
      <c r="E211" s="84">
        <v>47.0</v>
      </c>
      <c r="F211" s="84">
        <v>50.0</v>
      </c>
      <c r="G211" s="84">
        <f t="shared" si="6"/>
        <v>9961.01</v>
      </c>
      <c r="H211" s="85">
        <f t="shared" si="7"/>
        <v>9.96101E8</v>
      </c>
      <c r="J211" s="86"/>
      <c r="K211" s="86"/>
      <c r="L211" s="86"/>
    </row>
    <row r="212" spans="8:8" s="81" ht="15.75" customFormat="1">
      <c r="A212" s="18" t="s">
        <v>221</v>
      </c>
      <c r="B212" s="82" t="s">
        <v>196</v>
      </c>
      <c r="C212" s="83">
        <v>0.01</v>
      </c>
      <c r="D212" s="83">
        <v>9936.0</v>
      </c>
      <c r="E212" s="84">
        <v>47.0</v>
      </c>
      <c r="F212" s="84">
        <v>50.0</v>
      </c>
      <c r="G212" s="84">
        <f t="shared" si="6"/>
        <v>10033.01</v>
      </c>
      <c r="H212" s="85">
        <f t="shared" si="7"/>
        <v>1.003301E9</v>
      </c>
      <c r="J212" s="86"/>
      <c r="K212" s="86"/>
      <c r="L212" s="86"/>
    </row>
    <row r="213" spans="8:8" s="81" ht="15.75" customFormat="1">
      <c r="A213" s="18" t="s">
        <v>222</v>
      </c>
      <c r="B213" s="82" t="s">
        <v>196</v>
      </c>
      <c r="C213" s="83">
        <v>0.01</v>
      </c>
      <c r="D213" s="83">
        <v>9837.0</v>
      </c>
      <c r="E213" s="84">
        <v>47.0</v>
      </c>
      <c r="F213" s="84">
        <v>50.0</v>
      </c>
      <c r="G213" s="84">
        <f t="shared" si="6"/>
        <v>9934.01</v>
      </c>
      <c r="H213" s="85">
        <f t="shared" si="7"/>
        <v>9.93401E8</v>
      </c>
      <c r="J213" s="86"/>
      <c r="K213" s="86"/>
      <c r="L213" s="86"/>
    </row>
    <row r="214" spans="8:8" s="81" ht="15.75" customFormat="1">
      <c r="A214" s="18" t="s">
        <v>223</v>
      </c>
      <c r="B214" s="82" t="s">
        <v>196</v>
      </c>
      <c r="C214" s="83">
        <v>0.01</v>
      </c>
      <c r="D214" s="83">
        <v>9864.0</v>
      </c>
      <c r="E214" s="84">
        <v>47.0</v>
      </c>
      <c r="F214" s="84">
        <v>50.0</v>
      </c>
      <c r="G214" s="84">
        <f t="shared" si="6"/>
        <v>9961.01</v>
      </c>
      <c r="H214" s="85">
        <f t="shared" si="7"/>
        <v>9.96101E8</v>
      </c>
      <c r="J214" s="86"/>
      <c r="K214" s="86"/>
      <c r="L214" s="86"/>
    </row>
    <row r="215" spans="8:8" s="81" ht="15.75" customFormat="1">
      <c r="A215" s="18" t="s">
        <v>224</v>
      </c>
      <c r="B215" s="82" t="s">
        <v>196</v>
      </c>
      <c r="C215" s="83">
        <v>0.01</v>
      </c>
      <c r="D215" s="83">
        <v>9981.0</v>
      </c>
      <c r="E215" s="84">
        <v>47.0</v>
      </c>
      <c r="F215" s="84">
        <v>50.0</v>
      </c>
      <c r="G215" s="84">
        <f t="shared" si="6"/>
        <v>10078.01</v>
      </c>
      <c r="H215" s="85">
        <f t="shared" si="7"/>
        <v>1.007801E9</v>
      </c>
      <c r="J215" s="86"/>
      <c r="K215" s="86"/>
      <c r="L215" s="86"/>
    </row>
    <row r="216" spans="8:8" s="81" ht="15.75" customFormat="1">
      <c r="A216" s="18" t="s">
        <v>225</v>
      </c>
      <c r="B216" s="82" t="s">
        <v>196</v>
      </c>
      <c r="C216" s="83">
        <v>0.01</v>
      </c>
      <c r="D216" s="83">
        <v>9981.0</v>
      </c>
      <c r="E216" s="84">
        <v>47.0</v>
      </c>
      <c r="F216" s="84">
        <v>50.0</v>
      </c>
      <c r="G216" s="84">
        <f t="shared" si="6"/>
        <v>10078.01</v>
      </c>
      <c r="H216" s="85">
        <f t="shared" si="7"/>
        <v>1.007801E9</v>
      </c>
      <c r="J216" s="86"/>
      <c r="K216" s="86"/>
      <c r="L216" s="86"/>
    </row>
    <row r="217" spans="8:8" s="81" ht="15.75" customFormat="1">
      <c r="A217" s="18" t="s">
        <v>226</v>
      </c>
      <c r="B217" s="82" t="s">
        <v>196</v>
      </c>
      <c r="C217" s="83">
        <v>0.01</v>
      </c>
      <c r="D217" s="83">
        <v>13023.0</v>
      </c>
      <c r="E217" s="84">
        <v>47.0</v>
      </c>
      <c r="F217" s="84">
        <v>50.0</v>
      </c>
      <c r="G217" s="84">
        <f t="shared" si="6"/>
        <v>13120.01</v>
      </c>
      <c r="H217" s="85">
        <f t="shared" si="7"/>
        <v>1.312001E9</v>
      </c>
      <c r="J217" s="86"/>
      <c r="K217" s="86"/>
      <c r="L217" s="86"/>
    </row>
    <row r="218" spans="8:8" s="81" ht="15.75" customFormat="1">
      <c r="A218" s="18" t="s">
        <v>227</v>
      </c>
      <c r="B218" s="82" t="s">
        <v>196</v>
      </c>
      <c r="C218" s="83">
        <v>0.01</v>
      </c>
      <c r="D218" s="83">
        <v>16020.0</v>
      </c>
      <c r="E218" s="84">
        <v>47.0</v>
      </c>
      <c r="F218" s="84">
        <v>50.0</v>
      </c>
      <c r="G218" s="84">
        <f t="shared" si="6"/>
        <v>16117.01</v>
      </c>
      <c r="H218" s="85">
        <f t="shared" si="7"/>
        <v>1.611701E9</v>
      </c>
      <c r="J218" s="86"/>
      <c r="K218" s="86"/>
      <c r="L218" s="86"/>
    </row>
    <row r="219" spans="8:8" s="81" ht="15.75" customFormat="1">
      <c r="A219" s="18" t="s">
        <v>228</v>
      </c>
      <c r="B219" s="82" t="s">
        <v>196</v>
      </c>
      <c r="C219" s="83">
        <v>0.01</v>
      </c>
      <c r="D219" s="83">
        <v>9864.0</v>
      </c>
      <c r="E219" s="84">
        <v>47.0</v>
      </c>
      <c r="F219" s="84">
        <v>50.0</v>
      </c>
      <c r="G219" s="84">
        <f t="shared" si="6"/>
        <v>9961.01</v>
      </c>
      <c r="H219" s="85">
        <f t="shared" si="7"/>
        <v>9.96101E8</v>
      </c>
      <c r="J219" s="86"/>
      <c r="K219" s="86"/>
      <c r="L219" s="86"/>
    </row>
    <row r="220" spans="8:8" s="81" ht="15.75" customFormat="1">
      <c r="A220" s="18" t="s">
        <v>229</v>
      </c>
      <c r="B220" s="82" t="s">
        <v>196</v>
      </c>
      <c r="C220" s="83">
        <v>0.01</v>
      </c>
      <c r="D220" s="83">
        <v>9981.0</v>
      </c>
      <c r="E220" s="84">
        <v>47.0</v>
      </c>
      <c r="F220" s="84">
        <v>50.0</v>
      </c>
      <c r="G220" s="84">
        <f t="shared" si="6"/>
        <v>10078.01</v>
      </c>
      <c r="H220" s="85">
        <f t="shared" si="7"/>
        <v>1.007801E9</v>
      </c>
      <c r="J220" s="86"/>
      <c r="K220" s="86"/>
      <c r="L220" s="86"/>
    </row>
    <row r="221" spans="8:8" s="81" ht="15.75" customFormat="1">
      <c r="A221" s="18" t="s">
        <v>230</v>
      </c>
      <c r="B221" s="82" t="s">
        <v>196</v>
      </c>
      <c r="C221" s="83">
        <v>0.01</v>
      </c>
      <c r="D221" s="83">
        <v>9981.0</v>
      </c>
      <c r="E221" s="84">
        <v>47.0</v>
      </c>
      <c r="F221" s="84">
        <v>50.0</v>
      </c>
      <c r="G221" s="84">
        <f t="shared" si="6"/>
        <v>10078.01</v>
      </c>
      <c r="H221" s="85">
        <f t="shared" si="7"/>
        <v>1.007801E9</v>
      </c>
      <c r="J221" s="86"/>
      <c r="K221" s="86"/>
      <c r="L221" s="86"/>
    </row>
    <row r="222" spans="8:8" s="81" ht="15.75" customFormat="1">
      <c r="A222" s="18" t="s">
        <v>231</v>
      </c>
      <c r="B222" s="82" t="s">
        <v>196</v>
      </c>
      <c r="C222" s="83">
        <v>0.01</v>
      </c>
      <c r="D222" s="83">
        <v>9981.0</v>
      </c>
      <c r="E222" s="84">
        <v>47.0</v>
      </c>
      <c r="F222" s="84">
        <v>50.0</v>
      </c>
      <c r="G222" s="84">
        <f t="shared" si="6"/>
        <v>10078.01</v>
      </c>
      <c r="H222" s="85">
        <f t="shared" si="7"/>
        <v>1.007801E9</v>
      </c>
      <c r="J222" s="86"/>
      <c r="K222" s="86"/>
      <c r="L222" s="86"/>
    </row>
    <row r="223" spans="8:8" s="81" ht="15.75" customFormat="1">
      <c r="A223" s="18" t="s">
        <v>232</v>
      </c>
      <c r="B223" s="82" t="s">
        <v>196</v>
      </c>
      <c r="C223" s="83">
        <v>0.01</v>
      </c>
      <c r="D223" s="83">
        <v>9981.0</v>
      </c>
      <c r="E223" s="84">
        <v>47.0</v>
      </c>
      <c r="F223" s="84">
        <v>50.0</v>
      </c>
      <c r="G223" s="84">
        <f t="shared" si="6"/>
        <v>10078.01</v>
      </c>
      <c r="H223" s="85">
        <f t="shared" si="7"/>
        <v>1.007801E9</v>
      </c>
      <c r="J223" s="86"/>
      <c r="K223" s="86"/>
      <c r="L223" s="86"/>
    </row>
    <row r="224" spans="8:8" s="81" ht="15.75" customFormat="1">
      <c r="A224" s="18" t="s">
        <v>233</v>
      </c>
      <c r="B224" s="82" t="s">
        <v>196</v>
      </c>
      <c r="C224" s="83">
        <v>0.01</v>
      </c>
      <c r="D224" s="83">
        <v>9864.0</v>
      </c>
      <c r="E224" s="84">
        <v>47.0</v>
      </c>
      <c r="F224" s="84">
        <v>50.0</v>
      </c>
      <c r="G224" s="84">
        <f t="shared" si="6"/>
        <v>9961.01</v>
      </c>
      <c r="H224" s="85">
        <f t="shared" si="7"/>
        <v>9.96101E8</v>
      </c>
      <c r="J224" s="86"/>
      <c r="K224" s="86"/>
      <c r="L224" s="86"/>
    </row>
    <row r="225" spans="8:8" s="81" ht="15.75" customFormat="1">
      <c r="A225" s="18" t="s">
        <v>234</v>
      </c>
      <c r="B225" s="82" t="s">
        <v>196</v>
      </c>
      <c r="C225" s="83">
        <v>0.01</v>
      </c>
      <c r="D225" s="83">
        <v>9864.0</v>
      </c>
      <c r="E225" s="84">
        <v>47.0</v>
      </c>
      <c r="F225" s="84">
        <v>50.0</v>
      </c>
      <c r="G225" s="84">
        <f t="shared" si="6"/>
        <v>9961.01</v>
      </c>
      <c r="H225" s="85">
        <f t="shared" si="7"/>
        <v>9.96101E8</v>
      </c>
      <c r="J225" s="86"/>
      <c r="K225" s="86"/>
      <c r="L225" s="86"/>
    </row>
    <row r="226" spans="8:8" s="81" ht="15.75" customFormat="1">
      <c r="A226" s="18" t="s">
        <v>235</v>
      </c>
      <c r="B226" s="82" t="s">
        <v>196</v>
      </c>
      <c r="C226" s="83">
        <v>0.01</v>
      </c>
      <c r="D226" s="83">
        <v>9981.0</v>
      </c>
      <c r="E226" s="84">
        <v>47.0</v>
      </c>
      <c r="F226" s="84">
        <v>50.0</v>
      </c>
      <c r="G226" s="84">
        <f t="shared" si="6"/>
        <v>10078.01</v>
      </c>
      <c r="H226" s="85">
        <f t="shared" si="7"/>
        <v>1.007801E9</v>
      </c>
      <c r="J226" s="86"/>
      <c r="K226" s="86"/>
      <c r="L226" s="86"/>
    </row>
    <row r="227" spans="8:8" s="81" ht="15.75" customFormat="1">
      <c r="A227" s="18" t="s">
        <v>236</v>
      </c>
      <c r="B227" s="82" t="s">
        <v>196</v>
      </c>
      <c r="C227" s="83">
        <v>0.01</v>
      </c>
      <c r="D227" s="83">
        <v>9981.0</v>
      </c>
      <c r="E227" s="84">
        <v>47.0</v>
      </c>
      <c r="F227" s="84">
        <v>50.0</v>
      </c>
      <c r="G227" s="84">
        <f t="shared" si="6"/>
        <v>10078.01</v>
      </c>
      <c r="H227" s="85">
        <f t="shared" si="7"/>
        <v>1.007801E9</v>
      </c>
      <c r="J227" s="86"/>
      <c r="K227" s="86"/>
      <c r="L227" s="86"/>
    </row>
    <row r="228" spans="8:8" s="81" ht="15.75" customFormat="1">
      <c r="A228" s="18" t="s">
        <v>237</v>
      </c>
      <c r="B228" s="82" t="s">
        <v>196</v>
      </c>
      <c r="C228" s="83">
        <v>0.01</v>
      </c>
      <c r="D228" s="83">
        <v>9864.0</v>
      </c>
      <c r="E228" s="84">
        <v>47.0</v>
      </c>
      <c r="F228" s="84">
        <v>50.0</v>
      </c>
      <c r="G228" s="84">
        <f t="shared" si="6"/>
        <v>9961.01</v>
      </c>
      <c r="H228" s="85">
        <f t="shared" si="7"/>
        <v>9.96101E8</v>
      </c>
      <c r="J228" s="86"/>
      <c r="K228" s="86"/>
      <c r="L228" s="86"/>
    </row>
    <row r="229" spans="8:8" s="81" ht="15.75" customFormat="1">
      <c r="A229" s="18" t="s">
        <v>238</v>
      </c>
      <c r="B229" s="82" t="s">
        <v>196</v>
      </c>
      <c r="C229" s="83">
        <v>0.01</v>
      </c>
      <c r="D229" s="83">
        <v>9981.0</v>
      </c>
      <c r="E229" s="84">
        <v>47.0</v>
      </c>
      <c r="F229" s="84">
        <v>50.0</v>
      </c>
      <c r="G229" s="84">
        <f t="shared" si="6"/>
        <v>10078.01</v>
      </c>
      <c r="H229" s="85">
        <f t="shared" si="7"/>
        <v>1.007801E9</v>
      </c>
      <c r="J229" s="86"/>
      <c r="K229" s="86"/>
      <c r="L229" s="86"/>
    </row>
    <row r="230" spans="8:8" s="81" ht="15.75" customFormat="1">
      <c r="A230" s="18" t="s">
        <v>239</v>
      </c>
      <c r="B230" s="82" t="s">
        <v>196</v>
      </c>
      <c r="C230" s="83">
        <v>0.01</v>
      </c>
      <c r="D230" s="83">
        <v>9981.0</v>
      </c>
      <c r="E230" s="84">
        <v>47.0</v>
      </c>
      <c r="F230" s="84">
        <v>50.0</v>
      </c>
      <c r="G230" s="84">
        <f t="shared" si="6"/>
        <v>10078.01</v>
      </c>
      <c r="H230" s="85">
        <f t="shared" si="7"/>
        <v>1.007801E9</v>
      </c>
      <c r="J230" s="86"/>
      <c r="K230" s="86"/>
      <c r="L230" s="86"/>
    </row>
    <row r="231" spans="8:8" s="81" ht="15.75" customFormat="1">
      <c r="A231" s="18" t="s">
        <v>240</v>
      </c>
      <c r="B231" s="82" t="s">
        <v>196</v>
      </c>
      <c r="C231" s="83">
        <v>0.01</v>
      </c>
      <c r="D231" s="83">
        <v>9981.0</v>
      </c>
      <c r="E231" s="84">
        <v>47.0</v>
      </c>
      <c r="F231" s="84">
        <v>50.0</v>
      </c>
      <c r="G231" s="84">
        <f t="shared" si="6"/>
        <v>10078.01</v>
      </c>
      <c r="H231" s="85">
        <f t="shared" si="7"/>
        <v>1.007801E9</v>
      </c>
      <c r="J231" s="86"/>
      <c r="K231" s="86"/>
      <c r="L231" s="86"/>
    </row>
    <row r="232" spans="8:8" s="81" ht="15.75" customFormat="1">
      <c r="A232" s="18" t="s">
        <v>241</v>
      </c>
      <c r="B232" s="82" t="s">
        <v>196</v>
      </c>
      <c r="C232" s="83">
        <v>0.01</v>
      </c>
      <c r="D232" s="83">
        <v>9981.0</v>
      </c>
      <c r="E232" s="84">
        <v>47.0</v>
      </c>
      <c r="F232" s="84">
        <v>50.0</v>
      </c>
      <c r="G232" s="84">
        <f t="shared" si="6"/>
        <v>10078.01</v>
      </c>
      <c r="H232" s="85">
        <f t="shared" si="7"/>
        <v>1.007801E9</v>
      </c>
      <c r="J232" s="86"/>
      <c r="K232" s="86"/>
      <c r="L232" s="86"/>
    </row>
    <row r="233" spans="8:8" s="81" ht="15.75" customFormat="1">
      <c r="A233" s="18" t="s">
        <v>242</v>
      </c>
      <c r="B233" s="82" t="s">
        <v>196</v>
      </c>
      <c r="C233" s="83">
        <v>0.01</v>
      </c>
      <c r="D233" s="83">
        <v>9981.0</v>
      </c>
      <c r="E233" s="84">
        <v>47.0</v>
      </c>
      <c r="F233" s="84">
        <v>50.0</v>
      </c>
      <c r="G233" s="84">
        <f t="shared" si="6"/>
        <v>10078.01</v>
      </c>
      <c r="H233" s="85">
        <f t="shared" si="7"/>
        <v>1.007801E9</v>
      </c>
      <c r="J233" s="86"/>
      <c r="K233" s="86"/>
      <c r="L233" s="86"/>
    </row>
    <row r="234" spans="8:8" s="81" ht="15.75" customFormat="1">
      <c r="A234" s="18" t="s">
        <v>243</v>
      </c>
      <c r="B234" s="82" t="s">
        <v>196</v>
      </c>
      <c r="C234" s="83">
        <v>0.01</v>
      </c>
      <c r="D234" s="83">
        <v>9981.0</v>
      </c>
      <c r="E234" s="84">
        <v>47.0</v>
      </c>
      <c r="F234" s="84">
        <v>50.0</v>
      </c>
      <c r="G234" s="84">
        <f t="shared" si="6"/>
        <v>10078.01</v>
      </c>
      <c r="H234" s="85">
        <f t="shared" si="7"/>
        <v>1.007801E9</v>
      </c>
      <c r="J234" s="86"/>
      <c r="K234" s="86"/>
      <c r="L234" s="86"/>
    </row>
    <row r="235" spans="8:8" s="81" ht="15.75" customFormat="1">
      <c r="A235" s="18" t="s">
        <v>244</v>
      </c>
      <c r="B235" s="82" t="s">
        <v>196</v>
      </c>
      <c r="C235" s="83">
        <v>0.01</v>
      </c>
      <c r="D235" s="83">
        <v>9981.0</v>
      </c>
      <c r="E235" s="84">
        <v>47.0</v>
      </c>
      <c r="F235" s="84">
        <v>50.0</v>
      </c>
      <c r="G235" s="84">
        <f t="shared" si="6"/>
        <v>10078.01</v>
      </c>
      <c r="H235" s="85">
        <f t="shared" si="7"/>
        <v>1.007801E9</v>
      </c>
      <c r="J235" s="86"/>
      <c r="K235" s="86"/>
      <c r="L235" s="86"/>
    </row>
    <row r="236" spans="8:8" s="81" ht="15.75" customFormat="1">
      <c r="A236" s="18" t="s">
        <v>245</v>
      </c>
      <c r="B236" s="82" t="s">
        <v>196</v>
      </c>
      <c r="C236" s="83">
        <v>0.01</v>
      </c>
      <c r="D236" s="83">
        <v>9855.0</v>
      </c>
      <c r="E236" s="84">
        <v>47.0</v>
      </c>
      <c r="F236" s="84">
        <v>50.0</v>
      </c>
      <c r="G236" s="84">
        <f t="shared" si="6"/>
        <v>9952.01</v>
      </c>
      <c r="H236" s="85">
        <f t="shared" si="7"/>
        <v>9.95201E8</v>
      </c>
      <c r="J236" s="86"/>
      <c r="K236" s="86"/>
      <c r="L236" s="86"/>
    </row>
    <row r="237" spans="8:8" s="81" ht="15.75" customFormat="1">
      <c r="A237" s="18" t="s">
        <v>246</v>
      </c>
      <c r="B237" s="82" t="s">
        <v>196</v>
      </c>
      <c r="C237" s="83">
        <v>0.01</v>
      </c>
      <c r="D237" s="83">
        <v>9864.0</v>
      </c>
      <c r="E237" s="84">
        <v>47.0</v>
      </c>
      <c r="F237" s="84">
        <v>50.0</v>
      </c>
      <c r="G237" s="84">
        <f t="shared" si="6"/>
        <v>9961.01</v>
      </c>
      <c r="H237" s="85">
        <f t="shared" si="7"/>
        <v>9.96101E8</v>
      </c>
      <c r="J237" s="86"/>
      <c r="K237" s="86"/>
      <c r="L237" s="86"/>
    </row>
    <row r="238" spans="8:8" s="81" ht="15.75" customFormat="1">
      <c r="A238" s="18" t="s">
        <v>247</v>
      </c>
      <c r="B238" s="82" t="s">
        <v>196</v>
      </c>
      <c r="C238" s="83">
        <v>0.01</v>
      </c>
      <c r="D238" s="83">
        <v>9981.0</v>
      </c>
      <c r="E238" s="84">
        <v>47.0</v>
      </c>
      <c r="F238" s="84">
        <v>50.0</v>
      </c>
      <c r="G238" s="84">
        <f t="shared" si="6"/>
        <v>10078.01</v>
      </c>
      <c r="H238" s="85">
        <f t="shared" si="7"/>
        <v>1.007801E9</v>
      </c>
      <c r="J238" s="86"/>
      <c r="K238" s="86"/>
      <c r="L238" s="86"/>
    </row>
    <row r="239" spans="8:8" s="81" ht="15.75" customFormat="1">
      <c r="A239" s="18" t="s">
        <v>248</v>
      </c>
      <c r="B239" s="82" t="s">
        <v>196</v>
      </c>
      <c r="C239" s="83">
        <v>0.01</v>
      </c>
      <c r="D239" s="83">
        <v>9981.0</v>
      </c>
      <c r="E239" s="84">
        <v>47.0</v>
      </c>
      <c r="F239" s="84">
        <v>50.0</v>
      </c>
      <c r="G239" s="84">
        <f t="shared" si="6"/>
        <v>10078.01</v>
      </c>
      <c r="H239" s="85">
        <f t="shared" si="7"/>
        <v>1.007801E9</v>
      </c>
      <c r="J239" s="86"/>
      <c r="K239" s="86"/>
      <c r="L239" s="86"/>
    </row>
    <row r="240" spans="8:8" s="81" ht="15.75" customFormat="1">
      <c r="A240" s="18" t="s">
        <v>249</v>
      </c>
      <c r="B240" s="82" t="s">
        <v>196</v>
      </c>
      <c r="C240" s="83">
        <v>0.01</v>
      </c>
      <c r="D240" s="83">
        <v>9981.0</v>
      </c>
      <c r="E240" s="84">
        <v>47.0</v>
      </c>
      <c r="F240" s="84">
        <v>50.0</v>
      </c>
      <c r="G240" s="84">
        <f t="shared" si="6"/>
        <v>10078.01</v>
      </c>
      <c r="H240" s="85">
        <f t="shared" si="7"/>
        <v>1.007801E9</v>
      </c>
      <c r="J240" s="86"/>
      <c r="K240" s="86"/>
      <c r="L240" s="86"/>
    </row>
    <row r="241" spans="8:8" s="81" ht="15.75" customFormat="1">
      <c r="A241" s="18" t="s">
        <v>250</v>
      </c>
      <c r="B241" s="82" t="s">
        <v>196</v>
      </c>
      <c r="C241" s="83">
        <v>0.01</v>
      </c>
      <c r="D241" s="83">
        <v>9981.0</v>
      </c>
      <c r="E241" s="84">
        <v>47.0</v>
      </c>
      <c r="F241" s="84">
        <v>50.0</v>
      </c>
      <c r="G241" s="84">
        <f t="shared" si="6"/>
        <v>10078.01</v>
      </c>
      <c r="H241" s="85">
        <f t="shared" si="7"/>
        <v>1.007801E9</v>
      </c>
      <c r="J241" s="86"/>
      <c r="K241" s="86"/>
      <c r="L241" s="86"/>
    </row>
    <row r="242" spans="8:8" s="81" ht="15.75" customFormat="1">
      <c r="A242" s="18" t="s">
        <v>251</v>
      </c>
      <c r="B242" s="82" t="s">
        <v>196</v>
      </c>
      <c r="C242" s="83">
        <v>0.01</v>
      </c>
      <c r="D242" s="83">
        <v>9981.0</v>
      </c>
      <c r="E242" s="84">
        <v>47.0</v>
      </c>
      <c r="F242" s="84">
        <v>50.0</v>
      </c>
      <c r="G242" s="84">
        <f t="shared" si="6"/>
        <v>10078.01</v>
      </c>
      <c r="H242" s="85">
        <f t="shared" si="7"/>
        <v>1.007801E9</v>
      </c>
      <c r="J242" s="86"/>
      <c r="K242" s="86"/>
      <c r="L242" s="86"/>
    </row>
    <row r="243" spans="8:8" s="81" ht="15.75" customFormat="1">
      <c r="A243" s="18" t="s">
        <v>252</v>
      </c>
      <c r="B243" s="82" t="s">
        <v>196</v>
      </c>
      <c r="C243" s="83">
        <v>0.01</v>
      </c>
      <c r="D243" s="83">
        <v>9981.0</v>
      </c>
      <c r="E243" s="84">
        <v>47.0</v>
      </c>
      <c r="F243" s="84">
        <v>50.0</v>
      </c>
      <c r="G243" s="84">
        <f t="shared" si="6"/>
        <v>10078.01</v>
      </c>
      <c r="H243" s="85">
        <f t="shared" si="7"/>
        <v>1.007801E9</v>
      </c>
      <c r="J243" s="86"/>
      <c r="K243" s="86"/>
      <c r="L243" s="86"/>
    </row>
    <row r="244" spans="8:8" s="81" ht="15.75" customFormat="1">
      <c r="A244" s="18" t="s">
        <v>253</v>
      </c>
      <c r="B244" s="82" t="s">
        <v>196</v>
      </c>
      <c r="C244" s="83">
        <v>0.01</v>
      </c>
      <c r="D244" s="83">
        <v>9981.0</v>
      </c>
      <c r="E244" s="84">
        <v>47.0</v>
      </c>
      <c r="F244" s="84">
        <v>50.0</v>
      </c>
      <c r="G244" s="84">
        <f t="shared" si="8" ref="G244:G271">SUM(C244:F244)</f>
        <v>10078.01</v>
      </c>
      <c r="H244" s="85">
        <f t="shared" si="7"/>
        <v>1.007801E9</v>
      </c>
      <c r="J244" s="86"/>
      <c r="K244" s="86"/>
      <c r="L244" s="86"/>
    </row>
    <row r="245" spans="8:8" s="81" ht="15.75" customFormat="1">
      <c r="A245" s="18" t="s">
        <v>254</v>
      </c>
      <c r="B245" s="82" t="s">
        <v>196</v>
      </c>
      <c r="C245" s="83">
        <v>0.01</v>
      </c>
      <c r="D245" s="83">
        <v>9864.0</v>
      </c>
      <c r="E245" s="84">
        <v>47.0</v>
      </c>
      <c r="F245" s="84">
        <v>50.0</v>
      </c>
      <c r="G245" s="84">
        <f t="shared" si="8"/>
        <v>9961.01</v>
      </c>
      <c r="H245" s="85">
        <f t="shared" si="9" ref="H245:H281">G245*100000</f>
        <v>9.96101E8</v>
      </c>
      <c r="J245" s="86"/>
      <c r="K245" s="86"/>
      <c r="L245" s="86"/>
    </row>
    <row r="246" spans="8:8" s="81" ht="15.75" customFormat="1">
      <c r="A246" s="18" t="s">
        <v>255</v>
      </c>
      <c r="B246" s="82" t="s">
        <v>196</v>
      </c>
      <c r="C246" s="83">
        <v>0.01</v>
      </c>
      <c r="D246" s="83">
        <v>9981.0</v>
      </c>
      <c r="E246" s="84">
        <v>47.0</v>
      </c>
      <c r="F246" s="84">
        <v>50.0</v>
      </c>
      <c r="G246" s="84">
        <f t="shared" si="8"/>
        <v>10078.01</v>
      </c>
      <c r="H246" s="85">
        <f t="shared" si="9"/>
        <v>1.007801E9</v>
      </c>
      <c r="J246" s="86"/>
      <c r="K246" s="86"/>
      <c r="L246" s="86"/>
    </row>
    <row r="247" spans="8:8" s="81" ht="15.75" customFormat="1">
      <c r="A247" s="18" t="s">
        <v>256</v>
      </c>
      <c r="B247" s="82" t="s">
        <v>196</v>
      </c>
      <c r="C247" s="83">
        <v>0.01</v>
      </c>
      <c r="D247" s="83">
        <v>9981.0</v>
      </c>
      <c r="E247" s="84">
        <v>47.0</v>
      </c>
      <c r="F247" s="84">
        <v>50.0</v>
      </c>
      <c r="G247" s="84">
        <f t="shared" si="8"/>
        <v>10078.01</v>
      </c>
      <c r="H247" s="85">
        <f t="shared" si="9"/>
        <v>1.007801E9</v>
      </c>
      <c r="J247" s="86"/>
      <c r="K247" s="86"/>
      <c r="L247" s="86"/>
    </row>
    <row r="248" spans="8:8" s="81" ht="15.75" customFormat="1">
      <c r="A248" s="18" t="s">
        <v>257</v>
      </c>
      <c r="B248" s="82" t="s">
        <v>196</v>
      </c>
      <c r="C248" s="83">
        <v>0.01</v>
      </c>
      <c r="D248" s="83">
        <v>9828.0</v>
      </c>
      <c r="E248" s="84">
        <v>47.0</v>
      </c>
      <c r="F248" s="84">
        <v>50.0</v>
      </c>
      <c r="G248" s="84">
        <f t="shared" si="8"/>
        <v>9925.01</v>
      </c>
      <c r="H248" s="85">
        <f t="shared" si="9"/>
        <v>9.92501E8</v>
      </c>
      <c r="J248" s="86"/>
      <c r="K248" s="86"/>
      <c r="L248" s="86"/>
    </row>
    <row r="249" spans="8:8" s="81" ht="15.75" customFormat="1">
      <c r="A249" s="18" t="s">
        <v>258</v>
      </c>
      <c r="B249" s="82" t="s">
        <v>196</v>
      </c>
      <c r="C249" s="83">
        <v>0.01</v>
      </c>
      <c r="D249" s="83">
        <v>9981.0</v>
      </c>
      <c r="E249" s="84">
        <v>47.0</v>
      </c>
      <c r="F249" s="84">
        <v>50.0</v>
      </c>
      <c r="G249" s="84">
        <f t="shared" si="8"/>
        <v>10078.01</v>
      </c>
      <c r="H249" s="85">
        <f t="shared" si="9"/>
        <v>1.007801E9</v>
      </c>
      <c r="J249" s="86"/>
      <c r="K249" s="86"/>
      <c r="L249" s="86"/>
    </row>
    <row r="250" spans="8:8" s="81" ht="15.75" customFormat="1">
      <c r="A250" s="18" t="s">
        <v>259</v>
      </c>
      <c r="B250" s="82" t="s">
        <v>196</v>
      </c>
      <c r="C250" s="83">
        <v>0.01</v>
      </c>
      <c r="D250" s="83">
        <v>9981.0</v>
      </c>
      <c r="E250" s="84">
        <v>47.0</v>
      </c>
      <c r="F250" s="84">
        <v>50.0</v>
      </c>
      <c r="G250" s="84">
        <f t="shared" si="8"/>
        <v>10078.01</v>
      </c>
      <c r="H250" s="85">
        <f t="shared" si="9"/>
        <v>1.007801E9</v>
      </c>
      <c r="J250" s="86"/>
      <c r="K250" s="86"/>
      <c r="L250" s="86"/>
    </row>
    <row r="251" spans="8:8" s="81" ht="15.75" customFormat="1">
      <c r="A251" s="18" t="s">
        <v>260</v>
      </c>
      <c r="B251" s="82" t="s">
        <v>196</v>
      </c>
      <c r="C251" s="83">
        <v>0.01</v>
      </c>
      <c r="D251" s="83">
        <v>9828.0</v>
      </c>
      <c r="E251" s="84">
        <v>47.0</v>
      </c>
      <c r="F251" s="84">
        <v>50.0</v>
      </c>
      <c r="G251" s="84">
        <f t="shared" si="8"/>
        <v>9925.01</v>
      </c>
      <c r="H251" s="85">
        <f t="shared" si="9"/>
        <v>9.92501E8</v>
      </c>
      <c r="J251" s="86"/>
      <c r="K251" s="86"/>
      <c r="L251" s="86"/>
    </row>
    <row r="252" spans="8:8" s="81" ht="15.75" customFormat="1">
      <c r="A252" s="18" t="s">
        <v>261</v>
      </c>
      <c r="B252" s="82" t="s">
        <v>196</v>
      </c>
      <c r="C252" s="83">
        <v>0.01</v>
      </c>
      <c r="D252" s="83">
        <v>9864.0</v>
      </c>
      <c r="E252" s="84">
        <v>47.0</v>
      </c>
      <c r="F252" s="84">
        <v>50.0</v>
      </c>
      <c r="G252" s="84">
        <f t="shared" si="8"/>
        <v>9961.01</v>
      </c>
      <c r="H252" s="85">
        <f t="shared" si="9"/>
        <v>9.96101E8</v>
      </c>
      <c r="J252" s="86"/>
      <c r="K252" s="86"/>
      <c r="L252" s="86"/>
    </row>
    <row r="253" spans="8:8" s="81" ht="15.75" customFormat="1">
      <c r="A253" s="18" t="s">
        <v>262</v>
      </c>
      <c r="B253" s="82" t="s">
        <v>196</v>
      </c>
      <c r="C253" s="83">
        <v>0.01</v>
      </c>
      <c r="D253" s="83">
        <v>13104.0</v>
      </c>
      <c r="E253" s="84">
        <v>47.0</v>
      </c>
      <c r="F253" s="84">
        <v>50.0</v>
      </c>
      <c r="G253" s="84">
        <f t="shared" si="8"/>
        <v>13201.01</v>
      </c>
      <c r="H253" s="85">
        <f t="shared" si="9"/>
        <v>1.320101E9</v>
      </c>
      <c r="J253" s="86"/>
      <c r="K253" s="86"/>
      <c r="L253" s="86"/>
    </row>
    <row r="254" spans="8:8" s="81" ht="15.75" customFormat="1">
      <c r="A254" s="18" t="s">
        <v>263</v>
      </c>
      <c r="B254" s="82" t="s">
        <v>196</v>
      </c>
      <c r="C254" s="83">
        <v>0.01</v>
      </c>
      <c r="D254" s="83">
        <v>9981.0</v>
      </c>
      <c r="E254" s="84">
        <v>47.0</v>
      </c>
      <c r="F254" s="84">
        <v>50.0</v>
      </c>
      <c r="G254" s="84">
        <f t="shared" si="8"/>
        <v>10078.01</v>
      </c>
      <c r="H254" s="85">
        <f t="shared" si="9"/>
        <v>1.007801E9</v>
      </c>
      <c r="J254" s="86"/>
      <c r="K254" s="86"/>
      <c r="L254" s="86"/>
    </row>
    <row r="255" spans="8:8" s="81" ht="15.75" customFormat="1">
      <c r="A255" s="18" t="s">
        <v>264</v>
      </c>
      <c r="B255" s="82" t="s">
        <v>196</v>
      </c>
      <c r="C255" s="83">
        <v>0.01</v>
      </c>
      <c r="D255" s="83">
        <v>9864.0</v>
      </c>
      <c r="E255" s="84">
        <v>47.0</v>
      </c>
      <c r="F255" s="84">
        <v>50.0</v>
      </c>
      <c r="G255" s="84">
        <f t="shared" si="8"/>
        <v>9961.01</v>
      </c>
      <c r="H255" s="85">
        <f t="shared" si="9"/>
        <v>9.96101E8</v>
      </c>
      <c r="J255" s="86"/>
      <c r="K255" s="86"/>
      <c r="L255" s="86"/>
    </row>
    <row r="256" spans="8:8" s="81" ht="15.75" customFormat="1">
      <c r="A256" s="18" t="s">
        <v>265</v>
      </c>
      <c r="B256" s="82" t="s">
        <v>196</v>
      </c>
      <c r="C256" s="83">
        <v>0.01</v>
      </c>
      <c r="D256" s="83">
        <v>9981.0</v>
      </c>
      <c r="E256" s="84">
        <v>47.0</v>
      </c>
      <c r="F256" s="84">
        <v>50.0</v>
      </c>
      <c r="G256" s="84">
        <f t="shared" si="8"/>
        <v>10078.01</v>
      </c>
      <c r="H256" s="85">
        <f t="shared" si="9"/>
        <v>1.007801E9</v>
      </c>
      <c r="J256" s="86"/>
      <c r="K256" s="86"/>
      <c r="L256" s="86"/>
    </row>
    <row r="257" spans="8:8" s="81" ht="15.75" customFormat="1">
      <c r="A257" s="18" t="s">
        <v>266</v>
      </c>
      <c r="B257" s="82" t="s">
        <v>196</v>
      </c>
      <c r="C257" s="83">
        <v>0.01</v>
      </c>
      <c r="D257" s="83">
        <v>9981.0</v>
      </c>
      <c r="E257" s="84">
        <v>47.0</v>
      </c>
      <c r="F257" s="84">
        <v>50.0</v>
      </c>
      <c r="G257" s="84">
        <f t="shared" si="8"/>
        <v>10078.01</v>
      </c>
      <c r="H257" s="85">
        <f t="shared" si="9"/>
        <v>1.007801E9</v>
      </c>
      <c r="J257" s="86"/>
      <c r="K257" s="86"/>
      <c r="L257" s="86"/>
    </row>
    <row r="258" spans="8:8" s="81" ht="15.75" customFormat="1">
      <c r="A258" s="18" t="s">
        <v>267</v>
      </c>
      <c r="B258" s="82" t="s">
        <v>196</v>
      </c>
      <c r="C258" s="83">
        <v>0.01</v>
      </c>
      <c r="D258" s="83">
        <v>9981.0</v>
      </c>
      <c r="E258" s="84">
        <v>47.0</v>
      </c>
      <c r="F258" s="84">
        <v>50.0</v>
      </c>
      <c r="G258" s="84">
        <f t="shared" si="8"/>
        <v>10078.01</v>
      </c>
      <c r="H258" s="85">
        <f t="shared" si="9"/>
        <v>1.007801E9</v>
      </c>
      <c r="J258" s="86"/>
      <c r="K258" s="86"/>
      <c r="L258" s="86"/>
    </row>
    <row r="259" spans="8:8" s="81" ht="15.75" customFormat="1">
      <c r="A259" s="18" t="s">
        <v>268</v>
      </c>
      <c r="B259" s="82" t="s">
        <v>196</v>
      </c>
      <c r="C259" s="83">
        <v>0.01</v>
      </c>
      <c r="D259" s="83">
        <v>9981.0</v>
      </c>
      <c r="E259" s="84">
        <v>47.0</v>
      </c>
      <c r="F259" s="84">
        <v>50.0</v>
      </c>
      <c r="G259" s="84">
        <f t="shared" si="8"/>
        <v>10078.01</v>
      </c>
      <c r="H259" s="85">
        <f t="shared" si="9"/>
        <v>1.007801E9</v>
      </c>
      <c r="J259" s="86"/>
      <c r="K259" s="86"/>
      <c r="L259" s="86"/>
    </row>
    <row r="260" spans="8:8" s="81" ht="15.75" customFormat="1">
      <c r="A260" s="18" t="s">
        <v>269</v>
      </c>
      <c r="B260" s="82" t="s">
        <v>196</v>
      </c>
      <c r="C260" s="83">
        <v>0.01</v>
      </c>
      <c r="D260" s="83">
        <v>9837.0</v>
      </c>
      <c r="E260" s="84">
        <v>47.0</v>
      </c>
      <c r="F260" s="84">
        <v>50.0</v>
      </c>
      <c r="G260" s="84">
        <f t="shared" si="8"/>
        <v>9934.01</v>
      </c>
      <c r="H260" s="85">
        <f t="shared" si="9"/>
        <v>9.93401E8</v>
      </c>
      <c r="J260" s="86"/>
      <c r="K260" s="86"/>
      <c r="L260" s="86"/>
    </row>
    <row r="261" spans="8:8" s="81" ht="15.75" customFormat="1">
      <c r="A261" s="18" t="s">
        <v>270</v>
      </c>
      <c r="B261" s="82" t="s">
        <v>196</v>
      </c>
      <c r="C261" s="83">
        <v>0.01</v>
      </c>
      <c r="D261" s="83">
        <v>9981.0</v>
      </c>
      <c r="E261" s="84">
        <v>47.0</v>
      </c>
      <c r="F261" s="84">
        <v>50.0</v>
      </c>
      <c r="G261" s="84">
        <f t="shared" si="8"/>
        <v>10078.01</v>
      </c>
      <c r="H261" s="85">
        <f t="shared" si="9"/>
        <v>1.007801E9</v>
      </c>
      <c r="J261" s="86"/>
      <c r="K261" s="86"/>
      <c r="L261" s="86"/>
    </row>
    <row r="262" spans="8:8" s="81" ht="15.75" customFormat="1">
      <c r="A262" s="18" t="s">
        <v>271</v>
      </c>
      <c r="B262" s="82" t="s">
        <v>196</v>
      </c>
      <c r="C262" s="83">
        <v>0.01</v>
      </c>
      <c r="D262" s="83">
        <v>9981.0</v>
      </c>
      <c r="E262" s="84">
        <v>47.0</v>
      </c>
      <c r="F262" s="84">
        <v>50.0</v>
      </c>
      <c r="G262" s="84">
        <f t="shared" si="8"/>
        <v>10078.01</v>
      </c>
      <c r="H262" s="85">
        <f t="shared" si="9"/>
        <v>1.007801E9</v>
      </c>
      <c r="J262" s="86"/>
      <c r="K262" s="86"/>
      <c r="L262" s="86"/>
    </row>
    <row r="263" spans="8:8" s="81" ht="15.75" customFormat="1">
      <c r="A263" s="18" t="s">
        <v>272</v>
      </c>
      <c r="B263" s="82" t="s">
        <v>196</v>
      </c>
      <c r="C263" s="83">
        <v>0.01</v>
      </c>
      <c r="D263" s="83">
        <v>9981.0</v>
      </c>
      <c r="E263" s="84">
        <v>47.0</v>
      </c>
      <c r="F263" s="84">
        <v>50.0</v>
      </c>
      <c r="G263" s="84">
        <f t="shared" si="8"/>
        <v>10078.01</v>
      </c>
      <c r="H263" s="85">
        <f t="shared" si="9"/>
        <v>1.007801E9</v>
      </c>
      <c r="J263" s="86"/>
      <c r="K263" s="86"/>
      <c r="L263" s="86"/>
    </row>
    <row r="264" spans="8:8" s="81" ht="15.75" customFormat="1">
      <c r="A264" s="18" t="s">
        <v>273</v>
      </c>
      <c r="B264" s="82" t="s">
        <v>196</v>
      </c>
      <c r="C264" s="83">
        <v>0.01</v>
      </c>
      <c r="D264" s="83">
        <v>9864.0</v>
      </c>
      <c r="E264" s="84">
        <v>47.0</v>
      </c>
      <c r="F264" s="84">
        <v>50.0</v>
      </c>
      <c r="G264" s="84">
        <f t="shared" si="8"/>
        <v>9961.01</v>
      </c>
      <c r="H264" s="85">
        <f t="shared" si="9"/>
        <v>9.96101E8</v>
      </c>
      <c r="J264" s="86"/>
      <c r="K264" s="86"/>
      <c r="L264" s="86"/>
    </row>
    <row r="265" spans="8:8" s="81" ht="15.75" customFormat="1">
      <c r="A265" s="18" t="s">
        <v>274</v>
      </c>
      <c r="B265" s="82" t="s">
        <v>196</v>
      </c>
      <c r="C265" s="83">
        <v>0.01</v>
      </c>
      <c r="D265" s="83">
        <v>9981.0</v>
      </c>
      <c r="E265" s="84">
        <v>47.0</v>
      </c>
      <c r="F265" s="84">
        <v>50.0</v>
      </c>
      <c r="G265" s="84">
        <f t="shared" si="8"/>
        <v>10078.01</v>
      </c>
      <c r="H265" s="85">
        <f t="shared" si="9"/>
        <v>1.007801E9</v>
      </c>
      <c r="J265" s="86"/>
      <c r="K265" s="86"/>
      <c r="L265" s="86"/>
    </row>
    <row r="266" spans="8:8" s="81" ht="15.75" customFormat="1">
      <c r="A266" s="18" t="s">
        <v>275</v>
      </c>
      <c r="B266" s="82" t="s">
        <v>196</v>
      </c>
      <c r="C266" s="83">
        <v>0.01</v>
      </c>
      <c r="D266" s="83">
        <v>9981.0</v>
      </c>
      <c r="E266" s="84">
        <v>47.0</v>
      </c>
      <c r="F266" s="84">
        <v>50.0</v>
      </c>
      <c r="G266" s="84">
        <f t="shared" si="8"/>
        <v>10078.01</v>
      </c>
      <c r="H266" s="85">
        <f t="shared" si="9"/>
        <v>1.007801E9</v>
      </c>
      <c r="J266" s="86"/>
      <c r="K266" s="86"/>
      <c r="L266" s="86"/>
    </row>
    <row r="267" spans="8:8" s="81" ht="15.75" customFormat="1">
      <c r="A267" s="18" t="s">
        <v>276</v>
      </c>
      <c r="B267" s="82" t="s">
        <v>196</v>
      </c>
      <c r="C267" s="83">
        <v>0.01</v>
      </c>
      <c r="D267" s="83">
        <v>9864.0</v>
      </c>
      <c r="E267" s="84">
        <v>47.0</v>
      </c>
      <c r="F267" s="84">
        <v>50.0</v>
      </c>
      <c r="G267" s="84">
        <f t="shared" si="8"/>
        <v>9961.01</v>
      </c>
      <c r="H267" s="85">
        <f t="shared" si="9"/>
        <v>9.96101E8</v>
      </c>
      <c r="J267" s="86"/>
      <c r="K267" s="86"/>
      <c r="L267" s="86"/>
    </row>
    <row r="268" spans="8:8" s="81" ht="15.75" customFormat="1">
      <c r="A268" s="18" t="s">
        <v>277</v>
      </c>
      <c r="B268" s="82" t="s">
        <v>196</v>
      </c>
      <c r="C268" s="83">
        <v>0.01</v>
      </c>
      <c r="D268" s="83">
        <v>9981.0</v>
      </c>
      <c r="E268" s="84">
        <v>47.0</v>
      </c>
      <c r="F268" s="84">
        <v>50.0</v>
      </c>
      <c r="G268" s="84">
        <f t="shared" si="8"/>
        <v>10078.01</v>
      </c>
      <c r="H268" s="85">
        <f t="shared" si="9"/>
        <v>1.007801E9</v>
      </c>
      <c r="J268" s="86"/>
      <c r="K268" s="86"/>
      <c r="L268" s="86"/>
    </row>
    <row r="269" spans="8:8" s="81" ht="15.75" customFormat="1">
      <c r="A269" s="88" t="s">
        <v>305</v>
      </c>
      <c r="B269" s="82" t="s">
        <v>196</v>
      </c>
      <c r="C269" s="83">
        <v>0.01</v>
      </c>
      <c r="D269" s="83">
        <v>16776.0</v>
      </c>
      <c r="E269" s="84">
        <v>47.0</v>
      </c>
      <c r="F269" s="84">
        <v>50.0</v>
      </c>
      <c r="G269" s="89">
        <f t="shared" si="8"/>
        <v>16873.01</v>
      </c>
      <c r="H269" s="85">
        <f t="shared" si="9"/>
        <v>1.6873009999999998E9</v>
      </c>
      <c r="J269" s="86"/>
      <c r="K269" s="86"/>
      <c r="L269" s="86"/>
    </row>
    <row r="270" spans="8:8" ht="15.75">
      <c r="A270" s="14" t="s">
        <v>279</v>
      </c>
      <c r="B270" s="90" t="s">
        <v>196</v>
      </c>
      <c r="C270" s="91">
        <v>0.01</v>
      </c>
      <c r="D270" s="91">
        <v>16893.0</v>
      </c>
      <c r="E270" s="92">
        <v>47.0</v>
      </c>
      <c r="F270" s="92">
        <v>50.0</v>
      </c>
      <c r="G270" s="92">
        <f t="shared" si="8"/>
        <v>16990.01</v>
      </c>
      <c r="H270" s="93">
        <f t="shared" si="9"/>
        <v>1.6990009999999998E9</v>
      </c>
    </row>
    <row r="271" spans="8:8" ht="15.75">
      <c r="A271" s="14" t="s">
        <v>280</v>
      </c>
      <c r="B271" s="90" t="s">
        <v>196</v>
      </c>
      <c r="C271" s="91">
        <v>2511.0</v>
      </c>
      <c r="D271" s="91">
        <v>9918.0</v>
      </c>
      <c r="E271" s="92">
        <v>47.0</v>
      </c>
      <c r="F271" s="92">
        <v>50.0</v>
      </c>
      <c r="G271" s="92">
        <f t="shared" si="8"/>
        <v>12526.0</v>
      </c>
      <c r="H271" s="93">
        <f t="shared" si="9"/>
        <v>1.2526E9</v>
      </c>
    </row>
    <row r="272" spans="8:8" ht="15.75">
      <c r="A272" s="14" t="s">
        <v>281</v>
      </c>
      <c r="B272" s="90" t="s">
        <v>282</v>
      </c>
      <c r="C272" s="74">
        <v>2000.0</v>
      </c>
      <c r="D272" s="94" t="s">
        <v>292</v>
      </c>
      <c r="E272" s="75"/>
      <c r="F272" s="75"/>
      <c r="G272" s="92">
        <f>(C272)</f>
        <v>2000.0</v>
      </c>
      <c r="H272" s="93">
        <f t="shared" si="9"/>
        <v>2.0E8</v>
      </c>
    </row>
    <row r="273" spans="8:8" ht="15.75">
      <c r="A273" s="14" t="s">
        <v>283</v>
      </c>
      <c r="B273" s="90" t="s">
        <v>282</v>
      </c>
      <c r="C273" s="91">
        <v>2000.0</v>
      </c>
      <c r="D273" s="94" t="s">
        <v>292</v>
      </c>
      <c r="E273" s="75"/>
      <c r="F273" s="75"/>
      <c r="G273" s="95">
        <f t="shared" si="10" ref="G273:G279">(C273)</f>
        <v>2000.0</v>
      </c>
      <c r="H273" s="93">
        <f t="shared" si="9"/>
        <v>2.0E8</v>
      </c>
    </row>
    <row r="274" spans="8:8" ht="15.75">
      <c r="A274" s="14" t="s">
        <v>284</v>
      </c>
      <c r="B274" s="82" t="s">
        <v>285</v>
      </c>
      <c r="C274" s="96">
        <v>50.0</v>
      </c>
      <c r="D274" s="94" t="s">
        <v>292</v>
      </c>
      <c r="E274" s="75"/>
      <c r="F274" s="75"/>
      <c r="G274" s="92">
        <f t="shared" si="10"/>
        <v>50.0</v>
      </c>
      <c r="H274" s="93">
        <f t="shared" si="9"/>
        <v>5000000.0</v>
      </c>
    </row>
    <row r="275" spans="8:8" ht="15.75">
      <c r="A275" s="14" t="s">
        <v>286</v>
      </c>
      <c r="B275" s="82" t="s">
        <v>285</v>
      </c>
      <c r="C275" s="96">
        <v>200.0</v>
      </c>
      <c r="D275" s="94" t="s">
        <v>292</v>
      </c>
      <c r="E275" s="75"/>
      <c r="F275" s="75"/>
      <c r="G275" s="92">
        <f t="shared" si="10"/>
        <v>200.0</v>
      </c>
      <c r="H275" s="93">
        <f t="shared" si="9"/>
        <v>2.0E7</v>
      </c>
    </row>
    <row r="276" spans="8:8" ht="15.75">
      <c r="A276" s="14" t="s">
        <v>4</v>
      </c>
      <c r="B276" s="82" t="s">
        <v>285</v>
      </c>
      <c r="C276" s="96">
        <v>47.0</v>
      </c>
      <c r="D276" s="94" t="s">
        <v>292</v>
      </c>
      <c r="E276" s="75"/>
      <c r="F276" s="75"/>
      <c r="G276" s="92">
        <f t="shared" si="10"/>
        <v>47.0</v>
      </c>
      <c r="H276" s="93">
        <f t="shared" si="9"/>
        <v>4700000.0</v>
      </c>
    </row>
    <row r="277" spans="8:8" ht="15.75">
      <c r="A277" s="14" t="s">
        <v>287</v>
      </c>
      <c r="B277" s="82" t="s">
        <v>285</v>
      </c>
      <c r="C277" s="96">
        <v>200.0</v>
      </c>
      <c r="D277" s="94" t="s">
        <v>292</v>
      </c>
      <c r="E277" s="75"/>
      <c r="F277" s="75"/>
      <c r="G277" s="92">
        <f t="shared" si="10"/>
        <v>200.0</v>
      </c>
      <c r="H277" s="93">
        <f t="shared" si="9"/>
        <v>2.0E7</v>
      </c>
    </row>
    <row r="278" spans="8:8" ht="15.75">
      <c r="A278" s="14" t="s">
        <v>5</v>
      </c>
      <c r="B278" s="82" t="s">
        <v>285</v>
      </c>
      <c r="C278" s="96">
        <v>50.0</v>
      </c>
      <c r="D278" s="94" t="s">
        <v>292</v>
      </c>
      <c r="E278" s="75"/>
      <c r="F278" s="75"/>
      <c r="G278" s="92">
        <f t="shared" si="10"/>
        <v>50.0</v>
      </c>
      <c r="H278" s="93">
        <f t="shared" si="9"/>
        <v>5000000.0</v>
      </c>
    </row>
    <row r="279" spans="8:8" ht="15.75">
      <c r="A279" s="14" t="s">
        <v>288</v>
      </c>
      <c r="B279" s="82" t="s">
        <v>285</v>
      </c>
      <c r="C279" s="97">
        <v>500.0</v>
      </c>
      <c r="D279" s="94" t="s">
        <v>292</v>
      </c>
      <c r="E279" s="75"/>
      <c r="F279" s="75"/>
      <c r="G279" s="89">
        <f t="shared" si="10"/>
        <v>500.0</v>
      </c>
      <c r="H279" s="93">
        <f t="shared" si="9"/>
        <v>5.0E7</v>
      </c>
    </row>
    <row r="280" spans="8:8" ht="15.75">
      <c r="A280" s="14" t="s">
        <v>289</v>
      </c>
      <c r="B280" s="82" t="s">
        <v>290</v>
      </c>
      <c r="C280" s="97">
        <v>0.01</v>
      </c>
      <c r="D280" s="97">
        <v>2961.0</v>
      </c>
      <c r="E280" s="92">
        <v>47.0</v>
      </c>
      <c r="F280" s="92">
        <v>50.0</v>
      </c>
      <c r="G280" s="98">
        <f>(C280+D280+E280+F280)</f>
        <v>3058.01</v>
      </c>
      <c r="H280" s="93">
        <f t="shared" si="9"/>
        <v>3.05801E8</v>
      </c>
    </row>
    <row r="281" spans="8:8" ht="15.75">
      <c r="A281" s="14" t="s">
        <v>291</v>
      </c>
      <c r="B281" s="82" t="s">
        <v>290</v>
      </c>
      <c r="C281" s="74">
        <v>1500.0</v>
      </c>
      <c r="D281" s="97">
        <v>936.0</v>
      </c>
      <c r="E281" s="92">
        <v>47.0</v>
      </c>
      <c r="F281" s="92">
        <v>50.0</v>
      </c>
      <c r="G281" s="99">
        <f>(C281+D281+E281+F281)</f>
        <v>2533.0</v>
      </c>
      <c r="H281" s="93">
        <f t="shared" si="9"/>
        <v>2.533E8</v>
      </c>
    </row>
  </sheetData>
  <pageMargins left="0.69" right="0.16" top="0.52" bottom="0.3" header="0.26" footer="0.16"/>
</worksheet>
</file>

<file path=xl/worksheets/sheet4.xml><?xml version="1.0" encoding="utf-8"?>
<worksheet xmlns:r="http://schemas.openxmlformats.org/officeDocument/2006/relationships" xmlns="http://schemas.openxmlformats.org/spreadsheetml/2006/main">
  <dimension ref="A1:I280"/>
  <sheetViews>
    <sheetView workbookViewId="0">
      <pane ySplit="1" topLeftCell="A32" state="frozen" activePane="bottomLeft"/>
      <selection pane="bottomLeft" activeCell="A48" sqref="A48:H49"/>
    </sheetView>
  </sheetViews>
  <sheetFormatPr defaultRowHeight="15.0" defaultColWidth="10"/>
  <cols>
    <col min="1" max="1" customWidth="1" width="44.140625" style="73"/>
    <col min="2" max="2" customWidth="1" bestFit="1" width="12.5703125" style="0"/>
    <col min="3" max="3" hidden="1" customWidth="1" width="12.425781" style="74"/>
    <col min="4" max="4" hidden="1" customWidth="1" width="15.285156" style="74"/>
    <col min="5" max="5" hidden="1" customWidth="1" width="12.855469" style="74"/>
    <col min="6" max="6" hidden="1" customWidth="1" width="18.140625" style="74"/>
    <col min="7" max="7" customWidth="1" width="11.140625" style="75"/>
    <col min="8" max="8" customWidth="1" bestFit="1" width="15.285156" style="0"/>
  </cols>
  <sheetData>
    <row r="1" spans="8:8" ht="15.75">
      <c r="A1" s="77" t="s">
        <v>0</v>
      </c>
      <c r="B1" s="77" t="s">
        <v>1</v>
      </c>
      <c r="C1" s="78" t="s">
        <v>2</v>
      </c>
      <c r="D1" s="78" t="s">
        <v>3</v>
      </c>
      <c r="E1" s="78" t="s">
        <v>4</v>
      </c>
      <c r="F1" s="78" t="s">
        <v>5</v>
      </c>
      <c r="G1" s="79" t="s">
        <v>294</v>
      </c>
      <c r="H1" s="80" t="s">
        <v>295</v>
      </c>
    </row>
    <row r="2" spans="8:8" ht="15.75">
      <c r="A2" s="14" t="s">
        <v>7</v>
      </c>
      <c r="B2" s="90" t="s">
        <v>8</v>
      </c>
      <c r="C2" s="97">
        <v>0.01</v>
      </c>
      <c r="D2" s="97">
        <v>354.0</v>
      </c>
      <c r="E2" s="92">
        <v>47.0</v>
      </c>
      <c r="F2" s="92">
        <v>15.0</v>
      </c>
      <c r="G2" s="92">
        <f t="shared" si="0" ref="G2:G33">SUM(C2:F2)</f>
        <v>416.01</v>
      </c>
      <c r="H2" s="93">
        <f>G2*100000</f>
        <v>4.1601E7</v>
      </c>
    </row>
    <row r="3" spans="8:8" ht="15.75">
      <c r="A3" s="14" t="s">
        <v>9</v>
      </c>
      <c r="B3" s="90" t="s">
        <v>8</v>
      </c>
      <c r="C3" s="97">
        <v>0.01</v>
      </c>
      <c r="D3" s="97">
        <v>354.0</v>
      </c>
      <c r="E3" s="92">
        <v>47.0</v>
      </c>
      <c r="F3" s="92">
        <v>15.0</v>
      </c>
      <c r="G3" s="92">
        <f t="shared" si="0"/>
        <v>416.01</v>
      </c>
      <c r="H3" s="93">
        <f t="shared" si="1" ref="H3:H66">G3*100000</f>
        <v>4.1601E7</v>
      </c>
    </row>
    <row r="4" spans="8:8" ht="15.75">
      <c r="A4" s="14" t="s">
        <v>10</v>
      </c>
      <c r="B4" s="90" t="s">
        <v>8</v>
      </c>
      <c r="C4" s="97">
        <v>0.01</v>
      </c>
      <c r="D4" s="97">
        <v>354.0</v>
      </c>
      <c r="E4" s="92">
        <v>47.0</v>
      </c>
      <c r="F4" s="92">
        <v>15.0</v>
      </c>
      <c r="G4" s="92">
        <f t="shared" si="0"/>
        <v>416.01</v>
      </c>
      <c r="H4" s="93">
        <f t="shared" si="1"/>
        <v>4.1601E7</v>
      </c>
    </row>
    <row r="5" spans="8:8" ht="15.75">
      <c r="A5" s="14" t="s">
        <v>11</v>
      </c>
      <c r="B5" s="90" t="s">
        <v>8</v>
      </c>
      <c r="C5" s="100">
        <v>0.01</v>
      </c>
      <c r="D5" s="100">
        <v>299.0</v>
      </c>
      <c r="E5" s="92">
        <v>47.0</v>
      </c>
      <c r="F5" s="92">
        <v>15.0</v>
      </c>
      <c r="G5" s="92">
        <f t="shared" si="0"/>
        <v>361.01</v>
      </c>
      <c r="H5" s="93">
        <f t="shared" si="1"/>
        <v>3.6101E7</v>
      </c>
    </row>
    <row r="6" spans="8:8" ht="15.75">
      <c r="A6" s="14" t="s">
        <v>12</v>
      </c>
      <c r="B6" s="90" t="s">
        <v>13</v>
      </c>
      <c r="C6" s="97">
        <v>210.0</v>
      </c>
      <c r="D6" s="97">
        <v>126.0</v>
      </c>
      <c r="E6" s="92">
        <v>47.0</v>
      </c>
      <c r="F6" s="92">
        <v>15.0</v>
      </c>
      <c r="G6" s="92">
        <f t="shared" si="0"/>
        <v>398.0</v>
      </c>
      <c r="H6" s="93">
        <f t="shared" si="1"/>
        <v>3.98E7</v>
      </c>
    </row>
    <row r="7" spans="8:8" ht="15.75">
      <c r="A7" s="14" t="s">
        <v>14</v>
      </c>
      <c r="B7" s="90" t="s">
        <v>13</v>
      </c>
      <c r="C7" s="97">
        <v>420.0</v>
      </c>
      <c r="D7" s="97">
        <v>156.0</v>
      </c>
      <c r="E7" s="92">
        <v>47.0</v>
      </c>
      <c r="F7" s="92">
        <v>15.0</v>
      </c>
      <c r="G7" s="92">
        <f t="shared" si="0"/>
        <v>638.0</v>
      </c>
      <c r="H7" s="93">
        <f t="shared" si="1"/>
        <v>6.38E7</v>
      </c>
    </row>
    <row r="8" spans="8:8" ht="15.75">
      <c r="A8" s="14" t="s">
        <v>15</v>
      </c>
      <c r="B8" s="90" t="s">
        <v>13</v>
      </c>
      <c r="C8" s="97">
        <v>178.0</v>
      </c>
      <c r="D8" s="97">
        <v>126.0</v>
      </c>
      <c r="E8" s="92">
        <v>47.0</v>
      </c>
      <c r="F8" s="92">
        <v>15.0</v>
      </c>
      <c r="G8" s="92">
        <f t="shared" si="0"/>
        <v>366.0</v>
      </c>
      <c r="H8" s="93">
        <f t="shared" si="1"/>
        <v>3.66E7</v>
      </c>
    </row>
    <row r="9" spans="8:8" ht="15.75">
      <c r="A9" s="14" t="s">
        <v>16</v>
      </c>
      <c r="B9" s="90" t="s">
        <v>13</v>
      </c>
      <c r="C9" s="97">
        <v>226.0</v>
      </c>
      <c r="D9" s="97">
        <v>126.0</v>
      </c>
      <c r="E9" s="92">
        <v>47.0</v>
      </c>
      <c r="F9" s="92">
        <v>15.0</v>
      </c>
      <c r="G9" s="92">
        <f t="shared" si="0"/>
        <v>414.0</v>
      </c>
      <c r="H9" s="93">
        <f t="shared" si="1"/>
        <v>4.14E7</v>
      </c>
    </row>
    <row r="10" spans="8:8" ht="15.75">
      <c r="A10" s="14" t="s">
        <v>17</v>
      </c>
      <c r="B10" s="90" t="s">
        <v>13</v>
      </c>
      <c r="C10" s="97">
        <v>787.0</v>
      </c>
      <c r="D10" s="97">
        <v>288.0</v>
      </c>
      <c r="E10" s="92">
        <v>47.0</v>
      </c>
      <c r="F10" s="92">
        <v>15.0</v>
      </c>
      <c r="G10" s="92">
        <f t="shared" si="0"/>
        <v>1137.0</v>
      </c>
      <c r="H10" s="93">
        <f t="shared" si="1"/>
        <v>1.137E8</v>
      </c>
    </row>
    <row r="11" spans="8:8" ht="15.75">
      <c r="A11" s="14" t="s">
        <v>18</v>
      </c>
      <c r="B11" s="90" t="s">
        <v>13</v>
      </c>
      <c r="C11" s="97">
        <v>417.0</v>
      </c>
      <c r="D11" s="97">
        <v>288.0</v>
      </c>
      <c r="E11" s="92">
        <v>47.0</v>
      </c>
      <c r="F11" s="92">
        <v>15.0</v>
      </c>
      <c r="G11" s="92">
        <f t="shared" si="0"/>
        <v>767.0</v>
      </c>
      <c r="H11" s="93">
        <f t="shared" si="1"/>
        <v>7.67E7</v>
      </c>
    </row>
    <row r="12" spans="8:8" ht="15.75">
      <c r="A12" s="14" t="s">
        <v>19</v>
      </c>
      <c r="B12" s="90" t="s">
        <v>13</v>
      </c>
      <c r="C12" s="97">
        <v>201.0</v>
      </c>
      <c r="D12" s="97">
        <v>288.0</v>
      </c>
      <c r="E12" s="92">
        <v>47.0</v>
      </c>
      <c r="F12" s="92">
        <v>15.0</v>
      </c>
      <c r="G12" s="92">
        <f t="shared" si="0"/>
        <v>551.0</v>
      </c>
      <c r="H12" s="93">
        <f t="shared" si="1"/>
        <v>5.51E7</v>
      </c>
    </row>
    <row r="13" spans="8:8" ht="15.75">
      <c r="A13" s="14" t="s">
        <v>20</v>
      </c>
      <c r="B13" s="90" t="s">
        <v>13</v>
      </c>
      <c r="C13" s="97">
        <v>219.0</v>
      </c>
      <c r="D13" s="97">
        <v>318.0</v>
      </c>
      <c r="E13" s="92">
        <v>47.0</v>
      </c>
      <c r="F13" s="92">
        <v>15.0</v>
      </c>
      <c r="G13" s="92">
        <f t="shared" si="0"/>
        <v>599.0</v>
      </c>
      <c r="H13" s="93">
        <f t="shared" si="1"/>
        <v>5.99E7</v>
      </c>
    </row>
    <row r="14" spans="8:8" ht="15.75">
      <c r="A14" s="18" t="s">
        <v>21</v>
      </c>
      <c r="B14" s="82" t="s">
        <v>13</v>
      </c>
      <c r="C14" s="96">
        <v>219.0</v>
      </c>
      <c r="D14" s="96">
        <v>636.0</v>
      </c>
      <c r="E14" s="92">
        <v>47.0</v>
      </c>
      <c r="F14" s="92">
        <v>15.0</v>
      </c>
      <c r="G14" s="92">
        <f t="shared" si="0"/>
        <v>917.0</v>
      </c>
      <c r="H14" s="93">
        <f t="shared" si="1"/>
        <v>9.17E7</v>
      </c>
    </row>
    <row r="15" spans="8:8" ht="15.75">
      <c r="A15" s="18" t="s">
        <v>22</v>
      </c>
      <c r="B15" s="82" t="s">
        <v>13</v>
      </c>
      <c r="C15" s="96">
        <v>219.0</v>
      </c>
      <c r="D15" s="96">
        <v>300.0</v>
      </c>
      <c r="E15" s="92">
        <v>47.0</v>
      </c>
      <c r="F15" s="92">
        <v>15.0</v>
      </c>
      <c r="G15" s="92">
        <f t="shared" si="0"/>
        <v>581.0</v>
      </c>
      <c r="H15" s="93">
        <f t="shared" si="1"/>
        <v>5.81E7</v>
      </c>
    </row>
    <row r="16" spans="8:8" ht="15.75">
      <c r="A16" s="18" t="s">
        <v>23</v>
      </c>
      <c r="B16" s="82" t="s">
        <v>13</v>
      </c>
      <c r="C16" s="96">
        <v>219.0</v>
      </c>
      <c r="D16" s="96">
        <v>600.0</v>
      </c>
      <c r="E16" s="92">
        <v>47.0</v>
      </c>
      <c r="F16" s="92">
        <v>15.0</v>
      </c>
      <c r="G16" s="92">
        <f t="shared" si="0"/>
        <v>881.0</v>
      </c>
      <c r="H16" s="93">
        <f t="shared" si="1"/>
        <v>8.81E7</v>
      </c>
    </row>
    <row r="17" spans="8:8" ht="15.75">
      <c r="A17" s="14" t="s">
        <v>24</v>
      </c>
      <c r="B17" s="90" t="s">
        <v>13</v>
      </c>
      <c r="C17" s="97">
        <v>195.0</v>
      </c>
      <c r="D17" s="97">
        <v>288.0</v>
      </c>
      <c r="E17" s="92">
        <v>47.0</v>
      </c>
      <c r="F17" s="92">
        <v>15.0</v>
      </c>
      <c r="G17" s="92">
        <f t="shared" si="0"/>
        <v>545.0</v>
      </c>
      <c r="H17" s="93">
        <f t="shared" si="1"/>
        <v>5.45E7</v>
      </c>
    </row>
    <row r="18" spans="8:8" ht="15.75">
      <c r="A18" s="14" t="s">
        <v>25</v>
      </c>
      <c r="B18" s="90" t="s">
        <v>13</v>
      </c>
      <c r="C18" s="97">
        <v>182.0</v>
      </c>
      <c r="D18" s="97">
        <v>288.0</v>
      </c>
      <c r="E18" s="92">
        <v>47.0</v>
      </c>
      <c r="F18" s="92">
        <v>15.0</v>
      </c>
      <c r="G18" s="92">
        <f t="shared" si="0"/>
        <v>532.0</v>
      </c>
      <c r="H18" s="93">
        <f t="shared" si="1"/>
        <v>5.32E7</v>
      </c>
    </row>
    <row r="19" spans="8:8" ht="15.75">
      <c r="A19" s="14" t="s">
        <v>26</v>
      </c>
      <c r="B19" s="90" t="s">
        <v>13</v>
      </c>
      <c r="C19" s="97">
        <v>268.0</v>
      </c>
      <c r="D19" s="97">
        <v>300.0</v>
      </c>
      <c r="E19" s="92">
        <v>47.0</v>
      </c>
      <c r="F19" s="92">
        <v>15.0</v>
      </c>
      <c r="G19" s="92">
        <f t="shared" si="0"/>
        <v>630.0</v>
      </c>
      <c r="H19" s="93">
        <f t="shared" si="1"/>
        <v>6.3E7</v>
      </c>
    </row>
    <row r="20" spans="8:8" ht="15.75">
      <c r="A20" s="14" t="s">
        <v>27</v>
      </c>
      <c r="B20" s="90" t="s">
        <v>13</v>
      </c>
      <c r="C20" s="97">
        <v>195.0</v>
      </c>
      <c r="D20" s="97">
        <v>300.0</v>
      </c>
      <c r="E20" s="92">
        <v>47.0</v>
      </c>
      <c r="F20" s="92">
        <v>15.0</v>
      </c>
      <c r="G20" s="92">
        <f t="shared" si="0"/>
        <v>557.0</v>
      </c>
      <c r="H20" s="93">
        <f t="shared" si="1"/>
        <v>5.57E7</v>
      </c>
    </row>
    <row r="21" spans="8:8" ht="15.75">
      <c r="A21" s="14" t="s">
        <v>28</v>
      </c>
      <c r="B21" s="90" t="s">
        <v>13</v>
      </c>
      <c r="C21" s="97">
        <v>268.0</v>
      </c>
      <c r="D21" s="97">
        <v>288.0</v>
      </c>
      <c r="E21" s="92">
        <v>47.0</v>
      </c>
      <c r="F21" s="92">
        <v>15.0</v>
      </c>
      <c r="G21" s="92">
        <f t="shared" si="0"/>
        <v>618.0</v>
      </c>
      <c r="H21" s="93">
        <f t="shared" si="1"/>
        <v>6.18E7</v>
      </c>
    </row>
    <row r="22" spans="8:8" ht="15.75">
      <c r="A22" s="14" t="s">
        <v>29</v>
      </c>
      <c r="B22" s="90" t="s">
        <v>13</v>
      </c>
      <c r="C22" s="97">
        <v>243.0</v>
      </c>
      <c r="D22" s="97">
        <v>300.0</v>
      </c>
      <c r="E22" s="92">
        <v>47.0</v>
      </c>
      <c r="F22" s="92">
        <v>15.0</v>
      </c>
      <c r="G22" s="92">
        <f t="shared" si="0"/>
        <v>605.0</v>
      </c>
      <c r="H22" s="93">
        <f t="shared" si="1"/>
        <v>6.05E7</v>
      </c>
    </row>
    <row r="23" spans="8:8" ht="15.75">
      <c r="A23" s="14" t="s">
        <v>30</v>
      </c>
      <c r="B23" s="90" t="s">
        <v>13</v>
      </c>
      <c r="C23" s="97">
        <v>182.0</v>
      </c>
      <c r="D23" s="97">
        <v>300.0</v>
      </c>
      <c r="E23" s="92">
        <v>47.0</v>
      </c>
      <c r="F23" s="92">
        <v>15.0</v>
      </c>
      <c r="G23" s="92">
        <f t="shared" si="0"/>
        <v>544.0</v>
      </c>
      <c r="H23" s="93">
        <f t="shared" si="1"/>
        <v>5.44E7</v>
      </c>
    </row>
    <row r="24" spans="8:8" ht="15.75">
      <c r="A24" s="14" t="s">
        <v>31</v>
      </c>
      <c r="B24" s="90" t="s">
        <v>13</v>
      </c>
      <c r="C24" s="97">
        <v>182.0</v>
      </c>
      <c r="D24" s="97">
        <v>288.0</v>
      </c>
      <c r="E24" s="92">
        <v>47.0</v>
      </c>
      <c r="F24" s="92">
        <v>15.0</v>
      </c>
      <c r="G24" s="92">
        <f t="shared" si="0"/>
        <v>532.0</v>
      </c>
      <c r="H24" s="93">
        <f t="shared" si="1"/>
        <v>5.32E7</v>
      </c>
    </row>
    <row r="25" spans="8:8" ht="15.75">
      <c r="A25" s="14" t="s">
        <v>32</v>
      </c>
      <c r="B25" s="90" t="s">
        <v>13</v>
      </c>
      <c r="C25" s="97">
        <v>329.0</v>
      </c>
      <c r="D25" s="97">
        <v>300.0</v>
      </c>
      <c r="E25" s="92">
        <v>47.0</v>
      </c>
      <c r="F25" s="92">
        <v>15.0</v>
      </c>
      <c r="G25" s="92">
        <f t="shared" si="0"/>
        <v>691.0</v>
      </c>
      <c r="H25" s="93">
        <f t="shared" si="1"/>
        <v>6.91E7</v>
      </c>
    </row>
    <row r="26" spans="8:8" ht="15.75">
      <c r="A26" s="14" t="s">
        <v>33</v>
      </c>
      <c r="B26" s="90" t="s">
        <v>13</v>
      </c>
      <c r="C26" s="97">
        <v>329.0</v>
      </c>
      <c r="D26" s="97">
        <v>300.0</v>
      </c>
      <c r="E26" s="92">
        <v>47.0</v>
      </c>
      <c r="F26" s="92">
        <v>15.0</v>
      </c>
      <c r="G26" s="92">
        <f t="shared" si="0"/>
        <v>691.0</v>
      </c>
      <c r="H26" s="93">
        <f t="shared" si="1"/>
        <v>6.91E7</v>
      </c>
    </row>
    <row r="27" spans="8:8" ht="15.75">
      <c r="A27" s="14" t="s">
        <v>34</v>
      </c>
      <c r="B27" s="90" t="s">
        <v>13</v>
      </c>
      <c r="C27" s="97">
        <v>243.0</v>
      </c>
      <c r="D27" s="97">
        <v>300.0</v>
      </c>
      <c r="E27" s="92">
        <v>47.0</v>
      </c>
      <c r="F27" s="92">
        <v>15.0</v>
      </c>
      <c r="G27" s="92">
        <f t="shared" si="0"/>
        <v>605.0</v>
      </c>
      <c r="H27" s="93">
        <f t="shared" si="1"/>
        <v>6.05E7</v>
      </c>
    </row>
    <row r="28" spans="8:8" ht="15.75">
      <c r="A28" s="14" t="s">
        <v>35</v>
      </c>
      <c r="B28" s="90" t="s">
        <v>13</v>
      </c>
      <c r="C28" s="97">
        <v>327.0</v>
      </c>
      <c r="D28" s="97">
        <v>288.0</v>
      </c>
      <c r="E28" s="92">
        <v>47.0</v>
      </c>
      <c r="F28" s="92">
        <v>15.0</v>
      </c>
      <c r="G28" s="92">
        <f t="shared" si="0"/>
        <v>677.0</v>
      </c>
      <c r="H28" s="93">
        <f t="shared" si="1"/>
        <v>6.77E7</v>
      </c>
    </row>
    <row r="29" spans="8:8" ht="15.75">
      <c r="A29" s="14" t="s">
        <v>36</v>
      </c>
      <c r="B29" s="90" t="s">
        <v>13</v>
      </c>
      <c r="C29" s="97">
        <v>247.0</v>
      </c>
      <c r="D29" s="97">
        <v>300.0</v>
      </c>
      <c r="E29" s="92">
        <v>47.0</v>
      </c>
      <c r="F29" s="92">
        <v>15.0</v>
      </c>
      <c r="G29" s="92">
        <f t="shared" si="0"/>
        <v>609.0</v>
      </c>
      <c r="H29" s="93">
        <f t="shared" si="1"/>
        <v>6.09E7</v>
      </c>
    </row>
    <row r="30" spans="8:8" ht="15.75">
      <c r="A30" s="14" t="s">
        <v>37</v>
      </c>
      <c r="B30" s="90" t="s">
        <v>13</v>
      </c>
      <c r="C30" s="97">
        <v>125.0</v>
      </c>
      <c r="D30" s="97">
        <v>288.0</v>
      </c>
      <c r="E30" s="92">
        <v>47.0</v>
      </c>
      <c r="F30" s="92">
        <v>15.0</v>
      </c>
      <c r="G30" s="92">
        <f t="shared" si="0"/>
        <v>475.0</v>
      </c>
      <c r="H30" s="93">
        <f t="shared" si="1"/>
        <v>4.75E7</v>
      </c>
    </row>
    <row r="31" spans="8:8" ht="15.75">
      <c r="A31" s="14" t="s">
        <v>38</v>
      </c>
      <c r="B31" s="90" t="s">
        <v>13</v>
      </c>
      <c r="C31" s="97">
        <v>134.0</v>
      </c>
      <c r="D31" s="97">
        <v>288.0</v>
      </c>
      <c r="E31" s="92">
        <v>47.0</v>
      </c>
      <c r="F31" s="92">
        <v>15.0</v>
      </c>
      <c r="G31" s="92">
        <f t="shared" si="0"/>
        <v>484.0</v>
      </c>
      <c r="H31" s="93">
        <f t="shared" si="1"/>
        <v>4.84E7</v>
      </c>
    </row>
    <row r="32" spans="8:8" ht="15.75">
      <c r="A32" s="14" t="s">
        <v>39</v>
      </c>
      <c r="B32" s="90" t="s">
        <v>13</v>
      </c>
      <c r="C32" s="97">
        <v>152.0</v>
      </c>
      <c r="D32" s="97">
        <v>300.0</v>
      </c>
      <c r="E32" s="92">
        <v>47.0</v>
      </c>
      <c r="F32" s="92">
        <v>15.0</v>
      </c>
      <c r="G32" s="92">
        <f t="shared" si="0"/>
        <v>514.0</v>
      </c>
      <c r="H32" s="93">
        <f t="shared" si="1"/>
        <v>5.14E7</v>
      </c>
    </row>
    <row r="33" spans="8:8" ht="15.75">
      <c r="A33" s="14" t="s">
        <v>40</v>
      </c>
      <c r="B33" s="90" t="s">
        <v>13</v>
      </c>
      <c r="C33" s="97">
        <v>243.0</v>
      </c>
      <c r="D33" s="97">
        <v>288.0</v>
      </c>
      <c r="E33" s="92">
        <v>47.0</v>
      </c>
      <c r="F33" s="92">
        <v>15.0</v>
      </c>
      <c r="G33" s="92">
        <f t="shared" si="0"/>
        <v>593.0</v>
      </c>
      <c r="H33" s="93">
        <f t="shared" si="1"/>
        <v>5.93E7</v>
      </c>
    </row>
    <row r="34" spans="8:8" s="81" ht="15.75" customFormat="1">
      <c r="A34" s="18" t="s">
        <v>41</v>
      </c>
      <c r="B34" s="82" t="s">
        <v>13</v>
      </c>
      <c r="C34" s="96">
        <v>109.0</v>
      </c>
      <c r="D34" s="96">
        <v>288.0</v>
      </c>
      <c r="E34" s="92">
        <v>47.0</v>
      </c>
      <c r="F34" s="84">
        <v>15.0</v>
      </c>
      <c r="G34" s="84">
        <f t="shared" si="2" ref="G34:G50">SUM(C34:F34)</f>
        <v>459.0</v>
      </c>
      <c r="H34" s="85">
        <f t="shared" si="1"/>
        <v>4.59E7</v>
      </c>
    </row>
    <row r="35" spans="8:8" ht="15.75">
      <c r="A35" s="14" t="s">
        <v>42</v>
      </c>
      <c r="B35" s="90" t="s">
        <v>13</v>
      </c>
      <c r="C35" s="97">
        <v>109.0</v>
      </c>
      <c r="D35" s="97">
        <v>288.0</v>
      </c>
      <c r="E35" s="92">
        <v>47.0</v>
      </c>
      <c r="F35" s="92">
        <v>15.0</v>
      </c>
      <c r="G35" s="92">
        <f t="shared" si="2"/>
        <v>459.0</v>
      </c>
      <c r="H35" s="93">
        <f t="shared" si="1"/>
        <v>4.59E7</v>
      </c>
    </row>
    <row r="36" spans="8:8" ht="15.75">
      <c r="A36" s="14" t="s">
        <v>43</v>
      </c>
      <c r="B36" s="90" t="s">
        <v>13</v>
      </c>
      <c r="C36" s="97">
        <v>247.0</v>
      </c>
      <c r="D36" s="97">
        <v>288.0</v>
      </c>
      <c r="E36" s="92">
        <v>47.0</v>
      </c>
      <c r="F36" s="92">
        <v>15.0</v>
      </c>
      <c r="G36" s="92">
        <f t="shared" si="2"/>
        <v>597.0</v>
      </c>
      <c r="H36" s="93">
        <f t="shared" si="1"/>
        <v>5.97E7</v>
      </c>
    </row>
    <row r="37" spans="8:8" ht="15.75">
      <c r="A37" s="14" t="s">
        <v>44</v>
      </c>
      <c r="B37" s="90" t="s">
        <v>13</v>
      </c>
      <c r="C37" s="97">
        <v>134.0</v>
      </c>
      <c r="D37" s="97">
        <v>288.0</v>
      </c>
      <c r="E37" s="92">
        <v>47.0</v>
      </c>
      <c r="F37" s="92">
        <v>15.0</v>
      </c>
      <c r="G37" s="92">
        <f t="shared" si="2"/>
        <v>484.0</v>
      </c>
      <c r="H37" s="93">
        <f t="shared" si="1"/>
        <v>4.84E7</v>
      </c>
    </row>
    <row r="38" spans="8:8" ht="15.75">
      <c r="A38" s="14" t="s">
        <v>45</v>
      </c>
      <c r="B38" s="90" t="s">
        <v>13</v>
      </c>
      <c r="C38" s="97">
        <v>511.0</v>
      </c>
      <c r="D38" s="97">
        <v>300.0</v>
      </c>
      <c r="E38" s="92">
        <v>47.0</v>
      </c>
      <c r="F38" s="92">
        <v>15.0</v>
      </c>
      <c r="G38" s="92">
        <f t="shared" si="2"/>
        <v>873.0</v>
      </c>
      <c r="H38" s="93">
        <f t="shared" si="1"/>
        <v>8.73E7</v>
      </c>
    </row>
    <row r="39" spans="8:8" ht="15.75">
      <c r="A39" s="14" t="s">
        <v>46</v>
      </c>
      <c r="B39" s="90" t="s">
        <v>13</v>
      </c>
      <c r="C39" s="97">
        <v>511.0</v>
      </c>
      <c r="D39" s="97">
        <v>300.0</v>
      </c>
      <c r="E39" s="92">
        <v>47.0</v>
      </c>
      <c r="F39" s="92">
        <v>15.0</v>
      </c>
      <c r="G39" s="92">
        <f t="shared" si="2"/>
        <v>873.0</v>
      </c>
      <c r="H39" s="93">
        <f t="shared" si="1"/>
        <v>8.73E7</v>
      </c>
    </row>
    <row r="40" spans="8:8" ht="15.75">
      <c r="A40" s="14" t="s">
        <v>47</v>
      </c>
      <c r="B40" s="90" t="s">
        <v>13</v>
      </c>
      <c r="C40" s="97">
        <v>719.0</v>
      </c>
      <c r="D40" s="97">
        <v>300.0</v>
      </c>
      <c r="E40" s="92">
        <v>47.0</v>
      </c>
      <c r="F40" s="92">
        <v>15.0</v>
      </c>
      <c r="G40" s="92">
        <f t="shared" si="2"/>
        <v>1081.0</v>
      </c>
      <c r="H40" s="93">
        <f t="shared" si="1"/>
        <v>1.081E8</v>
      </c>
    </row>
    <row r="41" spans="8:8" ht="15.75">
      <c r="A41" s="14" t="s">
        <v>48</v>
      </c>
      <c r="B41" s="90" t="s">
        <v>13</v>
      </c>
      <c r="C41" s="97">
        <v>292.0</v>
      </c>
      <c r="D41" s="97">
        <v>300.0</v>
      </c>
      <c r="E41" s="92">
        <v>47.0</v>
      </c>
      <c r="F41" s="92">
        <v>15.0</v>
      </c>
      <c r="G41" s="92">
        <f t="shared" si="2"/>
        <v>654.0</v>
      </c>
      <c r="H41" s="93">
        <f t="shared" si="1"/>
        <v>6.54E7</v>
      </c>
    </row>
    <row r="42" spans="8:8" ht="15.75">
      <c r="A42" s="14" t="s">
        <v>49</v>
      </c>
      <c r="B42" s="90" t="s">
        <v>13</v>
      </c>
      <c r="C42" s="97">
        <v>109.0</v>
      </c>
      <c r="D42" s="97">
        <v>288.0</v>
      </c>
      <c r="E42" s="92">
        <v>47.0</v>
      </c>
      <c r="F42" s="92">
        <v>15.0</v>
      </c>
      <c r="G42" s="92">
        <f t="shared" si="2"/>
        <v>459.0</v>
      </c>
      <c r="H42" s="93">
        <f t="shared" si="1"/>
        <v>4.59E7</v>
      </c>
    </row>
    <row r="43" spans="8:8" s="81" ht="15.75" customFormat="1">
      <c r="A43" s="18" t="s">
        <v>50</v>
      </c>
      <c r="B43" s="82" t="s">
        <v>13</v>
      </c>
      <c r="C43" s="96">
        <v>109.0</v>
      </c>
      <c r="D43" s="96">
        <v>288.0</v>
      </c>
      <c r="E43" s="92">
        <v>47.0</v>
      </c>
      <c r="F43" s="84">
        <v>15.0</v>
      </c>
      <c r="G43" s="84">
        <f t="shared" si="2"/>
        <v>459.0</v>
      </c>
      <c r="H43" s="85">
        <f t="shared" si="1"/>
        <v>4.59E7</v>
      </c>
    </row>
    <row r="44" spans="8:8" ht="15.75">
      <c r="A44" s="14" t="s">
        <v>51</v>
      </c>
      <c r="B44" s="90" t="s">
        <v>13</v>
      </c>
      <c r="C44" s="97">
        <v>109.0</v>
      </c>
      <c r="D44" s="97">
        <v>288.0</v>
      </c>
      <c r="E44" s="92">
        <v>47.0</v>
      </c>
      <c r="F44" s="92">
        <v>15.0</v>
      </c>
      <c r="G44" s="92">
        <f t="shared" si="2"/>
        <v>459.0</v>
      </c>
      <c r="H44" s="93">
        <f t="shared" si="1"/>
        <v>4.59E7</v>
      </c>
    </row>
    <row r="45" spans="8:8" ht="15.75">
      <c r="A45" s="14" t="s">
        <v>52</v>
      </c>
      <c r="B45" s="90" t="s">
        <v>13</v>
      </c>
      <c r="C45" s="97">
        <v>109.0</v>
      </c>
      <c r="D45" s="97">
        <v>288.0</v>
      </c>
      <c r="E45" s="92">
        <v>47.0</v>
      </c>
      <c r="F45" s="92">
        <v>15.0</v>
      </c>
      <c r="G45" s="92">
        <f t="shared" si="2"/>
        <v>459.0</v>
      </c>
      <c r="H45" s="93">
        <f t="shared" si="1"/>
        <v>4.59E7</v>
      </c>
    </row>
    <row r="46" spans="8:8" ht="15.75">
      <c r="A46" s="14" t="s">
        <v>53</v>
      </c>
      <c r="B46" s="90" t="s">
        <v>13</v>
      </c>
      <c r="C46" s="97">
        <v>149.0</v>
      </c>
      <c r="D46" s="97">
        <v>288.0</v>
      </c>
      <c r="E46" s="92">
        <v>47.0</v>
      </c>
      <c r="F46" s="92">
        <v>15.0</v>
      </c>
      <c r="G46" s="92">
        <f t="shared" si="2"/>
        <v>499.0</v>
      </c>
      <c r="H46" s="93">
        <f t="shared" si="1"/>
        <v>4.99E7</v>
      </c>
    </row>
    <row r="47" spans="8:8" ht="15.75">
      <c r="A47" s="14" t="s">
        <v>54</v>
      </c>
      <c r="B47" s="90" t="s">
        <v>13</v>
      </c>
      <c r="C47" s="97">
        <v>238.0</v>
      </c>
      <c r="D47" s="97">
        <v>288.0</v>
      </c>
      <c r="E47" s="92">
        <v>47.0</v>
      </c>
      <c r="F47" s="92">
        <v>15.0</v>
      </c>
      <c r="G47" s="92">
        <f t="shared" si="2"/>
        <v>588.0</v>
      </c>
      <c r="H47" s="93">
        <f t="shared" si="1"/>
        <v>5.88E7</v>
      </c>
    </row>
    <row r="48" spans="8:8" ht="15.75">
      <c r="A48" s="14" t="s">
        <v>55</v>
      </c>
      <c r="B48" s="90" t="s">
        <v>13</v>
      </c>
      <c r="C48" s="97">
        <v>126.0</v>
      </c>
      <c r="D48" s="97">
        <v>288.0</v>
      </c>
      <c r="E48" s="92">
        <v>47.0</v>
      </c>
      <c r="F48" s="92">
        <v>15.0</v>
      </c>
      <c r="G48" s="92">
        <f t="shared" si="2"/>
        <v>476.0</v>
      </c>
      <c r="H48" s="93">
        <f t="shared" si="1"/>
        <v>4.76E7</v>
      </c>
    </row>
    <row r="49" spans="8:8" ht="15.75">
      <c r="A49" s="14" t="s">
        <v>56</v>
      </c>
      <c r="B49" s="90" t="s">
        <v>13</v>
      </c>
      <c r="C49" s="97">
        <v>225.0</v>
      </c>
      <c r="D49" s="97">
        <v>330.0</v>
      </c>
      <c r="E49" s="92">
        <v>47.0</v>
      </c>
      <c r="F49" s="92">
        <v>15.0</v>
      </c>
      <c r="G49" s="92">
        <f t="shared" si="2"/>
        <v>617.0</v>
      </c>
      <c r="H49" s="93">
        <f t="shared" si="1"/>
        <v>6.17E7</v>
      </c>
    </row>
    <row r="50" spans="8:8" ht="15.75">
      <c r="A50" s="14" t="s">
        <v>57</v>
      </c>
      <c r="B50" s="90" t="s">
        <v>13</v>
      </c>
      <c r="C50" s="97">
        <v>0.01</v>
      </c>
      <c r="D50" s="97">
        <v>360.0</v>
      </c>
      <c r="E50" s="92">
        <v>47.0</v>
      </c>
      <c r="F50" s="92">
        <v>15.0</v>
      </c>
      <c r="G50" s="92">
        <f t="shared" si="2"/>
        <v>422.01</v>
      </c>
      <c r="H50" s="93">
        <f t="shared" si="1"/>
        <v>4.2201E7</v>
      </c>
    </row>
    <row r="51" spans="8:8" ht="15.75">
      <c r="A51" s="14" t="s">
        <v>58</v>
      </c>
      <c r="B51" s="90" t="s">
        <v>13</v>
      </c>
      <c r="C51" s="97">
        <v>0.01</v>
      </c>
      <c r="D51" s="97">
        <v>360.0</v>
      </c>
      <c r="E51" s="92">
        <v>47.0</v>
      </c>
      <c r="F51" s="92">
        <v>15.0</v>
      </c>
      <c r="G51" s="92">
        <f t="shared" si="3" ref="G51:G84">SUM(C51:F51)</f>
        <v>422.01</v>
      </c>
      <c r="H51" s="93">
        <f t="shared" si="1"/>
        <v>4.2201E7</v>
      </c>
    </row>
    <row r="52" spans="8:8" ht="15.75">
      <c r="A52" s="14" t="s">
        <v>59</v>
      </c>
      <c r="B52" s="90" t="s">
        <v>60</v>
      </c>
      <c r="C52" s="97">
        <v>0.01</v>
      </c>
      <c r="D52" s="97">
        <v>360.0</v>
      </c>
      <c r="E52" s="92">
        <v>47.0</v>
      </c>
      <c r="F52" s="92">
        <v>15.0</v>
      </c>
      <c r="G52" s="92">
        <f t="shared" si="3"/>
        <v>422.01</v>
      </c>
      <c r="H52" s="93">
        <f t="shared" si="1"/>
        <v>4.2201E7</v>
      </c>
    </row>
    <row r="53" spans="8:8" ht="15.75">
      <c r="A53" s="14" t="s">
        <v>61</v>
      </c>
      <c r="B53" s="90" t="s">
        <v>60</v>
      </c>
      <c r="C53" s="97">
        <v>75.0</v>
      </c>
      <c r="D53" s="97">
        <v>630.0</v>
      </c>
      <c r="E53" s="92">
        <v>47.0</v>
      </c>
      <c r="F53" s="92">
        <v>15.0</v>
      </c>
      <c r="G53" s="92">
        <f t="shared" si="3"/>
        <v>767.0</v>
      </c>
      <c r="H53" s="93">
        <f t="shared" si="1"/>
        <v>7.67E7</v>
      </c>
    </row>
    <row r="54" spans="8:8" ht="15.75">
      <c r="A54" s="14" t="s">
        <v>62</v>
      </c>
      <c r="B54" s="90" t="s">
        <v>60</v>
      </c>
      <c r="C54" s="97">
        <v>0.01</v>
      </c>
      <c r="D54" s="97">
        <v>360.0</v>
      </c>
      <c r="E54" s="92">
        <v>47.0</v>
      </c>
      <c r="F54" s="92">
        <v>15.0</v>
      </c>
      <c r="G54" s="92">
        <f t="shared" si="3"/>
        <v>422.01</v>
      </c>
      <c r="H54" s="93">
        <f t="shared" si="1"/>
        <v>4.2201E7</v>
      </c>
    </row>
    <row r="55" spans="8:8" ht="15.75">
      <c r="A55" s="14" t="s">
        <v>63</v>
      </c>
      <c r="B55" s="90" t="s">
        <v>60</v>
      </c>
      <c r="C55" s="97">
        <v>0.01</v>
      </c>
      <c r="D55" s="97">
        <v>360.0</v>
      </c>
      <c r="E55" s="92">
        <v>47.0</v>
      </c>
      <c r="F55" s="92">
        <v>15.0</v>
      </c>
      <c r="G55" s="92">
        <f t="shared" si="3"/>
        <v>422.01</v>
      </c>
      <c r="H55" s="93">
        <f t="shared" si="1"/>
        <v>4.2201E7</v>
      </c>
    </row>
    <row r="56" spans="8:8" ht="15.75">
      <c r="A56" s="14" t="s">
        <v>64</v>
      </c>
      <c r="B56" s="90" t="s">
        <v>65</v>
      </c>
      <c r="C56" s="97">
        <v>0.01</v>
      </c>
      <c r="D56" s="97">
        <v>265.0</v>
      </c>
      <c r="E56" s="92">
        <v>47.0</v>
      </c>
      <c r="F56" s="92">
        <v>15.0</v>
      </c>
      <c r="G56" s="92">
        <f t="shared" si="3"/>
        <v>327.01</v>
      </c>
      <c r="H56" s="93">
        <f t="shared" si="1"/>
        <v>3.2701E7</v>
      </c>
    </row>
    <row r="57" spans="8:8" ht="15.75">
      <c r="A57" s="14" t="s">
        <v>66</v>
      </c>
      <c r="B57" s="90" t="s">
        <v>65</v>
      </c>
      <c r="C57" s="97">
        <v>0.01</v>
      </c>
      <c r="D57" s="97">
        <v>282.0</v>
      </c>
      <c r="E57" s="92">
        <v>47.0</v>
      </c>
      <c r="F57" s="92">
        <v>15.0</v>
      </c>
      <c r="G57" s="92">
        <f t="shared" si="3"/>
        <v>344.01</v>
      </c>
      <c r="H57" s="93">
        <f t="shared" si="1"/>
        <v>3.4401E7</v>
      </c>
    </row>
    <row r="58" spans="8:8" ht="15.75">
      <c r="A58" s="14" t="s">
        <v>67</v>
      </c>
      <c r="B58" s="90" t="s">
        <v>65</v>
      </c>
      <c r="C58" s="97">
        <v>0.01</v>
      </c>
      <c r="D58" s="97">
        <v>265.0</v>
      </c>
      <c r="E58" s="92">
        <v>47.0</v>
      </c>
      <c r="F58" s="92">
        <v>15.0</v>
      </c>
      <c r="G58" s="92">
        <f t="shared" si="3"/>
        <v>327.01</v>
      </c>
      <c r="H58" s="93">
        <f t="shared" si="1"/>
        <v>3.2701E7</v>
      </c>
    </row>
    <row r="59" spans="8:8" ht="15.75">
      <c r="A59" s="14" t="s">
        <v>68</v>
      </c>
      <c r="B59" s="90" t="s">
        <v>65</v>
      </c>
      <c r="C59" s="97">
        <v>0.01</v>
      </c>
      <c r="D59" s="97">
        <v>283.0</v>
      </c>
      <c r="E59" s="92">
        <v>47.0</v>
      </c>
      <c r="F59" s="92">
        <v>15.0</v>
      </c>
      <c r="G59" s="92">
        <f t="shared" si="3"/>
        <v>345.01</v>
      </c>
      <c r="H59" s="93">
        <f t="shared" si="1"/>
        <v>3.4501E7</v>
      </c>
    </row>
    <row r="60" spans="8:8" ht="15.75">
      <c r="A60" s="14" t="s">
        <v>69</v>
      </c>
      <c r="B60" s="90" t="s">
        <v>65</v>
      </c>
      <c r="C60" s="97">
        <v>0.01</v>
      </c>
      <c r="D60" s="97">
        <v>344.0</v>
      </c>
      <c r="E60" s="92">
        <v>47.0</v>
      </c>
      <c r="F60" s="92">
        <v>15.0</v>
      </c>
      <c r="G60" s="92">
        <f t="shared" si="3"/>
        <v>406.01</v>
      </c>
      <c r="H60" s="93">
        <f t="shared" si="1"/>
        <v>4.0601E7</v>
      </c>
    </row>
    <row r="61" spans="8:8" ht="15.75">
      <c r="A61" s="14" t="s">
        <v>70</v>
      </c>
      <c r="B61" s="90" t="s">
        <v>65</v>
      </c>
      <c r="C61" s="97">
        <v>0.01</v>
      </c>
      <c r="D61" s="97">
        <v>265.0</v>
      </c>
      <c r="E61" s="92">
        <v>47.0</v>
      </c>
      <c r="F61" s="92">
        <v>15.0</v>
      </c>
      <c r="G61" s="92">
        <f t="shared" si="3"/>
        <v>327.01</v>
      </c>
      <c r="H61" s="93">
        <f t="shared" si="1"/>
        <v>3.2701E7</v>
      </c>
    </row>
    <row r="62" spans="8:8" ht="15.75">
      <c r="A62" s="18" t="s">
        <v>71</v>
      </c>
      <c r="B62" s="82" t="s">
        <v>65</v>
      </c>
      <c r="C62" s="96">
        <v>0.01</v>
      </c>
      <c r="D62" s="96">
        <v>312.0</v>
      </c>
      <c r="E62" s="92">
        <v>47.0</v>
      </c>
      <c r="F62" s="92">
        <v>15.0</v>
      </c>
      <c r="G62" s="92">
        <f t="shared" si="3"/>
        <v>374.01</v>
      </c>
      <c r="H62" s="93">
        <f t="shared" si="1"/>
        <v>3.7401E7</v>
      </c>
    </row>
    <row r="63" spans="8:8" ht="15.75">
      <c r="A63" s="18" t="s">
        <v>72</v>
      </c>
      <c r="B63" s="82" t="s">
        <v>65</v>
      </c>
      <c r="C63" s="96">
        <v>0.01</v>
      </c>
      <c r="D63" s="96">
        <v>286.0</v>
      </c>
      <c r="E63" s="92">
        <v>47.0</v>
      </c>
      <c r="F63" s="92">
        <v>15.0</v>
      </c>
      <c r="G63" s="92">
        <f t="shared" si="3"/>
        <v>348.01</v>
      </c>
      <c r="H63" s="93">
        <f t="shared" si="1"/>
        <v>3.4801E7</v>
      </c>
    </row>
    <row r="64" spans="8:8" ht="15.75">
      <c r="A64" s="14" t="s">
        <v>73</v>
      </c>
      <c r="B64" s="90" t="s">
        <v>65</v>
      </c>
      <c r="C64" s="97">
        <v>0.01</v>
      </c>
      <c r="D64" s="97">
        <v>250.0</v>
      </c>
      <c r="E64" s="92">
        <v>47.0</v>
      </c>
      <c r="F64" s="92">
        <v>15.0</v>
      </c>
      <c r="G64" s="92">
        <f t="shared" si="3"/>
        <v>312.01</v>
      </c>
      <c r="H64" s="93">
        <f t="shared" si="1"/>
        <v>3.1201E7</v>
      </c>
    </row>
    <row r="65" spans="8:8" ht="15.75">
      <c r="A65" s="14" t="s">
        <v>74</v>
      </c>
      <c r="B65" s="90" t="s">
        <v>65</v>
      </c>
      <c r="C65" s="97">
        <v>0.01</v>
      </c>
      <c r="D65" s="97">
        <v>274.0</v>
      </c>
      <c r="E65" s="92">
        <v>47.0</v>
      </c>
      <c r="F65" s="92">
        <v>15.0</v>
      </c>
      <c r="G65" s="92">
        <f t="shared" si="3"/>
        <v>336.01</v>
      </c>
      <c r="H65" s="93">
        <f t="shared" si="1"/>
        <v>3.3601E7</v>
      </c>
    </row>
    <row r="66" spans="8:8" ht="15.75">
      <c r="A66" s="14" t="s">
        <v>75</v>
      </c>
      <c r="B66" s="90" t="s">
        <v>65</v>
      </c>
      <c r="C66" s="97">
        <v>0.01</v>
      </c>
      <c r="D66" s="97">
        <v>435.0</v>
      </c>
      <c r="E66" s="92">
        <v>47.0</v>
      </c>
      <c r="F66" s="92">
        <v>15.0</v>
      </c>
      <c r="G66" s="92">
        <f t="shared" si="3"/>
        <v>497.01</v>
      </c>
      <c r="H66" s="93">
        <f t="shared" si="1"/>
        <v>4.9701E7</v>
      </c>
    </row>
    <row r="67" spans="8:8" ht="15.75">
      <c r="A67" s="14" t="s">
        <v>76</v>
      </c>
      <c r="B67" s="90" t="s">
        <v>65</v>
      </c>
      <c r="C67" s="97">
        <v>0.01</v>
      </c>
      <c r="D67" s="97">
        <v>265.0</v>
      </c>
      <c r="E67" s="92">
        <v>47.0</v>
      </c>
      <c r="F67" s="92">
        <v>15.0</v>
      </c>
      <c r="G67" s="92">
        <f t="shared" si="3"/>
        <v>327.01</v>
      </c>
      <c r="H67" s="93">
        <f t="shared" si="4" ref="H67:H130">G67*100000</f>
        <v>3.2701E7</v>
      </c>
    </row>
    <row r="68" spans="8:8" ht="15.75">
      <c r="A68" s="14" t="s">
        <v>77</v>
      </c>
      <c r="B68" s="90" t="s">
        <v>65</v>
      </c>
      <c r="C68" s="97">
        <v>0.01</v>
      </c>
      <c r="D68" s="97">
        <v>274.0</v>
      </c>
      <c r="E68" s="92">
        <v>47.0</v>
      </c>
      <c r="F68" s="92">
        <v>15.0</v>
      </c>
      <c r="G68" s="92">
        <f t="shared" si="3"/>
        <v>336.01</v>
      </c>
      <c r="H68" s="93">
        <f t="shared" si="4"/>
        <v>3.3601E7</v>
      </c>
    </row>
    <row r="69" spans="8:8" ht="15.75">
      <c r="A69" s="14" t="s">
        <v>78</v>
      </c>
      <c r="B69" s="90" t="s">
        <v>65</v>
      </c>
      <c r="C69" s="97">
        <v>0.01</v>
      </c>
      <c r="D69" s="97">
        <v>327.0</v>
      </c>
      <c r="E69" s="92">
        <v>47.0</v>
      </c>
      <c r="F69" s="92">
        <v>15.0</v>
      </c>
      <c r="G69" s="92">
        <f t="shared" si="3"/>
        <v>389.01</v>
      </c>
      <c r="H69" s="93">
        <f t="shared" si="4"/>
        <v>3.8901E7</v>
      </c>
    </row>
    <row r="70" spans="8:8" ht="15.75">
      <c r="A70" s="14" t="s">
        <v>79</v>
      </c>
      <c r="B70" s="90" t="s">
        <v>65</v>
      </c>
      <c r="C70" s="97">
        <v>0.01</v>
      </c>
      <c r="D70" s="97">
        <v>344.0</v>
      </c>
      <c r="E70" s="92">
        <v>47.0</v>
      </c>
      <c r="F70" s="92">
        <v>15.0</v>
      </c>
      <c r="G70" s="92">
        <f t="shared" si="3"/>
        <v>406.01</v>
      </c>
      <c r="H70" s="93">
        <f t="shared" si="4"/>
        <v>4.0601E7</v>
      </c>
    </row>
    <row r="71" spans="8:8" ht="15.75">
      <c r="A71" s="14" t="s">
        <v>80</v>
      </c>
      <c r="B71" s="90" t="s">
        <v>65</v>
      </c>
      <c r="C71" s="97">
        <v>0.01</v>
      </c>
      <c r="D71" s="97">
        <v>250.0</v>
      </c>
      <c r="E71" s="92">
        <v>47.0</v>
      </c>
      <c r="F71" s="92">
        <v>15.0</v>
      </c>
      <c r="G71" s="92">
        <f t="shared" si="3"/>
        <v>312.01</v>
      </c>
      <c r="H71" s="93">
        <f t="shared" si="4"/>
        <v>3.1201E7</v>
      </c>
    </row>
    <row r="72" spans="8:8" ht="15.75">
      <c r="A72" s="14" t="s">
        <v>81</v>
      </c>
      <c r="B72" s="90" t="s">
        <v>65</v>
      </c>
      <c r="C72" s="97">
        <v>0.01</v>
      </c>
      <c r="D72" s="97">
        <v>274.0</v>
      </c>
      <c r="E72" s="92">
        <v>47.0</v>
      </c>
      <c r="F72" s="92">
        <v>15.0</v>
      </c>
      <c r="G72" s="92">
        <f t="shared" si="3"/>
        <v>336.01</v>
      </c>
      <c r="H72" s="93">
        <f t="shared" si="4"/>
        <v>3.3601E7</v>
      </c>
    </row>
    <row r="73" spans="8:8" ht="15.75">
      <c r="A73" s="14" t="s">
        <v>82</v>
      </c>
      <c r="B73" s="90" t="s">
        <v>65</v>
      </c>
      <c r="C73" s="97">
        <v>0.01</v>
      </c>
      <c r="D73" s="97">
        <v>401.0</v>
      </c>
      <c r="E73" s="92">
        <v>47.0</v>
      </c>
      <c r="F73" s="92">
        <v>15.0</v>
      </c>
      <c r="G73" s="92">
        <f t="shared" si="3"/>
        <v>463.01</v>
      </c>
      <c r="H73" s="93">
        <f t="shared" si="4"/>
        <v>4.6301E7</v>
      </c>
    </row>
    <row r="74" spans="8:8" ht="15.75">
      <c r="A74" s="14" t="s">
        <v>83</v>
      </c>
      <c r="B74" s="90" t="s">
        <v>65</v>
      </c>
      <c r="C74" s="97">
        <v>0.01</v>
      </c>
      <c r="D74" s="97">
        <v>426.0</v>
      </c>
      <c r="E74" s="92">
        <v>47.0</v>
      </c>
      <c r="F74" s="92">
        <v>15.0</v>
      </c>
      <c r="G74" s="92">
        <f t="shared" si="3"/>
        <v>488.01</v>
      </c>
      <c r="H74" s="93">
        <f t="shared" si="4"/>
        <v>4.8801E7</v>
      </c>
    </row>
    <row r="75" spans="8:8" ht="15.75">
      <c r="A75" s="14" t="s">
        <v>84</v>
      </c>
      <c r="B75" s="90" t="s">
        <v>65</v>
      </c>
      <c r="C75" s="97">
        <v>0.01</v>
      </c>
      <c r="D75" s="97">
        <v>274.0</v>
      </c>
      <c r="E75" s="92">
        <v>47.0</v>
      </c>
      <c r="F75" s="92">
        <v>15.0</v>
      </c>
      <c r="G75" s="92">
        <f t="shared" si="3"/>
        <v>336.01</v>
      </c>
      <c r="H75" s="93">
        <f t="shared" si="4"/>
        <v>3.3601E7</v>
      </c>
    </row>
    <row r="76" spans="8:8" ht="15.75">
      <c r="A76" s="14" t="s">
        <v>85</v>
      </c>
      <c r="B76" s="90" t="s">
        <v>65</v>
      </c>
      <c r="C76" s="97">
        <v>0.01</v>
      </c>
      <c r="D76" s="97">
        <v>426.0</v>
      </c>
      <c r="E76" s="92">
        <v>47.0</v>
      </c>
      <c r="F76" s="92">
        <v>15.0</v>
      </c>
      <c r="G76" s="92">
        <f t="shared" si="3"/>
        <v>488.01</v>
      </c>
      <c r="H76" s="93">
        <f t="shared" si="4"/>
        <v>4.8801E7</v>
      </c>
    </row>
    <row r="77" spans="8:8" ht="15.75">
      <c r="A77" s="14" t="s">
        <v>86</v>
      </c>
      <c r="B77" s="90" t="s">
        <v>65</v>
      </c>
      <c r="C77" s="97">
        <v>0.01</v>
      </c>
      <c r="D77" s="97">
        <v>274.0</v>
      </c>
      <c r="E77" s="92">
        <v>47.0</v>
      </c>
      <c r="F77" s="92">
        <v>15.0</v>
      </c>
      <c r="G77" s="92">
        <f t="shared" si="3"/>
        <v>336.01</v>
      </c>
      <c r="H77" s="93">
        <f t="shared" si="4"/>
        <v>3.3601E7</v>
      </c>
    </row>
    <row r="78" spans="8:8" ht="15.75">
      <c r="A78" s="14" t="s">
        <v>87</v>
      </c>
      <c r="B78" s="90" t="s">
        <v>65</v>
      </c>
      <c r="C78" s="97">
        <v>0.01</v>
      </c>
      <c r="D78" s="97">
        <v>307.0</v>
      </c>
      <c r="E78" s="92">
        <v>47.0</v>
      </c>
      <c r="F78" s="92">
        <v>15.0</v>
      </c>
      <c r="G78" s="92">
        <f t="shared" si="3"/>
        <v>369.01</v>
      </c>
      <c r="H78" s="93">
        <f t="shared" si="4"/>
        <v>3.6901E7</v>
      </c>
    </row>
    <row r="79" spans="8:8" ht="15.75">
      <c r="A79" s="14" t="s">
        <v>88</v>
      </c>
      <c r="B79" s="90" t="s">
        <v>65</v>
      </c>
      <c r="C79" s="97">
        <v>0.01</v>
      </c>
      <c r="D79" s="97">
        <v>344.0</v>
      </c>
      <c r="E79" s="92">
        <v>47.0</v>
      </c>
      <c r="F79" s="92">
        <v>15.0</v>
      </c>
      <c r="G79" s="92">
        <f t="shared" si="3"/>
        <v>406.01</v>
      </c>
      <c r="H79" s="93">
        <f t="shared" si="4"/>
        <v>4.0601E7</v>
      </c>
    </row>
    <row r="80" spans="8:8" ht="15.75">
      <c r="A80" s="14" t="s">
        <v>89</v>
      </c>
      <c r="B80" s="90" t="s">
        <v>65</v>
      </c>
      <c r="C80" s="97">
        <v>0.01</v>
      </c>
      <c r="D80" s="97">
        <v>390.0</v>
      </c>
      <c r="E80" s="92">
        <v>47.0</v>
      </c>
      <c r="F80" s="92">
        <v>15.0</v>
      </c>
      <c r="G80" s="92">
        <f t="shared" si="3"/>
        <v>452.01</v>
      </c>
      <c r="H80" s="93">
        <f t="shared" si="4"/>
        <v>4.5201E7</v>
      </c>
    </row>
    <row r="81" spans="8:8" ht="15.75">
      <c r="A81" s="14" t="s">
        <v>90</v>
      </c>
      <c r="B81" s="90" t="s">
        <v>65</v>
      </c>
      <c r="C81" s="97">
        <v>0.01</v>
      </c>
      <c r="D81" s="97">
        <v>400.0</v>
      </c>
      <c r="E81" s="92">
        <v>47.0</v>
      </c>
      <c r="F81" s="92">
        <v>15.0</v>
      </c>
      <c r="G81" s="92">
        <f t="shared" si="3"/>
        <v>462.01</v>
      </c>
      <c r="H81" s="93">
        <f t="shared" si="4"/>
        <v>4.6201E7</v>
      </c>
    </row>
    <row r="82" spans="8:8" ht="15.75">
      <c r="A82" s="14" t="s">
        <v>91</v>
      </c>
      <c r="B82" s="90" t="s">
        <v>65</v>
      </c>
      <c r="C82" s="97">
        <v>0.01</v>
      </c>
      <c r="D82" s="97">
        <v>444.0</v>
      </c>
      <c r="E82" s="92">
        <v>47.0</v>
      </c>
      <c r="F82" s="92">
        <v>15.0</v>
      </c>
      <c r="G82" s="92">
        <f t="shared" si="3"/>
        <v>506.01</v>
      </c>
      <c r="H82" s="93">
        <f t="shared" si="4"/>
        <v>5.0601E7</v>
      </c>
    </row>
    <row r="83" spans="8:8" ht="15.75">
      <c r="A83" s="14" t="s">
        <v>92</v>
      </c>
      <c r="B83" s="90" t="s">
        <v>65</v>
      </c>
      <c r="C83" s="97">
        <v>0.01</v>
      </c>
      <c r="D83" s="97">
        <v>265.0</v>
      </c>
      <c r="E83" s="92">
        <v>47.0</v>
      </c>
      <c r="F83" s="92">
        <v>15.0</v>
      </c>
      <c r="G83" s="92">
        <f t="shared" si="3"/>
        <v>327.01</v>
      </c>
      <c r="H83" s="93">
        <f t="shared" si="4"/>
        <v>3.2701E7</v>
      </c>
    </row>
    <row r="84" spans="8:8" ht="15.75">
      <c r="A84" s="14" t="s">
        <v>93</v>
      </c>
      <c r="B84" s="90" t="s">
        <v>65</v>
      </c>
      <c r="C84" s="97">
        <v>0.01</v>
      </c>
      <c r="D84" s="97">
        <v>282.0</v>
      </c>
      <c r="E84" s="92">
        <v>47.0</v>
      </c>
      <c r="F84" s="92">
        <v>15.0</v>
      </c>
      <c r="G84" s="92">
        <f t="shared" si="3"/>
        <v>344.01</v>
      </c>
      <c r="H84" s="93">
        <f t="shared" si="4"/>
        <v>3.4401E7</v>
      </c>
    </row>
    <row r="85" spans="8:8" ht="15.75">
      <c r="A85" s="14" t="s">
        <v>94</v>
      </c>
      <c r="B85" s="90" t="s">
        <v>65</v>
      </c>
      <c r="C85" s="97">
        <v>0.01</v>
      </c>
      <c r="D85" s="97">
        <v>338.0</v>
      </c>
      <c r="E85" s="92">
        <v>47.0</v>
      </c>
      <c r="F85" s="92">
        <v>15.0</v>
      </c>
      <c r="G85" s="92">
        <f t="shared" si="5" ref="G85:G116">SUM(C85:F85)</f>
        <v>400.01</v>
      </c>
      <c r="H85" s="93">
        <f t="shared" si="4"/>
        <v>4.0001E7</v>
      </c>
    </row>
    <row r="86" spans="8:8" ht="15.75">
      <c r="A86" s="14" t="s">
        <v>95</v>
      </c>
      <c r="B86" s="90" t="s">
        <v>65</v>
      </c>
      <c r="C86" s="97">
        <v>0.01</v>
      </c>
      <c r="D86" s="97">
        <v>296.0</v>
      </c>
      <c r="E86" s="92">
        <v>47.0</v>
      </c>
      <c r="F86" s="92">
        <v>15.0</v>
      </c>
      <c r="G86" s="92">
        <f t="shared" si="5"/>
        <v>358.01</v>
      </c>
      <c r="H86" s="93">
        <f t="shared" si="4"/>
        <v>3.5801E7</v>
      </c>
    </row>
    <row r="87" spans="8:8" ht="15.75">
      <c r="A87" s="14" t="s">
        <v>96</v>
      </c>
      <c r="B87" s="90" t="s">
        <v>65</v>
      </c>
      <c r="C87" s="97">
        <v>0.01</v>
      </c>
      <c r="D87" s="97">
        <v>344.0</v>
      </c>
      <c r="E87" s="92">
        <v>47.0</v>
      </c>
      <c r="F87" s="92">
        <v>15.0</v>
      </c>
      <c r="G87" s="92">
        <f t="shared" si="5"/>
        <v>406.01</v>
      </c>
      <c r="H87" s="93">
        <f t="shared" si="4"/>
        <v>4.0601E7</v>
      </c>
    </row>
    <row r="88" spans="8:8" ht="15.75">
      <c r="A88" s="14" t="s">
        <v>97</v>
      </c>
      <c r="B88" s="90" t="s">
        <v>65</v>
      </c>
      <c r="C88" s="97">
        <v>0.01</v>
      </c>
      <c r="D88" s="97">
        <v>263.0</v>
      </c>
      <c r="E88" s="92">
        <v>47.0</v>
      </c>
      <c r="F88" s="92">
        <v>15.0</v>
      </c>
      <c r="G88" s="92">
        <f t="shared" si="5"/>
        <v>325.01</v>
      </c>
      <c r="H88" s="93">
        <f t="shared" si="4"/>
        <v>3.2501E7</v>
      </c>
    </row>
    <row r="89" spans="8:8" ht="15.75">
      <c r="A89" s="14" t="s">
        <v>98</v>
      </c>
      <c r="B89" s="90" t="s">
        <v>65</v>
      </c>
      <c r="C89" s="97">
        <v>0.01</v>
      </c>
      <c r="D89" s="97">
        <v>282.0</v>
      </c>
      <c r="E89" s="92">
        <v>47.0</v>
      </c>
      <c r="F89" s="92">
        <v>15.0</v>
      </c>
      <c r="G89" s="92">
        <f t="shared" si="5"/>
        <v>344.01</v>
      </c>
      <c r="H89" s="93">
        <f t="shared" si="4"/>
        <v>3.4401E7</v>
      </c>
    </row>
    <row r="90" spans="8:8" ht="15.75">
      <c r="A90" s="14" t="s">
        <v>99</v>
      </c>
      <c r="B90" s="90" t="s">
        <v>65</v>
      </c>
      <c r="C90" s="97">
        <v>0.01</v>
      </c>
      <c r="D90" s="97">
        <v>338.0</v>
      </c>
      <c r="E90" s="92">
        <v>47.0</v>
      </c>
      <c r="F90" s="92">
        <v>15.0</v>
      </c>
      <c r="G90" s="92">
        <f t="shared" si="5"/>
        <v>400.01</v>
      </c>
      <c r="H90" s="93">
        <f t="shared" si="4"/>
        <v>4.0001E7</v>
      </c>
    </row>
    <row r="91" spans="8:8" ht="15.75">
      <c r="A91" s="14" t="s">
        <v>100</v>
      </c>
      <c r="B91" s="90" t="s">
        <v>65</v>
      </c>
      <c r="C91" s="97">
        <v>0.01</v>
      </c>
      <c r="D91" s="97">
        <v>419.0</v>
      </c>
      <c r="E91" s="92">
        <v>47.0</v>
      </c>
      <c r="F91" s="92">
        <v>15.0</v>
      </c>
      <c r="G91" s="92">
        <f t="shared" si="5"/>
        <v>481.01</v>
      </c>
      <c r="H91" s="93">
        <f t="shared" si="4"/>
        <v>4.8101E7</v>
      </c>
    </row>
    <row r="92" spans="8:8" ht="15.75">
      <c r="A92" s="14" t="s">
        <v>101</v>
      </c>
      <c r="B92" s="90" t="s">
        <v>65</v>
      </c>
      <c r="C92" s="97">
        <v>0.01</v>
      </c>
      <c r="D92" s="97">
        <v>430.0</v>
      </c>
      <c r="E92" s="92">
        <v>47.0</v>
      </c>
      <c r="F92" s="92">
        <v>15.0</v>
      </c>
      <c r="G92" s="92">
        <f t="shared" si="5"/>
        <v>492.01</v>
      </c>
      <c r="H92" s="93">
        <f t="shared" si="4"/>
        <v>4.9201E7</v>
      </c>
    </row>
    <row r="93" spans="8:8" ht="15.75">
      <c r="A93" s="14" t="s">
        <v>102</v>
      </c>
      <c r="B93" s="90" t="s">
        <v>65</v>
      </c>
      <c r="C93" s="97">
        <v>0.01</v>
      </c>
      <c r="D93" s="97">
        <v>279.0</v>
      </c>
      <c r="E93" s="92">
        <v>47.0</v>
      </c>
      <c r="F93" s="92">
        <v>15.0</v>
      </c>
      <c r="G93" s="92">
        <f t="shared" si="5"/>
        <v>341.01</v>
      </c>
      <c r="H93" s="93">
        <f t="shared" si="4"/>
        <v>3.4101E7</v>
      </c>
    </row>
    <row r="94" spans="8:8" ht="15.75">
      <c r="A94" s="14" t="s">
        <v>103</v>
      </c>
      <c r="B94" s="90" t="s">
        <v>65</v>
      </c>
      <c r="C94" s="97">
        <v>0.01</v>
      </c>
      <c r="D94" s="97">
        <v>265.0</v>
      </c>
      <c r="E94" s="92">
        <v>47.0</v>
      </c>
      <c r="F94" s="92">
        <v>15.0</v>
      </c>
      <c r="G94" s="92">
        <f t="shared" si="5"/>
        <v>327.01</v>
      </c>
      <c r="H94" s="93">
        <f t="shared" si="4"/>
        <v>3.2701E7</v>
      </c>
    </row>
    <row r="95" spans="8:8" ht="15.75">
      <c r="A95" s="14" t="s">
        <v>104</v>
      </c>
      <c r="B95" s="90" t="s">
        <v>65</v>
      </c>
      <c r="C95" s="97">
        <v>0.01</v>
      </c>
      <c r="D95" s="97">
        <v>282.0</v>
      </c>
      <c r="E95" s="92">
        <v>47.0</v>
      </c>
      <c r="F95" s="92">
        <v>15.0</v>
      </c>
      <c r="G95" s="92">
        <f t="shared" si="5"/>
        <v>344.01</v>
      </c>
      <c r="H95" s="93">
        <f t="shared" si="4"/>
        <v>3.4401E7</v>
      </c>
    </row>
    <row r="96" spans="8:8" ht="15.75">
      <c r="A96" s="14" t="s">
        <v>105</v>
      </c>
      <c r="B96" s="90" t="s">
        <v>65</v>
      </c>
      <c r="C96" s="97">
        <v>0.01</v>
      </c>
      <c r="D96" s="97">
        <v>316.0</v>
      </c>
      <c r="E96" s="92">
        <v>47.0</v>
      </c>
      <c r="F96" s="92">
        <v>15.0</v>
      </c>
      <c r="G96" s="92">
        <f t="shared" si="5"/>
        <v>378.01</v>
      </c>
      <c r="H96" s="93">
        <f t="shared" si="4"/>
        <v>3.7801E7</v>
      </c>
    </row>
    <row r="97" spans="8:8" ht="15.75">
      <c r="A97" s="14" t="s">
        <v>106</v>
      </c>
      <c r="B97" s="90" t="s">
        <v>65</v>
      </c>
      <c r="C97" s="97">
        <v>0.01</v>
      </c>
      <c r="D97" s="97">
        <v>265.0</v>
      </c>
      <c r="E97" s="92">
        <v>47.0</v>
      </c>
      <c r="F97" s="92">
        <v>15.0</v>
      </c>
      <c r="G97" s="92">
        <f t="shared" si="5"/>
        <v>327.01</v>
      </c>
      <c r="H97" s="93">
        <f t="shared" si="4"/>
        <v>3.2701E7</v>
      </c>
    </row>
    <row r="98" spans="8:8" ht="15.75">
      <c r="A98" s="14" t="s">
        <v>107</v>
      </c>
      <c r="B98" s="90" t="s">
        <v>65</v>
      </c>
      <c r="C98" s="97">
        <v>0.01</v>
      </c>
      <c r="D98" s="97">
        <v>282.0</v>
      </c>
      <c r="E98" s="92">
        <v>47.0</v>
      </c>
      <c r="F98" s="92">
        <v>15.0</v>
      </c>
      <c r="G98" s="92">
        <f t="shared" si="5"/>
        <v>344.01</v>
      </c>
      <c r="H98" s="93">
        <f t="shared" si="4"/>
        <v>3.4401E7</v>
      </c>
    </row>
    <row r="99" spans="8:8" ht="15.75">
      <c r="A99" s="14" t="s">
        <v>108</v>
      </c>
      <c r="B99" s="90" t="s">
        <v>65</v>
      </c>
      <c r="C99" s="97">
        <v>0.01</v>
      </c>
      <c r="D99" s="97">
        <v>279.0</v>
      </c>
      <c r="E99" s="92">
        <v>47.0</v>
      </c>
      <c r="F99" s="92">
        <v>15.0</v>
      </c>
      <c r="G99" s="92">
        <f t="shared" si="5"/>
        <v>341.01</v>
      </c>
      <c r="H99" s="93">
        <f t="shared" si="4"/>
        <v>3.4101E7</v>
      </c>
    </row>
    <row r="100" spans="8:8" ht="15.75">
      <c r="A100" s="14" t="s">
        <v>109</v>
      </c>
      <c r="B100" s="90" t="s">
        <v>65</v>
      </c>
      <c r="C100" s="97">
        <v>0.01</v>
      </c>
      <c r="D100" s="97">
        <v>326.0</v>
      </c>
      <c r="E100" s="92">
        <v>47.0</v>
      </c>
      <c r="F100" s="92">
        <v>15.0</v>
      </c>
      <c r="G100" s="92">
        <f t="shared" si="5"/>
        <v>388.01</v>
      </c>
      <c r="H100" s="93">
        <f t="shared" si="4"/>
        <v>3.8801E7</v>
      </c>
    </row>
    <row r="101" spans="8:8" ht="15.75">
      <c r="A101" s="14" t="s">
        <v>110</v>
      </c>
      <c r="B101" s="90" t="s">
        <v>65</v>
      </c>
      <c r="C101" s="97">
        <v>150.0</v>
      </c>
      <c r="D101" s="97">
        <v>259.0</v>
      </c>
      <c r="E101" s="92">
        <v>47.0</v>
      </c>
      <c r="F101" s="92">
        <v>15.0</v>
      </c>
      <c r="G101" s="92">
        <f t="shared" si="5"/>
        <v>471.0</v>
      </c>
      <c r="H101" s="93">
        <f t="shared" si="4"/>
        <v>4.71E7</v>
      </c>
    </row>
    <row r="102" spans="8:8" ht="15.75">
      <c r="A102" s="14" t="s">
        <v>111</v>
      </c>
      <c r="B102" s="90" t="s">
        <v>65</v>
      </c>
      <c r="C102" s="97">
        <v>0.01</v>
      </c>
      <c r="D102" s="97">
        <v>250.0</v>
      </c>
      <c r="E102" s="92">
        <v>47.0</v>
      </c>
      <c r="F102" s="92">
        <v>15.0</v>
      </c>
      <c r="G102" s="92">
        <f t="shared" si="5"/>
        <v>312.01</v>
      </c>
      <c r="H102" s="93">
        <f t="shared" si="4"/>
        <v>3.1201E7</v>
      </c>
    </row>
    <row r="103" spans="8:8" ht="15.75">
      <c r="A103" s="14" t="s">
        <v>112</v>
      </c>
      <c r="B103" s="90" t="s">
        <v>65</v>
      </c>
      <c r="C103" s="97">
        <v>0.01</v>
      </c>
      <c r="D103" s="97">
        <v>286.0</v>
      </c>
      <c r="E103" s="92">
        <v>47.0</v>
      </c>
      <c r="F103" s="92">
        <v>15.0</v>
      </c>
      <c r="G103" s="92">
        <f t="shared" si="5"/>
        <v>348.01</v>
      </c>
      <c r="H103" s="93">
        <f t="shared" si="4"/>
        <v>3.4801E7</v>
      </c>
    </row>
    <row r="104" spans="8:8" ht="15.75">
      <c r="A104" s="14" t="s">
        <v>113</v>
      </c>
      <c r="B104" s="90" t="s">
        <v>65</v>
      </c>
      <c r="C104" s="97">
        <v>0.01</v>
      </c>
      <c r="D104" s="97">
        <v>305.0</v>
      </c>
      <c r="E104" s="92">
        <v>47.0</v>
      </c>
      <c r="F104" s="92">
        <v>15.0</v>
      </c>
      <c r="G104" s="92">
        <f t="shared" si="5"/>
        <v>367.01</v>
      </c>
      <c r="H104" s="93">
        <f t="shared" si="4"/>
        <v>3.6701E7</v>
      </c>
    </row>
    <row r="105" spans="8:8" ht="15.75">
      <c r="A105" s="14" t="s">
        <v>114</v>
      </c>
      <c r="B105" s="90" t="s">
        <v>65</v>
      </c>
      <c r="C105" s="97">
        <v>0.01</v>
      </c>
      <c r="D105" s="97">
        <v>269.0</v>
      </c>
      <c r="E105" s="92">
        <v>47.0</v>
      </c>
      <c r="F105" s="92">
        <v>15.0</v>
      </c>
      <c r="G105" s="92">
        <f t="shared" si="5"/>
        <v>331.01</v>
      </c>
      <c r="H105" s="93">
        <f t="shared" si="4"/>
        <v>3.3101E7</v>
      </c>
    </row>
    <row r="106" spans="8:8" ht="15.75">
      <c r="A106" s="14" t="s">
        <v>115</v>
      </c>
      <c r="B106" s="90" t="s">
        <v>65</v>
      </c>
      <c r="C106" s="97">
        <v>0.01</v>
      </c>
      <c r="D106" s="97">
        <v>281.0</v>
      </c>
      <c r="E106" s="92">
        <v>47.0</v>
      </c>
      <c r="F106" s="92">
        <v>15.0</v>
      </c>
      <c r="G106" s="92">
        <f t="shared" si="5"/>
        <v>343.01</v>
      </c>
      <c r="H106" s="93">
        <f t="shared" si="4"/>
        <v>3.4301E7</v>
      </c>
    </row>
    <row r="107" spans="8:8" ht="15.75">
      <c r="A107" s="14" t="s">
        <v>116</v>
      </c>
      <c r="B107" s="90" t="s">
        <v>65</v>
      </c>
      <c r="C107" s="97">
        <v>0.01</v>
      </c>
      <c r="D107" s="97">
        <v>314.0</v>
      </c>
      <c r="E107" s="92">
        <v>47.0</v>
      </c>
      <c r="F107" s="92">
        <v>15.0</v>
      </c>
      <c r="G107" s="92">
        <f t="shared" si="5"/>
        <v>376.01</v>
      </c>
      <c r="H107" s="93">
        <f t="shared" si="4"/>
        <v>3.7601E7</v>
      </c>
    </row>
    <row r="108" spans="8:8" ht="15.75">
      <c r="A108" s="14" t="s">
        <v>117</v>
      </c>
      <c r="B108" s="90" t="s">
        <v>65</v>
      </c>
      <c r="C108" s="97">
        <v>0.01</v>
      </c>
      <c r="D108" s="97">
        <v>276.0</v>
      </c>
      <c r="E108" s="92">
        <v>47.0</v>
      </c>
      <c r="F108" s="92">
        <v>15.0</v>
      </c>
      <c r="G108" s="92">
        <f t="shared" si="5"/>
        <v>338.01</v>
      </c>
      <c r="H108" s="93">
        <f t="shared" si="4"/>
        <v>3.3801E7</v>
      </c>
    </row>
    <row r="109" spans="8:8" ht="15.75">
      <c r="A109" s="14" t="s">
        <v>118</v>
      </c>
      <c r="B109" s="90" t="s">
        <v>65</v>
      </c>
      <c r="C109" s="97">
        <v>0.01</v>
      </c>
      <c r="D109" s="97">
        <v>244.0</v>
      </c>
      <c r="E109" s="92">
        <v>47.0</v>
      </c>
      <c r="F109" s="92">
        <v>15.0</v>
      </c>
      <c r="G109" s="92">
        <f t="shared" si="5"/>
        <v>306.01</v>
      </c>
      <c r="H109" s="93">
        <f t="shared" si="4"/>
        <v>3.0601E7</v>
      </c>
    </row>
    <row r="110" spans="8:8" ht="15.75">
      <c r="A110" s="14" t="s">
        <v>119</v>
      </c>
      <c r="B110" s="90" t="s">
        <v>65</v>
      </c>
      <c r="C110" s="97">
        <v>0.01</v>
      </c>
      <c r="D110" s="97">
        <v>281.0</v>
      </c>
      <c r="E110" s="92">
        <v>47.0</v>
      </c>
      <c r="F110" s="92">
        <v>15.0</v>
      </c>
      <c r="G110" s="92">
        <f t="shared" si="5"/>
        <v>343.01</v>
      </c>
      <c r="H110" s="93">
        <f t="shared" si="4"/>
        <v>3.4301E7</v>
      </c>
    </row>
    <row r="111" spans="8:8" ht="15.75">
      <c r="A111" s="14" t="s">
        <v>120</v>
      </c>
      <c r="B111" s="90" t="s">
        <v>65</v>
      </c>
      <c r="C111" s="97">
        <v>0.01</v>
      </c>
      <c r="D111" s="97">
        <v>394.0</v>
      </c>
      <c r="E111" s="92">
        <v>47.0</v>
      </c>
      <c r="F111" s="92">
        <v>15.0</v>
      </c>
      <c r="G111" s="92">
        <f t="shared" si="5"/>
        <v>456.01</v>
      </c>
      <c r="H111" s="93">
        <f t="shared" si="4"/>
        <v>4.5601E7</v>
      </c>
    </row>
    <row r="112" spans="8:8" ht="15.75">
      <c r="A112" s="14" t="s">
        <v>121</v>
      </c>
      <c r="B112" s="90" t="s">
        <v>65</v>
      </c>
      <c r="C112" s="97">
        <v>0.01</v>
      </c>
      <c r="D112" s="97">
        <v>434.0</v>
      </c>
      <c r="E112" s="92">
        <v>47.0</v>
      </c>
      <c r="F112" s="92">
        <v>15.0</v>
      </c>
      <c r="G112" s="92">
        <f t="shared" si="5"/>
        <v>496.01</v>
      </c>
      <c r="H112" s="93">
        <f t="shared" si="4"/>
        <v>4.9601E7</v>
      </c>
    </row>
    <row r="113" spans="8:8" ht="15.75">
      <c r="A113" s="14" t="s">
        <v>122</v>
      </c>
      <c r="B113" s="90" t="s">
        <v>65</v>
      </c>
      <c r="C113" s="97">
        <v>0.01</v>
      </c>
      <c r="D113" s="97">
        <v>259.0</v>
      </c>
      <c r="E113" s="92">
        <v>47.0</v>
      </c>
      <c r="F113" s="92">
        <v>15.0</v>
      </c>
      <c r="G113" s="92">
        <f t="shared" si="5"/>
        <v>321.01</v>
      </c>
      <c r="H113" s="93">
        <f t="shared" si="4"/>
        <v>3.2101E7</v>
      </c>
    </row>
    <row r="114" spans="8:8" ht="15.75">
      <c r="A114" s="14" t="s">
        <v>123</v>
      </c>
      <c r="B114" s="90" t="s">
        <v>65</v>
      </c>
      <c r="C114" s="97">
        <v>0.01</v>
      </c>
      <c r="D114" s="97">
        <v>289.0</v>
      </c>
      <c r="E114" s="92">
        <v>47.0</v>
      </c>
      <c r="F114" s="92">
        <v>15.0</v>
      </c>
      <c r="G114" s="92">
        <f t="shared" si="5"/>
        <v>351.01</v>
      </c>
      <c r="H114" s="93">
        <f t="shared" si="4"/>
        <v>3.5101E7</v>
      </c>
    </row>
    <row r="115" spans="8:8" ht="15.75">
      <c r="A115" s="14" t="s">
        <v>124</v>
      </c>
      <c r="B115" s="90" t="s">
        <v>65</v>
      </c>
      <c r="C115" s="97">
        <v>0.01</v>
      </c>
      <c r="D115" s="97">
        <v>323.0</v>
      </c>
      <c r="E115" s="92">
        <v>47.0</v>
      </c>
      <c r="F115" s="92">
        <v>15.0</v>
      </c>
      <c r="G115" s="92">
        <f t="shared" si="5"/>
        <v>385.01</v>
      </c>
      <c r="H115" s="93">
        <f t="shared" si="4"/>
        <v>3.8501E7</v>
      </c>
    </row>
    <row r="116" spans="8:8" ht="15.75">
      <c r="A116" s="14" t="s">
        <v>125</v>
      </c>
      <c r="B116" s="90" t="s">
        <v>65</v>
      </c>
      <c r="C116" s="97">
        <v>0.01</v>
      </c>
      <c r="D116" s="97">
        <v>337.0</v>
      </c>
      <c r="E116" s="92">
        <v>47.0</v>
      </c>
      <c r="F116" s="92">
        <v>15.0</v>
      </c>
      <c r="G116" s="92">
        <f t="shared" si="5"/>
        <v>399.01</v>
      </c>
      <c r="H116" s="93">
        <f t="shared" si="4"/>
        <v>3.9901E7</v>
      </c>
    </row>
    <row r="117" spans="8:8" ht="15.75">
      <c r="A117" s="14" t="s">
        <v>126</v>
      </c>
      <c r="B117" s="90" t="s">
        <v>65</v>
      </c>
      <c r="C117" s="97">
        <v>0.01</v>
      </c>
      <c r="D117" s="97">
        <v>449.0</v>
      </c>
      <c r="E117" s="92">
        <v>47.0</v>
      </c>
      <c r="F117" s="92">
        <v>15.0</v>
      </c>
      <c r="G117" s="92">
        <f t="shared" si="6" ref="G117:G180">SUM(C117:F117)</f>
        <v>511.01</v>
      </c>
      <c r="H117" s="93">
        <f t="shared" si="4"/>
        <v>5.1101E7</v>
      </c>
    </row>
    <row r="118" spans="8:8" ht="15.75">
      <c r="A118" s="14" t="s">
        <v>127</v>
      </c>
      <c r="B118" s="90" t="s">
        <v>65</v>
      </c>
      <c r="C118" s="97">
        <v>0.01</v>
      </c>
      <c r="D118" s="97">
        <v>408.0</v>
      </c>
      <c r="E118" s="92">
        <v>47.0</v>
      </c>
      <c r="F118" s="92">
        <v>15.0</v>
      </c>
      <c r="G118" s="92">
        <f t="shared" si="6"/>
        <v>470.01</v>
      </c>
      <c r="H118" s="93">
        <f t="shared" si="4"/>
        <v>4.7001E7</v>
      </c>
    </row>
    <row r="119" spans="8:8" ht="15.75">
      <c r="A119" s="14" t="s">
        <v>128</v>
      </c>
      <c r="B119" s="90" t="s">
        <v>65</v>
      </c>
      <c r="C119" s="97">
        <v>0.01</v>
      </c>
      <c r="D119" s="97">
        <v>434.0</v>
      </c>
      <c r="E119" s="92">
        <v>47.0</v>
      </c>
      <c r="F119" s="92">
        <v>15.0</v>
      </c>
      <c r="G119" s="92">
        <f t="shared" si="6"/>
        <v>496.01</v>
      </c>
      <c r="H119" s="93">
        <f t="shared" si="4"/>
        <v>4.9601E7</v>
      </c>
    </row>
    <row r="120" spans="8:8" ht="15.75">
      <c r="A120" s="14" t="s">
        <v>129</v>
      </c>
      <c r="B120" s="90" t="s">
        <v>65</v>
      </c>
      <c r="C120" s="97">
        <v>0.01</v>
      </c>
      <c r="D120" s="97">
        <v>450.0</v>
      </c>
      <c r="E120" s="92">
        <v>47.0</v>
      </c>
      <c r="F120" s="92">
        <v>15.0</v>
      </c>
      <c r="G120" s="92">
        <f t="shared" si="6"/>
        <v>512.01</v>
      </c>
      <c r="H120" s="93">
        <f t="shared" si="4"/>
        <v>5.1201E7</v>
      </c>
    </row>
    <row r="121" spans="8:8" ht="15.75">
      <c r="A121" s="14" t="s">
        <v>130</v>
      </c>
      <c r="B121" s="90" t="s">
        <v>65</v>
      </c>
      <c r="C121" s="97">
        <v>0.01</v>
      </c>
      <c r="D121" s="97">
        <v>495.0</v>
      </c>
      <c r="E121" s="92">
        <v>47.0</v>
      </c>
      <c r="F121" s="92">
        <v>15.0</v>
      </c>
      <c r="G121" s="92">
        <f t="shared" si="6"/>
        <v>557.01</v>
      </c>
      <c r="H121" s="93">
        <f t="shared" si="4"/>
        <v>5.5701E7</v>
      </c>
    </row>
    <row r="122" spans="8:8" ht="15.75">
      <c r="A122" s="14" t="s">
        <v>131</v>
      </c>
      <c r="B122" s="90" t="s">
        <v>65</v>
      </c>
      <c r="C122" s="97">
        <v>0.01</v>
      </c>
      <c r="D122" s="97">
        <v>511.0</v>
      </c>
      <c r="E122" s="92">
        <v>47.0</v>
      </c>
      <c r="F122" s="92">
        <v>15.0</v>
      </c>
      <c r="G122" s="92">
        <f t="shared" si="6"/>
        <v>573.01</v>
      </c>
      <c r="H122" s="93">
        <f t="shared" si="4"/>
        <v>5.7301E7</v>
      </c>
    </row>
    <row r="123" spans="8:8" ht="15.75">
      <c r="A123" s="14" t="s">
        <v>132</v>
      </c>
      <c r="B123" s="90" t="s">
        <v>65</v>
      </c>
      <c r="C123" s="97">
        <v>0.01</v>
      </c>
      <c r="D123" s="97">
        <v>258.0</v>
      </c>
      <c r="E123" s="92">
        <v>47.0</v>
      </c>
      <c r="F123" s="92">
        <v>15.0</v>
      </c>
      <c r="G123" s="92">
        <f t="shared" si="6"/>
        <v>320.01</v>
      </c>
      <c r="H123" s="93">
        <f t="shared" si="4"/>
        <v>3.2001E7</v>
      </c>
    </row>
    <row r="124" spans="8:8" ht="15.75">
      <c r="A124" s="14" t="s">
        <v>133</v>
      </c>
      <c r="B124" s="90" t="s">
        <v>65</v>
      </c>
      <c r="C124" s="97">
        <v>0.01</v>
      </c>
      <c r="D124" s="97">
        <v>281.0</v>
      </c>
      <c r="E124" s="92">
        <v>47.0</v>
      </c>
      <c r="F124" s="92">
        <v>15.0</v>
      </c>
      <c r="G124" s="92">
        <f t="shared" si="6"/>
        <v>343.01</v>
      </c>
      <c r="H124" s="93">
        <f t="shared" si="4"/>
        <v>3.4301E7</v>
      </c>
    </row>
    <row r="125" spans="8:8" ht="15.75">
      <c r="A125" s="14" t="s">
        <v>134</v>
      </c>
      <c r="B125" s="90" t="s">
        <v>65</v>
      </c>
      <c r="C125" s="97">
        <v>0.01</v>
      </c>
      <c r="D125" s="97">
        <v>303.0</v>
      </c>
      <c r="E125" s="92">
        <v>47.0</v>
      </c>
      <c r="F125" s="92">
        <v>15.0</v>
      </c>
      <c r="G125" s="92">
        <f t="shared" si="6"/>
        <v>365.01</v>
      </c>
      <c r="H125" s="93">
        <f t="shared" si="4"/>
        <v>3.6501E7</v>
      </c>
    </row>
    <row r="126" spans="8:8" ht="15.75">
      <c r="A126" s="14" t="s">
        <v>135</v>
      </c>
      <c r="B126" s="90" t="s">
        <v>65</v>
      </c>
      <c r="C126" s="97">
        <v>0.01</v>
      </c>
      <c r="D126" s="97">
        <v>269.0</v>
      </c>
      <c r="E126" s="92">
        <v>47.0</v>
      </c>
      <c r="F126" s="92">
        <v>15.0</v>
      </c>
      <c r="G126" s="92">
        <f t="shared" si="6"/>
        <v>331.01</v>
      </c>
      <c r="H126" s="93">
        <f t="shared" si="4"/>
        <v>3.3101E7</v>
      </c>
    </row>
    <row r="127" spans="8:8" ht="15.75">
      <c r="A127" s="14" t="s">
        <v>136</v>
      </c>
      <c r="B127" s="90" t="s">
        <v>65</v>
      </c>
      <c r="C127" s="97">
        <v>0.01</v>
      </c>
      <c r="D127" s="97">
        <v>281.0</v>
      </c>
      <c r="E127" s="92">
        <v>47.0</v>
      </c>
      <c r="F127" s="92">
        <v>15.0</v>
      </c>
      <c r="G127" s="92">
        <f t="shared" si="6"/>
        <v>343.01</v>
      </c>
      <c r="H127" s="93">
        <f t="shared" si="4"/>
        <v>3.4301E7</v>
      </c>
    </row>
    <row r="128" spans="8:8" ht="15.75">
      <c r="A128" s="14" t="s">
        <v>137</v>
      </c>
      <c r="B128" s="90" t="s">
        <v>65</v>
      </c>
      <c r="C128" s="97">
        <v>0.01</v>
      </c>
      <c r="D128" s="97">
        <v>400.0</v>
      </c>
      <c r="E128" s="92">
        <v>47.0</v>
      </c>
      <c r="F128" s="92">
        <v>15.0</v>
      </c>
      <c r="G128" s="92">
        <f t="shared" si="6"/>
        <v>462.01</v>
      </c>
      <c r="H128" s="93">
        <f t="shared" si="4"/>
        <v>4.6201E7</v>
      </c>
    </row>
    <row r="129" spans="8:8" ht="15.75">
      <c r="A129" s="14" t="s">
        <v>138</v>
      </c>
      <c r="B129" s="90" t="s">
        <v>65</v>
      </c>
      <c r="C129" s="97">
        <v>0.01</v>
      </c>
      <c r="D129" s="97">
        <v>423.0</v>
      </c>
      <c r="E129" s="92">
        <v>47.0</v>
      </c>
      <c r="F129" s="92">
        <v>15.0</v>
      </c>
      <c r="G129" s="92">
        <f t="shared" si="6"/>
        <v>485.01</v>
      </c>
      <c r="H129" s="93">
        <f t="shared" si="4"/>
        <v>4.8501E7</v>
      </c>
    </row>
    <row r="130" spans="8:8" ht="15.75">
      <c r="A130" s="14" t="s">
        <v>139</v>
      </c>
      <c r="B130" s="90" t="s">
        <v>65</v>
      </c>
      <c r="C130" s="97">
        <v>0.01</v>
      </c>
      <c r="D130" s="97">
        <v>250.0</v>
      </c>
      <c r="E130" s="92">
        <v>47.0</v>
      </c>
      <c r="F130" s="92">
        <v>15.0</v>
      </c>
      <c r="G130" s="92">
        <f t="shared" si="6"/>
        <v>312.01</v>
      </c>
      <c r="H130" s="93">
        <f t="shared" si="4"/>
        <v>3.1201E7</v>
      </c>
    </row>
    <row r="131" spans="8:8" ht="15.75">
      <c r="A131" s="14" t="s">
        <v>140</v>
      </c>
      <c r="B131" s="90" t="s">
        <v>65</v>
      </c>
      <c r="C131" s="97">
        <v>0.01</v>
      </c>
      <c r="D131" s="97">
        <v>274.0</v>
      </c>
      <c r="E131" s="92">
        <v>47.0</v>
      </c>
      <c r="F131" s="92">
        <v>15.0</v>
      </c>
      <c r="G131" s="92">
        <f t="shared" si="6"/>
        <v>336.01</v>
      </c>
      <c r="H131" s="93">
        <f t="shared" si="7" ref="H131:H190">G131*100000</f>
        <v>3.3601E7</v>
      </c>
    </row>
    <row r="132" spans="8:8" ht="15.75">
      <c r="A132" s="14" t="s">
        <v>141</v>
      </c>
      <c r="B132" s="90" t="s">
        <v>65</v>
      </c>
      <c r="C132" s="97">
        <v>0.01</v>
      </c>
      <c r="D132" s="97">
        <v>326.0</v>
      </c>
      <c r="E132" s="92">
        <v>47.0</v>
      </c>
      <c r="F132" s="92">
        <v>15.0</v>
      </c>
      <c r="G132" s="92">
        <f t="shared" si="6"/>
        <v>388.01</v>
      </c>
      <c r="H132" s="93">
        <f t="shared" si="7"/>
        <v>3.8801E7</v>
      </c>
    </row>
    <row r="133" spans="8:8" ht="15.75">
      <c r="A133" s="14" t="s">
        <v>142</v>
      </c>
      <c r="B133" s="90" t="s">
        <v>65</v>
      </c>
      <c r="C133" s="97">
        <v>0.01</v>
      </c>
      <c r="D133" s="97">
        <v>405.0</v>
      </c>
      <c r="E133" s="92">
        <v>47.0</v>
      </c>
      <c r="F133" s="92">
        <v>15.0</v>
      </c>
      <c r="G133" s="92">
        <f t="shared" si="6"/>
        <v>467.01</v>
      </c>
      <c r="H133" s="93">
        <f t="shared" si="7"/>
        <v>4.6701E7</v>
      </c>
    </row>
    <row r="134" spans="8:8" ht="15.75">
      <c r="A134" s="14" t="s">
        <v>143</v>
      </c>
      <c r="B134" s="90" t="s">
        <v>65</v>
      </c>
      <c r="C134" s="97">
        <v>0.01</v>
      </c>
      <c r="D134" s="97">
        <v>448.0</v>
      </c>
      <c r="E134" s="92">
        <v>47.0</v>
      </c>
      <c r="F134" s="92">
        <v>15.0</v>
      </c>
      <c r="G134" s="92">
        <f t="shared" si="6"/>
        <v>510.01</v>
      </c>
      <c r="H134" s="93">
        <f t="shared" si="7"/>
        <v>5.1001E7</v>
      </c>
    </row>
    <row r="135" spans="8:8" ht="15.75">
      <c r="A135" s="14" t="s">
        <v>144</v>
      </c>
      <c r="B135" s="90" t="s">
        <v>65</v>
      </c>
      <c r="C135" s="97">
        <v>0.01</v>
      </c>
      <c r="D135" s="97">
        <v>454.0</v>
      </c>
      <c r="E135" s="92">
        <v>47.0</v>
      </c>
      <c r="F135" s="92">
        <v>15.0</v>
      </c>
      <c r="G135" s="92">
        <f t="shared" si="6"/>
        <v>516.01</v>
      </c>
      <c r="H135" s="93">
        <f t="shared" si="7"/>
        <v>5.1601E7</v>
      </c>
    </row>
    <row r="136" spans="8:8" ht="15.75">
      <c r="A136" s="14" t="s">
        <v>145</v>
      </c>
      <c r="B136" s="90" t="s">
        <v>65</v>
      </c>
      <c r="C136" s="97">
        <v>0.01</v>
      </c>
      <c r="D136" s="97">
        <v>250.0</v>
      </c>
      <c r="E136" s="92">
        <v>47.0</v>
      </c>
      <c r="F136" s="92">
        <v>15.0</v>
      </c>
      <c r="G136" s="92">
        <f t="shared" si="6"/>
        <v>312.01</v>
      </c>
      <c r="H136" s="93">
        <f t="shared" si="7"/>
        <v>3.1201E7</v>
      </c>
    </row>
    <row r="137" spans="8:8" ht="15.75">
      <c r="A137" s="14" t="s">
        <v>146</v>
      </c>
      <c r="B137" s="90" t="s">
        <v>65</v>
      </c>
      <c r="C137" s="97">
        <v>0.01</v>
      </c>
      <c r="D137" s="97">
        <v>274.0</v>
      </c>
      <c r="E137" s="92">
        <v>47.0</v>
      </c>
      <c r="F137" s="92">
        <v>15.0</v>
      </c>
      <c r="G137" s="92">
        <f t="shared" si="6"/>
        <v>336.01</v>
      </c>
      <c r="H137" s="93">
        <f t="shared" si="7"/>
        <v>3.3601E7</v>
      </c>
    </row>
    <row r="138" spans="8:8" ht="15.75">
      <c r="A138" s="14" t="s">
        <v>147</v>
      </c>
      <c r="B138" s="90" t="s">
        <v>65</v>
      </c>
      <c r="C138" s="97">
        <v>0.01</v>
      </c>
      <c r="D138" s="97">
        <v>326.0</v>
      </c>
      <c r="E138" s="92">
        <v>47.0</v>
      </c>
      <c r="F138" s="92">
        <v>15.0</v>
      </c>
      <c r="G138" s="92">
        <f t="shared" si="6"/>
        <v>388.01</v>
      </c>
      <c r="H138" s="93">
        <f t="shared" si="7"/>
        <v>3.8801E7</v>
      </c>
    </row>
    <row r="139" spans="8:8" ht="15.75">
      <c r="A139" s="14" t="s">
        <v>148</v>
      </c>
      <c r="B139" s="90" t="s">
        <v>65</v>
      </c>
      <c r="C139" s="97">
        <v>0.01</v>
      </c>
      <c r="D139" s="97">
        <v>274.0</v>
      </c>
      <c r="E139" s="92">
        <v>47.0</v>
      </c>
      <c r="F139" s="92">
        <v>15.0</v>
      </c>
      <c r="G139" s="92">
        <f t="shared" si="6"/>
        <v>336.01</v>
      </c>
      <c r="H139" s="93">
        <f t="shared" si="7"/>
        <v>3.3601E7</v>
      </c>
    </row>
    <row r="140" spans="8:8" ht="15.75">
      <c r="A140" s="14" t="s">
        <v>149</v>
      </c>
      <c r="B140" s="90" t="s">
        <v>65</v>
      </c>
      <c r="C140" s="97">
        <v>0.01</v>
      </c>
      <c r="D140" s="97">
        <v>326.0</v>
      </c>
      <c r="E140" s="92">
        <v>47.0</v>
      </c>
      <c r="F140" s="92">
        <v>15.0</v>
      </c>
      <c r="G140" s="92">
        <f t="shared" si="6"/>
        <v>388.01</v>
      </c>
      <c r="H140" s="93">
        <f t="shared" si="7"/>
        <v>3.8801E7</v>
      </c>
    </row>
    <row r="141" spans="8:8" ht="15.75">
      <c r="A141" s="14" t="s">
        <v>150</v>
      </c>
      <c r="B141" s="90" t="s">
        <v>65</v>
      </c>
      <c r="C141" s="97">
        <v>0.01</v>
      </c>
      <c r="D141" s="97">
        <v>541.0</v>
      </c>
      <c r="E141" s="92">
        <v>47.0</v>
      </c>
      <c r="F141" s="92">
        <v>15.0</v>
      </c>
      <c r="G141" s="92">
        <f t="shared" si="6"/>
        <v>603.01</v>
      </c>
      <c r="H141" s="93">
        <f t="shared" si="7"/>
        <v>6.0301E7</v>
      </c>
    </row>
    <row r="142" spans="8:8" ht="15.75">
      <c r="A142" s="14" t="s">
        <v>151</v>
      </c>
      <c r="B142" s="90" t="s">
        <v>65</v>
      </c>
      <c r="C142" s="97">
        <v>0.01</v>
      </c>
      <c r="D142" s="97">
        <v>449.0</v>
      </c>
      <c r="E142" s="92">
        <v>47.0</v>
      </c>
      <c r="F142" s="92">
        <v>15.0</v>
      </c>
      <c r="G142" s="92">
        <f t="shared" si="6"/>
        <v>511.01</v>
      </c>
      <c r="H142" s="93">
        <f t="shared" si="7"/>
        <v>5.1101E7</v>
      </c>
    </row>
    <row r="143" spans="8:8" ht="15.75">
      <c r="A143" s="14" t="s">
        <v>152</v>
      </c>
      <c r="B143" s="90" t="s">
        <v>65</v>
      </c>
      <c r="C143" s="97">
        <v>0.01</v>
      </c>
      <c r="D143" s="97">
        <v>462.0</v>
      </c>
      <c r="E143" s="92">
        <v>47.0</v>
      </c>
      <c r="F143" s="92">
        <v>15.0</v>
      </c>
      <c r="G143" s="92">
        <f t="shared" si="6"/>
        <v>524.01</v>
      </c>
      <c r="H143" s="93">
        <f t="shared" si="7"/>
        <v>5.2401E7</v>
      </c>
    </row>
    <row r="144" spans="8:8" ht="15.75">
      <c r="A144" s="14" t="s">
        <v>153</v>
      </c>
      <c r="B144" s="90" t="s">
        <v>65</v>
      </c>
      <c r="C144" s="97">
        <v>0.01</v>
      </c>
      <c r="D144" s="97">
        <v>1300.0</v>
      </c>
      <c r="E144" s="92">
        <v>47.0</v>
      </c>
      <c r="F144" s="92">
        <v>15.0</v>
      </c>
      <c r="G144" s="92">
        <f t="shared" si="6"/>
        <v>1362.01</v>
      </c>
      <c r="H144" s="93">
        <f t="shared" si="7"/>
        <v>1.36201E8</v>
      </c>
    </row>
    <row r="145" spans="8:8" ht="15.75">
      <c r="A145" s="14" t="s">
        <v>154</v>
      </c>
      <c r="B145" s="90" t="s">
        <v>65</v>
      </c>
      <c r="C145" s="97">
        <v>0.01</v>
      </c>
      <c r="D145" s="97">
        <v>250.0</v>
      </c>
      <c r="E145" s="92">
        <v>47.0</v>
      </c>
      <c r="F145" s="92">
        <v>15.0</v>
      </c>
      <c r="G145" s="92">
        <f t="shared" si="6"/>
        <v>312.01</v>
      </c>
      <c r="H145" s="93">
        <f t="shared" si="7"/>
        <v>3.1201E7</v>
      </c>
    </row>
    <row r="146" spans="8:8" ht="15.75">
      <c r="A146" s="14" t="s">
        <v>155</v>
      </c>
      <c r="B146" s="90" t="s">
        <v>65</v>
      </c>
      <c r="C146" s="97">
        <v>0.01</v>
      </c>
      <c r="D146" s="97">
        <v>265.0</v>
      </c>
      <c r="E146" s="92">
        <v>47.0</v>
      </c>
      <c r="F146" s="92">
        <v>15.0</v>
      </c>
      <c r="G146" s="92">
        <f t="shared" si="6"/>
        <v>327.01</v>
      </c>
      <c r="H146" s="93">
        <f t="shared" si="7"/>
        <v>3.2701E7</v>
      </c>
    </row>
    <row r="147" spans="8:8" ht="15.75">
      <c r="A147" s="14" t="s">
        <v>156</v>
      </c>
      <c r="B147" s="90" t="s">
        <v>65</v>
      </c>
      <c r="C147" s="97">
        <v>0.01</v>
      </c>
      <c r="D147" s="97">
        <v>282.0</v>
      </c>
      <c r="E147" s="92">
        <v>47.0</v>
      </c>
      <c r="F147" s="92">
        <v>15.0</v>
      </c>
      <c r="G147" s="92">
        <f t="shared" si="6"/>
        <v>344.01</v>
      </c>
      <c r="H147" s="93">
        <f t="shared" si="7"/>
        <v>3.4401E7</v>
      </c>
    </row>
    <row r="148" spans="8:8" ht="15.75">
      <c r="A148" s="14" t="s">
        <v>157</v>
      </c>
      <c r="B148" s="90" t="s">
        <v>65</v>
      </c>
      <c r="C148" s="97">
        <v>0.01</v>
      </c>
      <c r="D148" s="97">
        <v>265.0</v>
      </c>
      <c r="E148" s="92">
        <v>47.0</v>
      </c>
      <c r="F148" s="92">
        <v>15.0</v>
      </c>
      <c r="G148" s="92">
        <f t="shared" si="6"/>
        <v>327.01</v>
      </c>
      <c r="H148" s="93">
        <f t="shared" si="7"/>
        <v>3.2701E7</v>
      </c>
    </row>
    <row r="149" spans="8:8" ht="15.75">
      <c r="A149" s="14" t="s">
        <v>158</v>
      </c>
      <c r="B149" s="90" t="s">
        <v>65</v>
      </c>
      <c r="C149" s="97">
        <v>0.01</v>
      </c>
      <c r="D149" s="97">
        <v>282.0</v>
      </c>
      <c r="E149" s="92">
        <v>47.0</v>
      </c>
      <c r="F149" s="92">
        <v>15.0</v>
      </c>
      <c r="G149" s="92">
        <f t="shared" si="6"/>
        <v>344.01</v>
      </c>
      <c r="H149" s="93">
        <f t="shared" si="7"/>
        <v>3.4401E7</v>
      </c>
    </row>
    <row r="150" spans="8:8" ht="15.75">
      <c r="A150" s="14" t="s">
        <v>159</v>
      </c>
      <c r="B150" s="90" t="s">
        <v>65</v>
      </c>
      <c r="C150" s="97">
        <v>0.01</v>
      </c>
      <c r="D150" s="97">
        <v>305.0</v>
      </c>
      <c r="E150" s="92">
        <v>47.0</v>
      </c>
      <c r="F150" s="92">
        <v>15.0</v>
      </c>
      <c r="G150" s="92">
        <f t="shared" si="6"/>
        <v>367.01</v>
      </c>
      <c r="H150" s="93">
        <f t="shared" si="7"/>
        <v>3.6701E7</v>
      </c>
    </row>
    <row r="151" spans="8:8" ht="15.75">
      <c r="A151" s="14" t="s">
        <v>160</v>
      </c>
      <c r="B151" s="90" t="s">
        <v>65</v>
      </c>
      <c r="C151" s="97">
        <v>0.01</v>
      </c>
      <c r="D151" s="97">
        <v>274.0</v>
      </c>
      <c r="E151" s="92">
        <v>47.0</v>
      </c>
      <c r="F151" s="92">
        <v>15.0</v>
      </c>
      <c r="G151" s="92">
        <f t="shared" si="6"/>
        <v>336.01</v>
      </c>
      <c r="H151" s="93">
        <f t="shared" si="7"/>
        <v>3.3601E7</v>
      </c>
    </row>
    <row r="152" spans="8:8" ht="15.75">
      <c r="A152" s="14" t="s">
        <v>161</v>
      </c>
      <c r="B152" s="90" t="s">
        <v>65</v>
      </c>
      <c r="C152" s="97">
        <v>0.01</v>
      </c>
      <c r="D152" s="97">
        <v>326.0</v>
      </c>
      <c r="E152" s="92">
        <v>47.0</v>
      </c>
      <c r="F152" s="92">
        <v>15.0</v>
      </c>
      <c r="G152" s="92">
        <f t="shared" si="6"/>
        <v>388.01</v>
      </c>
      <c r="H152" s="93">
        <f t="shared" si="7"/>
        <v>3.8801E7</v>
      </c>
    </row>
    <row r="153" spans="8:8" ht="15.75">
      <c r="A153" s="14" t="s">
        <v>162</v>
      </c>
      <c r="B153" s="90" t="s">
        <v>65</v>
      </c>
      <c r="C153" s="97">
        <v>0.01</v>
      </c>
      <c r="D153" s="97">
        <v>426.0</v>
      </c>
      <c r="E153" s="92">
        <v>47.0</v>
      </c>
      <c r="F153" s="92">
        <v>15.0</v>
      </c>
      <c r="G153" s="92">
        <f t="shared" si="6"/>
        <v>488.01</v>
      </c>
      <c r="H153" s="93">
        <f t="shared" si="7"/>
        <v>4.8801E7</v>
      </c>
    </row>
    <row r="154" spans="8:8" ht="15.75">
      <c r="A154" s="14" t="s">
        <v>163</v>
      </c>
      <c r="B154" s="90" t="s">
        <v>65</v>
      </c>
      <c r="C154" s="97">
        <v>0.01</v>
      </c>
      <c r="D154" s="97">
        <v>470.0</v>
      </c>
      <c r="E154" s="92">
        <v>47.0</v>
      </c>
      <c r="F154" s="92">
        <v>15.0</v>
      </c>
      <c r="G154" s="92">
        <f t="shared" si="6"/>
        <v>532.01</v>
      </c>
      <c r="H154" s="93">
        <f t="shared" si="7"/>
        <v>5.3201E7</v>
      </c>
    </row>
    <row r="155" spans="8:8" ht="15.75">
      <c r="A155" s="14" t="s">
        <v>164</v>
      </c>
      <c r="B155" s="90" t="s">
        <v>65</v>
      </c>
      <c r="C155" s="97">
        <v>0.01</v>
      </c>
      <c r="D155" s="97">
        <v>244.0</v>
      </c>
      <c r="E155" s="92">
        <v>47.0</v>
      </c>
      <c r="F155" s="92">
        <v>15.0</v>
      </c>
      <c r="G155" s="92">
        <f t="shared" si="6"/>
        <v>306.01</v>
      </c>
      <c r="H155" s="93">
        <f t="shared" si="7"/>
        <v>3.0601E7</v>
      </c>
    </row>
    <row r="156" spans="8:8" ht="15.75">
      <c r="A156" s="14" t="s">
        <v>165</v>
      </c>
      <c r="B156" s="90" t="s">
        <v>65</v>
      </c>
      <c r="C156" s="97">
        <v>0.01</v>
      </c>
      <c r="D156" s="97">
        <v>274.0</v>
      </c>
      <c r="E156" s="92">
        <v>47.0</v>
      </c>
      <c r="F156" s="92">
        <v>15.0</v>
      </c>
      <c r="G156" s="92">
        <f t="shared" si="6"/>
        <v>336.01</v>
      </c>
      <c r="H156" s="93">
        <f t="shared" si="7"/>
        <v>3.3601E7</v>
      </c>
    </row>
    <row r="157" spans="8:8" ht="15.75">
      <c r="A157" s="14" t="s">
        <v>166</v>
      </c>
      <c r="B157" s="90" t="s">
        <v>65</v>
      </c>
      <c r="C157" s="97">
        <v>0.01</v>
      </c>
      <c r="D157" s="97">
        <v>250.0</v>
      </c>
      <c r="E157" s="92">
        <v>47.0</v>
      </c>
      <c r="F157" s="92">
        <v>15.0</v>
      </c>
      <c r="G157" s="92">
        <f t="shared" si="6"/>
        <v>312.01</v>
      </c>
      <c r="H157" s="93">
        <f t="shared" si="7"/>
        <v>3.1201E7</v>
      </c>
    </row>
    <row r="158" spans="8:8" ht="15.75">
      <c r="A158" s="14" t="s">
        <v>167</v>
      </c>
      <c r="B158" s="90" t="s">
        <v>65</v>
      </c>
      <c r="C158" s="97">
        <v>0.01</v>
      </c>
      <c r="D158" s="97">
        <v>275.0</v>
      </c>
      <c r="E158" s="92">
        <v>47.0</v>
      </c>
      <c r="F158" s="92">
        <v>15.0</v>
      </c>
      <c r="G158" s="92">
        <f t="shared" si="6"/>
        <v>337.01</v>
      </c>
      <c r="H158" s="93">
        <f t="shared" si="7"/>
        <v>3.3701E7</v>
      </c>
    </row>
    <row r="159" spans="8:8" ht="15.75">
      <c r="A159" s="14" t="s">
        <v>168</v>
      </c>
      <c r="B159" s="90" t="s">
        <v>65</v>
      </c>
      <c r="C159" s="97">
        <v>0.01</v>
      </c>
      <c r="D159" s="97">
        <v>251.0</v>
      </c>
      <c r="E159" s="92">
        <v>47.0</v>
      </c>
      <c r="F159" s="92">
        <v>15.0</v>
      </c>
      <c r="G159" s="92">
        <f t="shared" si="6"/>
        <v>313.01</v>
      </c>
      <c r="H159" s="93">
        <f t="shared" si="7"/>
        <v>3.1301E7</v>
      </c>
    </row>
    <row r="160" spans="8:8" ht="15.75">
      <c r="A160" s="14" t="s">
        <v>169</v>
      </c>
      <c r="B160" s="90" t="s">
        <v>65</v>
      </c>
      <c r="C160" s="97">
        <v>0.01</v>
      </c>
      <c r="D160" s="97">
        <v>443.0</v>
      </c>
      <c r="E160" s="92">
        <v>47.0</v>
      </c>
      <c r="F160" s="92">
        <v>15.0</v>
      </c>
      <c r="G160" s="92">
        <f t="shared" si="6"/>
        <v>505.01</v>
      </c>
      <c r="H160" s="93">
        <f t="shared" si="7"/>
        <v>5.0501E7</v>
      </c>
    </row>
    <row r="161" spans="8:8" ht="15.75">
      <c r="A161" s="14" t="s">
        <v>170</v>
      </c>
      <c r="B161" s="90" t="s">
        <v>65</v>
      </c>
      <c r="C161" s="97">
        <v>0.01</v>
      </c>
      <c r="D161" s="97">
        <v>250.0</v>
      </c>
      <c r="E161" s="92">
        <v>47.0</v>
      </c>
      <c r="F161" s="92">
        <v>15.0</v>
      </c>
      <c r="G161" s="92">
        <f t="shared" si="6"/>
        <v>312.01</v>
      </c>
      <c r="H161" s="93">
        <f t="shared" si="7"/>
        <v>3.1201E7</v>
      </c>
    </row>
    <row r="162" spans="8:8" ht="15.75">
      <c r="A162" s="14" t="s">
        <v>171</v>
      </c>
      <c r="B162" s="90" t="s">
        <v>65</v>
      </c>
      <c r="C162" s="97">
        <v>0.01</v>
      </c>
      <c r="D162" s="97">
        <v>297.0</v>
      </c>
      <c r="E162" s="92">
        <v>47.0</v>
      </c>
      <c r="F162" s="92">
        <v>15.0</v>
      </c>
      <c r="G162" s="92">
        <f t="shared" si="6"/>
        <v>359.01</v>
      </c>
      <c r="H162" s="93">
        <f t="shared" si="7"/>
        <v>3.5901E7</v>
      </c>
    </row>
    <row r="163" spans="8:8" ht="15.75">
      <c r="A163" s="14" t="s">
        <v>172</v>
      </c>
      <c r="B163" s="90" t="s">
        <v>65</v>
      </c>
      <c r="C163" s="97">
        <v>0.01</v>
      </c>
      <c r="D163" s="97">
        <v>318.0</v>
      </c>
      <c r="E163" s="92">
        <v>47.0</v>
      </c>
      <c r="F163" s="92">
        <v>15.0</v>
      </c>
      <c r="G163" s="92">
        <f t="shared" si="6"/>
        <v>380.01</v>
      </c>
      <c r="H163" s="93">
        <f t="shared" si="7"/>
        <v>3.8001E7</v>
      </c>
    </row>
    <row r="164" spans="8:8" ht="15.75">
      <c r="A164" s="14" t="s">
        <v>173</v>
      </c>
      <c r="B164" s="90" t="s">
        <v>65</v>
      </c>
      <c r="C164" s="97">
        <v>0.01</v>
      </c>
      <c r="D164" s="97">
        <v>401.0</v>
      </c>
      <c r="E164" s="92">
        <v>47.0</v>
      </c>
      <c r="F164" s="92">
        <v>15.0</v>
      </c>
      <c r="G164" s="92">
        <f t="shared" si="6"/>
        <v>463.01</v>
      </c>
      <c r="H164" s="93">
        <f t="shared" si="7"/>
        <v>4.6301E7</v>
      </c>
    </row>
    <row r="165" spans="8:8" ht="15.75">
      <c r="A165" s="14" t="s">
        <v>174</v>
      </c>
      <c r="B165" s="90" t="s">
        <v>65</v>
      </c>
      <c r="C165" s="97">
        <v>0.01</v>
      </c>
      <c r="D165" s="97">
        <v>443.0</v>
      </c>
      <c r="E165" s="92">
        <v>47.0</v>
      </c>
      <c r="F165" s="92">
        <v>15.0</v>
      </c>
      <c r="G165" s="92">
        <f t="shared" si="6"/>
        <v>505.01</v>
      </c>
      <c r="H165" s="93">
        <f t="shared" si="7"/>
        <v>5.0501E7</v>
      </c>
    </row>
    <row r="166" spans="8:8" ht="15.75">
      <c r="A166" s="14" t="s">
        <v>175</v>
      </c>
      <c r="B166" s="90" t="s">
        <v>65</v>
      </c>
      <c r="C166" s="97">
        <v>0.01</v>
      </c>
      <c r="D166" s="97">
        <v>454.0</v>
      </c>
      <c r="E166" s="92">
        <v>47.0</v>
      </c>
      <c r="F166" s="92">
        <v>15.0</v>
      </c>
      <c r="G166" s="92">
        <f t="shared" si="6"/>
        <v>516.01</v>
      </c>
      <c r="H166" s="93">
        <f t="shared" si="7"/>
        <v>5.1601E7</v>
      </c>
    </row>
    <row r="167" spans="8:8" ht="15.75">
      <c r="A167" s="14" t="s">
        <v>176</v>
      </c>
      <c r="B167" s="90" t="s">
        <v>65</v>
      </c>
      <c r="C167" s="97">
        <v>0.01</v>
      </c>
      <c r="D167" s="97">
        <v>247.0</v>
      </c>
      <c r="E167" s="92">
        <v>47.0</v>
      </c>
      <c r="F167" s="92">
        <v>15.0</v>
      </c>
      <c r="G167" s="92">
        <f t="shared" si="6"/>
        <v>309.01</v>
      </c>
      <c r="H167" s="93">
        <f t="shared" si="7"/>
        <v>3.0901E7</v>
      </c>
    </row>
    <row r="168" spans="8:8" ht="15.75">
      <c r="A168" s="14" t="s">
        <v>177</v>
      </c>
      <c r="B168" s="90" t="s">
        <v>65</v>
      </c>
      <c r="C168" s="97">
        <v>0.01</v>
      </c>
      <c r="D168" s="97">
        <v>307.0</v>
      </c>
      <c r="E168" s="92">
        <v>47.0</v>
      </c>
      <c r="F168" s="92">
        <v>15.0</v>
      </c>
      <c r="G168" s="92">
        <f t="shared" si="6"/>
        <v>369.01</v>
      </c>
      <c r="H168" s="93">
        <f t="shared" si="7"/>
        <v>3.6901E7</v>
      </c>
    </row>
    <row r="169" spans="8:8" ht="15.75">
      <c r="A169" s="14" t="s">
        <v>178</v>
      </c>
      <c r="B169" s="90" t="s">
        <v>65</v>
      </c>
      <c r="C169" s="97">
        <v>180.0</v>
      </c>
      <c r="D169" s="97">
        <v>469.0</v>
      </c>
      <c r="E169" s="92">
        <v>47.0</v>
      </c>
      <c r="F169" s="92">
        <v>15.0</v>
      </c>
      <c r="G169" s="92">
        <f t="shared" si="6"/>
        <v>711.0</v>
      </c>
      <c r="H169" s="93">
        <f t="shared" si="7"/>
        <v>7.11E7</v>
      </c>
    </row>
    <row r="170" spans="8:8" ht="15.75">
      <c r="A170" s="14" t="s">
        <v>179</v>
      </c>
      <c r="B170" s="90" t="s">
        <v>65</v>
      </c>
      <c r="C170" s="97">
        <v>0.01</v>
      </c>
      <c r="D170" s="97">
        <v>601.0</v>
      </c>
      <c r="E170" s="92">
        <v>47.0</v>
      </c>
      <c r="F170" s="92">
        <v>15.0</v>
      </c>
      <c r="G170" s="92">
        <f t="shared" si="6"/>
        <v>663.01</v>
      </c>
      <c r="H170" s="93">
        <f t="shared" si="7"/>
        <v>6.6301E7</v>
      </c>
    </row>
    <row r="171" spans="8:8" ht="15.75">
      <c r="A171" s="14" t="s">
        <v>180</v>
      </c>
      <c r="B171" s="90" t="s">
        <v>65</v>
      </c>
      <c r="C171" s="97">
        <v>0.01</v>
      </c>
      <c r="D171" s="97">
        <v>274.0</v>
      </c>
      <c r="E171" s="92">
        <v>47.0</v>
      </c>
      <c r="F171" s="92">
        <v>15.0</v>
      </c>
      <c r="G171" s="92">
        <f t="shared" si="6"/>
        <v>336.01</v>
      </c>
      <c r="H171" s="93">
        <f t="shared" si="7"/>
        <v>3.3601E7</v>
      </c>
    </row>
    <row r="172" spans="8:8" ht="15.75">
      <c r="A172" s="14" t="s">
        <v>181</v>
      </c>
      <c r="B172" s="90" t="s">
        <v>65</v>
      </c>
      <c r="C172" s="97">
        <v>0.01</v>
      </c>
      <c r="D172" s="97">
        <v>426.0</v>
      </c>
      <c r="E172" s="92">
        <v>47.0</v>
      </c>
      <c r="F172" s="92">
        <v>15.0</v>
      </c>
      <c r="G172" s="92">
        <f t="shared" si="6"/>
        <v>488.01</v>
      </c>
      <c r="H172" s="93">
        <f t="shared" si="7"/>
        <v>4.8801E7</v>
      </c>
    </row>
    <row r="173" spans="8:8" ht="15.75">
      <c r="A173" s="14" t="s">
        <v>182</v>
      </c>
      <c r="B173" s="90" t="s">
        <v>65</v>
      </c>
      <c r="C173" s="97">
        <v>0.01</v>
      </c>
      <c r="D173" s="97">
        <v>250.0</v>
      </c>
      <c r="E173" s="92">
        <v>47.0</v>
      </c>
      <c r="F173" s="92">
        <v>15.0</v>
      </c>
      <c r="G173" s="92">
        <f t="shared" si="6"/>
        <v>312.01</v>
      </c>
      <c r="H173" s="93">
        <f t="shared" si="7"/>
        <v>3.1201E7</v>
      </c>
    </row>
    <row r="174" spans="8:8" ht="15.75">
      <c r="A174" s="14" t="s">
        <v>183</v>
      </c>
      <c r="B174" s="90" t="s">
        <v>65</v>
      </c>
      <c r="C174" s="97">
        <v>0.01</v>
      </c>
      <c r="D174" s="97">
        <v>274.0</v>
      </c>
      <c r="E174" s="92">
        <v>47.0</v>
      </c>
      <c r="F174" s="92">
        <v>15.0</v>
      </c>
      <c r="G174" s="92">
        <f t="shared" si="6"/>
        <v>336.01</v>
      </c>
      <c r="H174" s="93">
        <f t="shared" si="7"/>
        <v>3.3601E7</v>
      </c>
    </row>
    <row r="175" spans="8:8" ht="15.75">
      <c r="A175" s="14" t="s">
        <v>184</v>
      </c>
      <c r="B175" s="90" t="s">
        <v>65</v>
      </c>
      <c r="C175" s="97">
        <v>0.01</v>
      </c>
      <c r="D175" s="97">
        <v>327.0</v>
      </c>
      <c r="E175" s="92">
        <v>47.0</v>
      </c>
      <c r="F175" s="92">
        <v>15.0</v>
      </c>
      <c r="G175" s="92">
        <f t="shared" si="6"/>
        <v>389.01</v>
      </c>
      <c r="H175" s="93">
        <f t="shared" si="7"/>
        <v>3.8901E7</v>
      </c>
    </row>
    <row r="176" spans="8:8" ht="15.75">
      <c r="A176" s="14" t="s">
        <v>185</v>
      </c>
      <c r="B176" s="90" t="s">
        <v>65</v>
      </c>
      <c r="C176" s="97">
        <v>0.01</v>
      </c>
      <c r="D176" s="97">
        <v>405.0</v>
      </c>
      <c r="E176" s="92">
        <v>47.0</v>
      </c>
      <c r="F176" s="92">
        <v>15.0</v>
      </c>
      <c r="G176" s="92">
        <f t="shared" si="6"/>
        <v>467.01</v>
      </c>
      <c r="H176" s="93">
        <f t="shared" si="7"/>
        <v>4.6701E7</v>
      </c>
    </row>
    <row r="177" spans="8:8" ht="15.75">
      <c r="A177" s="14" t="s">
        <v>186</v>
      </c>
      <c r="B177" s="90" t="s">
        <v>65</v>
      </c>
      <c r="C177" s="97">
        <v>0.01</v>
      </c>
      <c r="D177" s="97">
        <v>423.0</v>
      </c>
      <c r="E177" s="92">
        <v>47.0</v>
      </c>
      <c r="F177" s="92">
        <v>15.0</v>
      </c>
      <c r="G177" s="92">
        <f t="shared" si="6"/>
        <v>485.01</v>
      </c>
      <c r="H177" s="93">
        <f t="shared" si="7"/>
        <v>4.8501E7</v>
      </c>
    </row>
    <row r="178" spans="8:8" ht="15.75">
      <c r="A178" s="14" t="s">
        <v>187</v>
      </c>
      <c r="B178" s="90" t="s">
        <v>65</v>
      </c>
      <c r="C178" s="97">
        <v>0.01</v>
      </c>
      <c r="D178" s="97">
        <v>459.0</v>
      </c>
      <c r="E178" s="92">
        <v>47.0</v>
      </c>
      <c r="F178" s="92">
        <v>15.0</v>
      </c>
      <c r="G178" s="92">
        <f t="shared" si="6"/>
        <v>521.01</v>
      </c>
      <c r="H178" s="93">
        <f t="shared" si="7"/>
        <v>5.2101E7</v>
      </c>
    </row>
    <row r="179" spans="8:8" ht="15.75">
      <c r="A179" s="14" t="s">
        <v>188</v>
      </c>
      <c r="B179" s="90" t="s">
        <v>65</v>
      </c>
      <c r="C179" s="97">
        <v>0.01</v>
      </c>
      <c r="D179" s="97">
        <v>265.0</v>
      </c>
      <c r="E179" s="92">
        <v>47.0</v>
      </c>
      <c r="F179" s="92">
        <v>15.0</v>
      </c>
      <c r="G179" s="92">
        <f t="shared" si="6"/>
        <v>327.01</v>
      </c>
      <c r="H179" s="93">
        <f t="shared" si="7"/>
        <v>3.2701E7</v>
      </c>
    </row>
    <row r="180" spans="8:8" ht="15.75">
      <c r="A180" s="14" t="s">
        <v>189</v>
      </c>
      <c r="B180" s="90" t="s">
        <v>65</v>
      </c>
      <c r="C180" s="97">
        <v>0.01</v>
      </c>
      <c r="D180" s="97">
        <v>282.0</v>
      </c>
      <c r="E180" s="92">
        <v>47.0</v>
      </c>
      <c r="F180" s="92">
        <v>15.0</v>
      </c>
      <c r="G180" s="92">
        <f t="shared" si="6"/>
        <v>344.01</v>
      </c>
      <c r="H180" s="93">
        <f t="shared" si="7"/>
        <v>3.4401E7</v>
      </c>
    </row>
    <row r="181" spans="8:8" ht="15.75">
      <c r="A181" s="14" t="s">
        <v>190</v>
      </c>
      <c r="B181" s="90" t="s">
        <v>65</v>
      </c>
      <c r="C181" s="97">
        <v>0.01</v>
      </c>
      <c r="D181" s="97">
        <v>265.0</v>
      </c>
      <c r="E181" s="92">
        <v>47.0</v>
      </c>
      <c r="F181" s="92">
        <v>15.0</v>
      </c>
      <c r="G181" s="92">
        <f t="shared" si="8" ref="G181:G182">SUM(C181:F181)</f>
        <v>327.01</v>
      </c>
      <c r="H181" s="93">
        <f t="shared" si="7"/>
        <v>3.2701E7</v>
      </c>
    </row>
    <row r="182" spans="8:8" ht="15.75">
      <c r="A182" s="14" t="s">
        <v>191</v>
      </c>
      <c r="B182" s="90" t="s">
        <v>65</v>
      </c>
      <c r="C182" s="97">
        <v>0.01</v>
      </c>
      <c r="D182" s="97">
        <v>282.0</v>
      </c>
      <c r="E182" s="92">
        <v>47.0</v>
      </c>
      <c r="F182" s="92">
        <v>15.0</v>
      </c>
      <c r="G182" s="92">
        <f t="shared" si="8"/>
        <v>344.01</v>
      </c>
      <c r="H182" s="93">
        <f t="shared" si="7"/>
        <v>3.4401E7</v>
      </c>
    </row>
    <row r="183" spans="8:8" ht="15.75">
      <c r="A183" s="14" t="s">
        <v>192</v>
      </c>
      <c r="B183" s="90" t="s">
        <v>65</v>
      </c>
      <c r="C183" s="97">
        <v>0.01</v>
      </c>
      <c r="D183" s="97">
        <v>305.0</v>
      </c>
      <c r="E183" s="92">
        <v>47.0</v>
      </c>
      <c r="F183" s="92">
        <v>15.0</v>
      </c>
      <c r="G183" s="92">
        <f t="shared" si="9" ref="G183:G231">SUM(C183:F183)</f>
        <v>367.01</v>
      </c>
      <c r="H183" s="93">
        <f t="shared" si="7"/>
        <v>3.6701E7</v>
      </c>
    </row>
    <row r="184" spans="8:8" ht="15.75">
      <c r="A184" s="14" t="s">
        <v>193</v>
      </c>
      <c r="B184" s="90" t="s">
        <v>65</v>
      </c>
      <c r="C184" s="97">
        <v>0.01</v>
      </c>
      <c r="D184" s="97">
        <v>265.0</v>
      </c>
      <c r="E184" s="92">
        <v>47.0</v>
      </c>
      <c r="F184" s="92">
        <v>15.0</v>
      </c>
      <c r="G184" s="92">
        <f t="shared" si="9"/>
        <v>327.01</v>
      </c>
      <c r="H184" s="93">
        <f t="shared" si="7"/>
        <v>3.2701E7</v>
      </c>
    </row>
    <row r="185" spans="8:8" ht="15.75">
      <c r="A185" s="14" t="s">
        <v>194</v>
      </c>
      <c r="B185" s="90" t="s">
        <v>65</v>
      </c>
      <c r="C185" s="97">
        <v>0.01</v>
      </c>
      <c r="D185" s="97">
        <v>282.0</v>
      </c>
      <c r="E185" s="92">
        <v>47.0</v>
      </c>
      <c r="F185" s="92">
        <v>15.0</v>
      </c>
      <c r="G185" s="92">
        <f t="shared" si="9"/>
        <v>344.01</v>
      </c>
      <c r="H185" s="93">
        <f t="shared" si="7"/>
        <v>3.4401E7</v>
      </c>
    </row>
    <row r="186" spans="8:8" ht="15.75">
      <c r="A186" s="14" t="s">
        <v>195</v>
      </c>
      <c r="B186" s="90" t="s">
        <v>196</v>
      </c>
      <c r="C186" s="97">
        <v>132.0</v>
      </c>
      <c r="D186" s="97">
        <v>906.0</v>
      </c>
      <c r="E186" s="92">
        <v>47.0</v>
      </c>
      <c r="F186" s="92">
        <v>15.0</v>
      </c>
      <c r="G186" s="92">
        <f t="shared" si="9"/>
        <v>1100.0</v>
      </c>
      <c r="H186" s="93">
        <f t="shared" si="7"/>
        <v>1.1E8</v>
      </c>
    </row>
    <row r="187" spans="8:8" ht="15.75">
      <c r="A187" s="14" t="s">
        <v>197</v>
      </c>
      <c r="B187" s="90" t="s">
        <v>196</v>
      </c>
      <c r="C187" s="97">
        <v>0.01</v>
      </c>
      <c r="D187" s="97">
        <v>1103.0</v>
      </c>
      <c r="E187" s="92">
        <v>47.0</v>
      </c>
      <c r="F187" s="92">
        <v>15.0</v>
      </c>
      <c r="G187" s="92">
        <f t="shared" si="9"/>
        <v>1165.01</v>
      </c>
      <c r="H187" s="93">
        <f t="shared" si="7"/>
        <v>1.16501E8</v>
      </c>
    </row>
    <row r="188" spans="8:8" ht="15.75">
      <c r="A188" s="14" t="s">
        <v>198</v>
      </c>
      <c r="B188" s="90" t="s">
        <v>196</v>
      </c>
      <c r="C188" s="97">
        <v>0.01</v>
      </c>
      <c r="D188" s="97">
        <v>1099.0</v>
      </c>
      <c r="E188" s="92">
        <v>47.0</v>
      </c>
      <c r="F188" s="92">
        <v>15.0</v>
      </c>
      <c r="G188" s="92">
        <f t="shared" si="9"/>
        <v>1161.01</v>
      </c>
      <c r="H188" s="93">
        <f t="shared" si="7"/>
        <v>1.16101E8</v>
      </c>
    </row>
    <row r="189" spans="8:8" ht="15.75">
      <c r="A189" s="14" t="s">
        <v>199</v>
      </c>
      <c r="B189" s="90" t="s">
        <v>196</v>
      </c>
      <c r="C189" s="97">
        <v>0.01</v>
      </c>
      <c r="D189" s="97">
        <v>1082.0</v>
      </c>
      <c r="E189" s="92">
        <v>47.0</v>
      </c>
      <c r="F189" s="92">
        <v>15.0</v>
      </c>
      <c r="G189" s="92">
        <f t="shared" si="9"/>
        <v>1144.01</v>
      </c>
      <c r="H189" s="93">
        <f t="shared" si="7"/>
        <v>1.14401E8</v>
      </c>
    </row>
    <row r="190" spans="8:8" ht="15.75">
      <c r="A190" s="18" t="s">
        <v>200</v>
      </c>
      <c r="B190" s="82" t="s">
        <v>196</v>
      </c>
      <c r="C190" s="96">
        <v>0.01</v>
      </c>
      <c r="D190" s="96">
        <v>2931.0</v>
      </c>
      <c r="E190" s="92">
        <v>47.0</v>
      </c>
      <c r="F190" s="92">
        <v>15.0</v>
      </c>
      <c r="G190" s="92">
        <f t="shared" si="9"/>
        <v>2993.01</v>
      </c>
      <c r="H190" s="93">
        <f t="shared" si="7"/>
        <v>2.99301E8</v>
      </c>
    </row>
    <row r="191" spans="8:8" ht="15.75">
      <c r="A191" s="14" t="s">
        <v>201</v>
      </c>
      <c r="B191" s="90" t="s">
        <v>196</v>
      </c>
      <c r="C191" s="97">
        <v>0.01</v>
      </c>
      <c r="D191" s="97">
        <v>1101.0</v>
      </c>
      <c r="E191" s="92">
        <v>47.0</v>
      </c>
      <c r="F191" s="92">
        <v>15.0</v>
      </c>
      <c r="G191" s="92">
        <f t="shared" si="9"/>
        <v>1163.01</v>
      </c>
      <c r="H191" s="93">
        <f t="shared" si="10" ref="H191:H243">G191*100000</f>
        <v>1.16301E8</v>
      </c>
    </row>
    <row r="192" spans="8:8" ht="15.75">
      <c r="A192" s="14" t="s">
        <v>202</v>
      </c>
      <c r="B192" s="90" t="s">
        <v>196</v>
      </c>
      <c r="C192" s="97">
        <v>0.01</v>
      </c>
      <c r="D192" s="97">
        <v>1084.0</v>
      </c>
      <c r="E192" s="92">
        <v>47.0</v>
      </c>
      <c r="F192" s="92">
        <v>15.0</v>
      </c>
      <c r="G192" s="92">
        <f t="shared" si="9"/>
        <v>1146.01</v>
      </c>
      <c r="H192" s="93">
        <f t="shared" si="10"/>
        <v>1.14601E8</v>
      </c>
    </row>
    <row r="193" spans="8:8" ht="15.75">
      <c r="A193" s="14" t="s">
        <v>203</v>
      </c>
      <c r="B193" s="90" t="s">
        <v>196</v>
      </c>
      <c r="C193" s="97">
        <v>0.01</v>
      </c>
      <c r="D193" s="97">
        <v>1084.0</v>
      </c>
      <c r="E193" s="92">
        <v>47.0</v>
      </c>
      <c r="F193" s="92">
        <v>15.0</v>
      </c>
      <c r="G193" s="92">
        <f t="shared" si="9"/>
        <v>1146.01</v>
      </c>
      <c r="H193" s="93">
        <f t="shared" si="10"/>
        <v>1.14601E8</v>
      </c>
    </row>
    <row r="194" spans="8:8" ht="15.75">
      <c r="A194" s="14" t="s">
        <v>204</v>
      </c>
      <c r="B194" s="90" t="s">
        <v>196</v>
      </c>
      <c r="C194" s="97">
        <v>0.01</v>
      </c>
      <c r="D194" s="97">
        <v>1084.0</v>
      </c>
      <c r="E194" s="92">
        <v>47.0</v>
      </c>
      <c r="F194" s="92">
        <v>15.0</v>
      </c>
      <c r="G194" s="92">
        <f t="shared" si="9"/>
        <v>1146.01</v>
      </c>
      <c r="H194" s="93">
        <f t="shared" si="10"/>
        <v>1.14601E8</v>
      </c>
    </row>
    <row r="195" spans="8:8" ht="15.75">
      <c r="A195" s="14" t="s">
        <v>205</v>
      </c>
      <c r="B195" s="90" t="s">
        <v>196</v>
      </c>
      <c r="C195" s="97">
        <v>0.01</v>
      </c>
      <c r="D195" s="97">
        <v>1084.0</v>
      </c>
      <c r="E195" s="92">
        <v>47.0</v>
      </c>
      <c r="F195" s="92">
        <v>15.0</v>
      </c>
      <c r="G195" s="92">
        <f t="shared" si="9"/>
        <v>1146.01</v>
      </c>
      <c r="H195" s="93">
        <f t="shared" si="10"/>
        <v>1.14601E8</v>
      </c>
    </row>
    <row r="196" spans="8:8" ht="15.75">
      <c r="A196" s="14" t="s">
        <v>206</v>
      </c>
      <c r="B196" s="90" t="s">
        <v>196</v>
      </c>
      <c r="C196" s="97">
        <v>0.01</v>
      </c>
      <c r="D196" s="97">
        <v>1105.0</v>
      </c>
      <c r="E196" s="92">
        <v>47.0</v>
      </c>
      <c r="F196" s="92">
        <v>15.0</v>
      </c>
      <c r="G196" s="92">
        <f t="shared" si="9"/>
        <v>1167.01</v>
      </c>
      <c r="H196" s="93">
        <f t="shared" si="10"/>
        <v>1.16701E8</v>
      </c>
    </row>
    <row r="197" spans="8:8" ht="15.75">
      <c r="A197" s="14" t="s">
        <v>207</v>
      </c>
      <c r="B197" s="90" t="s">
        <v>196</v>
      </c>
      <c r="C197" s="97">
        <v>0.01</v>
      </c>
      <c r="D197" s="97">
        <v>1109.0</v>
      </c>
      <c r="E197" s="92">
        <v>47.0</v>
      </c>
      <c r="F197" s="92">
        <v>15.0</v>
      </c>
      <c r="G197" s="92">
        <f t="shared" si="9"/>
        <v>1171.01</v>
      </c>
      <c r="H197" s="93">
        <f t="shared" si="10"/>
        <v>1.17101E8</v>
      </c>
    </row>
    <row r="198" spans="8:8" ht="15.75">
      <c r="A198" s="14" t="s">
        <v>208</v>
      </c>
      <c r="B198" s="90" t="s">
        <v>196</v>
      </c>
      <c r="C198" s="97">
        <v>0.01</v>
      </c>
      <c r="D198" s="97">
        <v>1109.0</v>
      </c>
      <c r="E198" s="92">
        <v>47.0</v>
      </c>
      <c r="F198" s="92">
        <v>15.0</v>
      </c>
      <c r="G198" s="92">
        <f t="shared" si="9"/>
        <v>1171.01</v>
      </c>
      <c r="H198" s="93">
        <f t="shared" si="10"/>
        <v>1.17101E8</v>
      </c>
    </row>
    <row r="199" spans="8:8" ht="15.75">
      <c r="A199" s="14" t="s">
        <v>209</v>
      </c>
      <c r="B199" s="90" t="s">
        <v>196</v>
      </c>
      <c r="C199" s="97">
        <v>0.01</v>
      </c>
      <c r="D199" s="97">
        <v>1099.0</v>
      </c>
      <c r="E199" s="92">
        <v>47.0</v>
      </c>
      <c r="F199" s="92">
        <v>15.0</v>
      </c>
      <c r="G199" s="92">
        <f t="shared" si="9"/>
        <v>1161.01</v>
      </c>
      <c r="H199" s="93">
        <f t="shared" si="10"/>
        <v>1.16101E8</v>
      </c>
    </row>
    <row r="200" spans="8:8" ht="15.75">
      <c r="A200" s="14" t="s">
        <v>210</v>
      </c>
      <c r="B200" s="90" t="s">
        <v>196</v>
      </c>
      <c r="C200" s="97">
        <v>0.01</v>
      </c>
      <c r="D200" s="97">
        <v>1109.0</v>
      </c>
      <c r="E200" s="92">
        <v>47.0</v>
      </c>
      <c r="F200" s="92">
        <v>15.0</v>
      </c>
      <c r="G200" s="92">
        <f t="shared" si="9"/>
        <v>1171.01</v>
      </c>
      <c r="H200" s="93">
        <f t="shared" si="10"/>
        <v>1.17101E8</v>
      </c>
    </row>
    <row r="201" spans="8:8" ht="15.75">
      <c r="A201" s="14" t="s">
        <v>211</v>
      </c>
      <c r="B201" s="90" t="s">
        <v>196</v>
      </c>
      <c r="C201" s="97">
        <v>0.01</v>
      </c>
      <c r="D201" s="97">
        <v>1109.0</v>
      </c>
      <c r="E201" s="92">
        <v>47.0</v>
      </c>
      <c r="F201" s="92">
        <v>15.0</v>
      </c>
      <c r="G201" s="92">
        <f t="shared" si="9"/>
        <v>1171.01</v>
      </c>
      <c r="H201" s="93">
        <f t="shared" si="10"/>
        <v>1.17101E8</v>
      </c>
    </row>
    <row r="202" spans="8:8" ht="15.75">
      <c r="A202" s="14" t="s">
        <v>212</v>
      </c>
      <c r="B202" s="90" t="s">
        <v>196</v>
      </c>
      <c r="C202" s="97">
        <v>0.01</v>
      </c>
      <c r="D202" s="97">
        <v>1109.0</v>
      </c>
      <c r="E202" s="92">
        <v>47.0</v>
      </c>
      <c r="F202" s="92">
        <v>15.0</v>
      </c>
      <c r="G202" s="92">
        <f t="shared" si="9"/>
        <v>1171.01</v>
      </c>
      <c r="H202" s="93">
        <f t="shared" si="10"/>
        <v>1.17101E8</v>
      </c>
    </row>
    <row r="203" spans="8:8" ht="15.75">
      <c r="A203" s="14" t="s">
        <v>213</v>
      </c>
      <c r="B203" s="90" t="s">
        <v>196</v>
      </c>
      <c r="C203" s="97">
        <v>0.01</v>
      </c>
      <c r="D203" s="97">
        <v>1108.0</v>
      </c>
      <c r="E203" s="92">
        <v>47.0</v>
      </c>
      <c r="F203" s="92">
        <v>15.0</v>
      </c>
      <c r="G203" s="92">
        <f t="shared" si="9"/>
        <v>1170.01</v>
      </c>
      <c r="H203" s="93">
        <f t="shared" si="10"/>
        <v>1.17001E8</v>
      </c>
    </row>
    <row r="204" spans="8:8" ht="15.75">
      <c r="A204" s="14" t="s">
        <v>214</v>
      </c>
      <c r="B204" s="90" t="s">
        <v>196</v>
      </c>
      <c r="C204" s="97">
        <v>0.01</v>
      </c>
      <c r="D204" s="97">
        <v>1109.0</v>
      </c>
      <c r="E204" s="92">
        <v>47.0</v>
      </c>
      <c r="F204" s="92">
        <v>15.0</v>
      </c>
      <c r="G204" s="92">
        <f t="shared" si="9"/>
        <v>1171.01</v>
      </c>
      <c r="H204" s="93">
        <f t="shared" si="10"/>
        <v>1.17101E8</v>
      </c>
    </row>
    <row r="205" spans="8:8" ht="15.75">
      <c r="A205" s="14" t="s">
        <v>215</v>
      </c>
      <c r="B205" s="90" t="s">
        <v>196</v>
      </c>
      <c r="C205" s="97">
        <v>0.02</v>
      </c>
      <c r="D205" s="97">
        <v>1107.0</v>
      </c>
      <c r="E205" s="92">
        <v>47.0</v>
      </c>
      <c r="F205" s="92">
        <v>15.0</v>
      </c>
      <c r="G205" s="92">
        <f t="shared" si="9"/>
        <v>1169.02</v>
      </c>
      <c r="H205" s="93">
        <f t="shared" si="10"/>
        <v>1.16902E8</v>
      </c>
    </row>
    <row r="206" spans="8:8" ht="15.75">
      <c r="A206" s="14" t="s">
        <v>216</v>
      </c>
      <c r="B206" s="90" t="s">
        <v>196</v>
      </c>
      <c r="C206" s="97">
        <v>0.01</v>
      </c>
      <c r="D206" s="97">
        <v>1107.0</v>
      </c>
      <c r="E206" s="92">
        <v>47.0</v>
      </c>
      <c r="F206" s="92">
        <v>15.0</v>
      </c>
      <c r="G206" s="92">
        <f t="shared" si="9"/>
        <v>1169.01</v>
      </c>
      <c r="H206" s="93">
        <f t="shared" si="10"/>
        <v>1.16901E8</v>
      </c>
    </row>
    <row r="207" spans="8:8" ht="15.75">
      <c r="A207" s="14" t="s">
        <v>217</v>
      </c>
      <c r="B207" s="90" t="s">
        <v>196</v>
      </c>
      <c r="C207" s="97">
        <v>0.01</v>
      </c>
      <c r="D207" s="97">
        <v>1109.0</v>
      </c>
      <c r="E207" s="92">
        <v>47.0</v>
      </c>
      <c r="F207" s="92">
        <v>15.0</v>
      </c>
      <c r="G207" s="92">
        <f t="shared" si="9"/>
        <v>1171.01</v>
      </c>
      <c r="H207" s="93">
        <f t="shared" si="10"/>
        <v>1.17101E8</v>
      </c>
    </row>
    <row r="208" spans="8:8" ht="15.75">
      <c r="A208" s="14" t="s">
        <v>218</v>
      </c>
      <c r="B208" s="90" t="s">
        <v>196</v>
      </c>
      <c r="C208" s="97">
        <v>0.01</v>
      </c>
      <c r="D208" s="97">
        <v>1109.0</v>
      </c>
      <c r="E208" s="92">
        <v>47.0</v>
      </c>
      <c r="F208" s="92">
        <v>15.0</v>
      </c>
      <c r="G208" s="92">
        <f t="shared" si="9"/>
        <v>1171.01</v>
      </c>
      <c r="H208" s="93">
        <f t="shared" si="10"/>
        <v>1.17101E8</v>
      </c>
    </row>
    <row r="209" spans="8:8" ht="15.75">
      <c r="A209" s="14" t="s">
        <v>219</v>
      </c>
      <c r="B209" s="90" t="s">
        <v>196</v>
      </c>
      <c r="C209" s="97">
        <v>0.01</v>
      </c>
      <c r="D209" s="97">
        <v>1096.0</v>
      </c>
      <c r="E209" s="92">
        <v>47.0</v>
      </c>
      <c r="F209" s="92">
        <v>15.0</v>
      </c>
      <c r="G209" s="92">
        <f t="shared" si="9"/>
        <v>1158.01</v>
      </c>
      <c r="H209" s="93">
        <f t="shared" si="10"/>
        <v>1.15801E8</v>
      </c>
    </row>
    <row r="210" spans="8:8" ht="15.75">
      <c r="A210" s="14" t="s">
        <v>220</v>
      </c>
      <c r="B210" s="90" t="s">
        <v>196</v>
      </c>
      <c r="C210" s="97">
        <v>0.01</v>
      </c>
      <c r="D210" s="97">
        <v>1096.0</v>
      </c>
      <c r="E210" s="92">
        <v>47.0</v>
      </c>
      <c r="F210" s="92">
        <v>15.0</v>
      </c>
      <c r="G210" s="92">
        <f t="shared" si="9"/>
        <v>1158.01</v>
      </c>
      <c r="H210" s="93">
        <f t="shared" si="10"/>
        <v>1.15801E8</v>
      </c>
    </row>
    <row r="211" spans="8:8" ht="15.75">
      <c r="A211" s="14" t="s">
        <v>221</v>
      </c>
      <c r="B211" s="90" t="s">
        <v>196</v>
      </c>
      <c r="C211" s="97">
        <v>0.01</v>
      </c>
      <c r="D211" s="97">
        <v>1104.0</v>
      </c>
      <c r="E211" s="92">
        <v>47.0</v>
      </c>
      <c r="F211" s="92">
        <v>15.0</v>
      </c>
      <c r="G211" s="92">
        <f t="shared" si="9"/>
        <v>1166.01</v>
      </c>
      <c r="H211" s="93">
        <f t="shared" si="10"/>
        <v>1.16601E8</v>
      </c>
    </row>
    <row r="212" spans="8:8" ht="15.75">
      <c r="A212" s="14" t="s">
        <v>222</v>
      </c>
      <c r="B212" s="90" t="s">
        <v>196</v>
      </c>
      <c r="C212" s="97">
        <v>0.01</v>
      </c>
      <c r="D212" s="97">
        <v>1093.0</v>
      </c>
      <c r="E212" s="92">
        <v>47.0</v>
      </c>
      <c r="F212" s="92">
        <v>15.0</v>
      </c>
      <c r="G212" s="92">
        <f t="shared" si="9"/>
        <v>1155.01</v>
      </c>
      <c r="H212" s="93">
        <f t="shared" si="10"/>
        <v>1.15501E8</v>
      </c>
    </row>
    <row r="213" spans="8:8" ht="15.75">
      <c r="A213" s="14" t="s">
        <v>223</v>
      </c>
      <c r="B213" s="90" t="s">
        <v>196</v>
      </c>
      <c r="C213" s="97">
        <v>0.01</v>
      </c>
      <c r="D213" s="97">
        <v>1096.0</v>
      </c>
      <c r="E213" s="92">
        <v>47.0</v>
      </c>
      <c r="F213" s="92">
        <v>15.0</v>
      </c>
      <c r="G213" s="92">
        <f t="shared" si="9"/>
        <v>1158.01</v>
      </c>
      <c r="H213" s="93">
        <f t="shared" si="10"/>
        <v>1.15801E8</v>
      </c>
    </row>
    <row r="214" spans="8:8" ht="15.75">
      <c r="A214" s="14" t="s">
        <v>224</v>
      </c>
      <c r="B214" s="90" t="s">
        <v>196</v>
      </c>
      <c r="C214" s="97">
        <v>0.01</v>
      </c>
      <c r="D214" s="97">
        <v>1109.0</v>
      </c>
      <c r="E214" s="92">
        <v>47.0</v>
      </c>
      <c r="F214" s="92">
        <v>15.0</v>
      </c>
      <c r="G214" s="92">
        <f t="shared" si="9"/>
        <v>1171.01</v>
      </c>
      <c r="H214" s="93">
        <f t="shared" si="10"/>
        <v>1.17101E8</v>
      </c>
    </row>
    <row r="215" spans="8:8" ht="15.75">
      <c r="A215" s="14" t="s">
        <v>225</v>
      </c>
      <c r="B215" s="90" t="s">
        <v>196</v>
      </c>
      <c r="C215" s="97">
        <v>0.01</v>
      </c>
      <c r="D215" s="97">
        <v>1109.0</v>
      </c>
      <c r="E215" s="92">
        <v>47.0</v>
      </c>
      <c r="F215" s="92">
        <v>15.0</v>
      </c>
      <c r="G215" s="92">
        <f t="shared" si="9"/>
        <v>1171.01</v>
      </c>
      <c r="H215" s="93">
        <f t="shared" si="10"/>
        <v>1.17101E8</v>
      </c>
    </row>
    <row r="216" spans="8:8" ht="15.75">
      <c r="A216" s="14" t="s">
        <v>226</v>
      </c>
      <c r="B216" s="90" t="s">
        <v>196</v>
      </c>
      <c r="C216" s="97">
        <v>0.01</v>
      </c>
      <c r="D216" s="97">
        <v>1447.0</v>
      </c>
      <c r="E216" s="92">
        <v>47.0</v>
      </c>
      <c r="F216" s="92">
        <v>15.0</v>
      </c>
      <c r="G216" s="92">
        <f t="shared" si="9"/>
        <v>1509.01</v>
      </c>
      <c r="H216" s="93">
        <f t="shared" si="10"/>
        <v>1.50901E8</v>
      </c>
    </row>
    <row r="217" spans="8:8" ht="15.75">
      <c r="A217" s="14" t="s">
        <v>227</v>
      </c>
      <c r="B217" s="90" t="s">
        <v>196</v>
      </c>
      <c r="C217" s="97">
        <v>0.01</v>
      </c>
      <c r="D217" s="97">
        <v>1780.0</v>
      </c>
      <c r="E217" s="92">
        <v>47.0</v>
      </c>
      <c r="F217" s="92">
        <v>15.0</v>
      </c>
      <c r="G217" s="92">
        <f t="shared" si="9"/>
        <v>1842.01</v>
      </c>
      <c r="H217" s="93">
        <f t="shared" si="10"/>
        <v>1.84201E8</v>
      </c>
    </row>
    <row r="218" spans="8:8" ht="15.75">
      <c r="A218" s="14" t="s">
        <v>228</v>
      </c>
      <c r="B218" s="90" t="s">
        <v>196</v>
      </c>
      <c r="C218" s="97">
        <v>0.01</v>
      </c>
      <c r="D218" s="97">
        <v>1096.0</v>
      </c>
      <c r="E218" s="92">
        <v>47.0</v>
      </c>
      <c r="F218" s="92">
        <v>15.0</v>
      </c>
      <c r="G218" s="92">
        <f t="shared" si="9"/>
        <v>1158.01</v>
      </c>
      <c r="H218" s="93">
        <f t="shared" si="10"/>
        <v>1.15801E8</v>
      </c>
    </row>
    <row r="219" spans="8:8" ht="15.75">
      <c r="A219" s="14" t="s">
        <v>229</v>
      </c>
      <c r="B219" s="90" t="s">
        <v>196</v>
      </c>
      <c r="C219" s="97">
        <v>0.01</v>
      </c>
      <c r="D219" s="97">
        <v>1109.0</v>
      </c>
      <c r="E219" s="92">
        <v>47.0</v>
      </c>
      <c r="F219" s="92">
        <v>15.0</v>
      </c>
      <c r="G219" s="92">
        <f t="shared" si="9"/>
        <v>1171.01</v>
      </c>
      <c r="H219" s="93">
        <f t="shared" si="10"/>
        <v>1.17101E8</v>
      </c>
    </row>
    <row r="220" spans="8:8" ht="15.75">
      <c r="A220" s="14" t="s">
        <v>230</v>
      </c>
      <c r="B220" s="90" t="s">
        <v>196</v>
      </c>
      <c r="C220" s="97">
        <v>0.01</v>
      </c>
      <c r="D220" s="97">
        <v>1109.0</v>
      </c>
      <c r="E220" s="92">
        <v>47.0</v>
      </c>
      <c r="F220" s="92">
        <v>15.0</v>
      </c>
      <c r="G220" s="92">
        <f t="shared" si="9"/>
        <v>1171.01</v>
      </c>
      <c r="H220" s="93">
        <f t="shared" si="10"/>
        <v>1.17101E8</v>
      </c>
    </row>
    <row r="221" spans="8:8" ht="15.75">
      <c r="A221" s="14" t="s">
        <v>231</v>
      </c>
      <c r="B221" s="90" t="s">
        <v>196</v>
      </c>
      <c r="C221" s="97">
        <v>0.01</v>
      </c>
      <c r="D221" s="97">
        <v>1109.0</v>
      </c>
      <c r="E221" s="92">
        <v>47.0</v>
      </c>
      <c r="F221" s="92">
        <v>15.0</v>
      </c>
      <c r="G221" s="92">
        <f t="shared" si="9"/>
        <v>1171.01</v>
      </c>
      <c r="H221" s="93">
        <f t="shared" si="10"/>
        <v>1.17101E8</v>
      </c>
    </row>
    <row r="222" spans="8:8" ht="15.75">
      <c r="A222" s="14" t="s">
        <v>232</v>
      </c>
      <c r="B222" s="90" t="s">
        <v>196</v>
      </c>
      <c r="C222" s="97">
        <v>0.01</v>
      </c>
      <c r="D222" s="97">
        <v>1109.0</v>
      </c>
      <c r="E222" s="92">
        <v>47.0</v>
      </c>
      <c r="F222" s="92">
        <v>15.0</v>
      </c>
      <c r="G222" s="92">
        <f t="shared" si="9"/>
        <v>1171.01</v>
      </c>
      <c r="H222" s="93">
        <f t="shared" si="10"/>
        <v>1.17101E8</v>
      </c>
    </row>
    <row r="223" spans="8:8" ht="15.75">
      <c r="A223" s="14" t="s">
        <v>233</v>
      </c>
      <c r="B223" s="90" t="s">
        <v>196</v>
      </c>
      <c r="C223" s="97">
        <v>0.01</v>
      </c>
      <c r="D223" s="97">
        <v>1096.0</v>
      </c>
      <c r="E223" s="92">
        <v>47.0</v>
      </c>
      <c r="F223" s="92">
        <v>15.0</v>
      </c>
      <c r="G223" s="92">
        <f t="shared" si="9"/>
        <v>1158.01</v>
      </c>
      <c r="H223" s="93">
        <f t="shared" si="10"/>
        <v>1.15801E8</v>
      </c>
    </row>
    <row r="224" spans="8:8" ht="15.75">
      <c r="A224" s="14" t="s">
        <v>234</v>
      </c>
      <c r="B224" s="90" t="s">
        <v>196</v>
      </c>
      <c r="C224" s="97">
        <v>0.01</v>
      </c>
      <c r="D224" s="97">
        <v>1096.0</v>
      </c>
      <c r="E224" s="92">
        <v>47.0</v>
      </c>
      <c r="F224" s="92">
        <v>15.0</v>
      </c>
      <c r="G224" s="92">
        <f t="shared" si="9"/>
        <v>1158.01</v>
      </c>
      <c r="H224" s="93">
        <f t="shared" si="10"/>
        <v>1.15801E8</v>
      </c>
    </row>
    <row r="225" spans="8:8" ht="15.75">
      <c r="A225" s="14" t="s">
        <v>235</v>
      </c>
      <c r="B225" s="90" t="s">
        <v>196</v>
      </c>
      <c r="C225" s="97">
        <v>0.01</v>
      </c>
      <c r="D225" s="97">
        <v>1109.0</v>
      </c>
      <c r="E225" s="92">
        <v>47.0</v>
      </c>
      <c r="F225" s="92">
        <v>15.0</v>
      </c>
      <c r="G225" s="92">
        <f t="shared" si="9"/>
        <v>1171.01</v>
      </c>
      <c r="H225" s="93">
        <f t="shared" si="10"/>
        <v>1.17101E8</v>
      </c>
    </row>
    <row r="226" spans="8:8" ht="15.75">
      <c r="A226" s="14" t="s">
        <v>236</v>
      </c>
      <c r="B226" s="90" t="s">
        <v>196</v>
      </c>
      <c r="C226" s="97">
        <v>0.01</v>
      </c>
      <c r="D226" s="97">
        <v>1109.0</v>
      </c>
      <c r="E226" s="92">
        <v>47.0</v>
      </c>
      <c r="F226" s="92">
        <v>15.0</v>
      </c>
      <c r="G226" s="92">
        <f t="shared" si="9"/>
        <v>1171.01</v>
      </c>
      <c r="H226" s="93">
        <f t="shared" si="10"/>
        <v>1.17101E8</v>
      </c>
    </row>
    <row r="227" spans="8:8" s="81" ht="15.75" customFormat="1">
      <c r="A227" s="18" t="s">
        <v>237</v>
      </c>
      <c r="B227" s="82" t="s">
        <v>196</v>
      </c>
      <c r="C227" s="96">
        <v>0.01</v>
      </c>
      <c r="D227" s="96">
        <v>1096.0</v>
      </c>
      <c r="E227" s="84">
        <v>47.0</v>
      </c>
      <c r="F227" s="84">
        <v>15.0</v>
      </c>
      <c r="G227" s="84">
        <f t="shared" si="9"/>
        <v>1158.01</v>
      </c>
      <c r="H227" s="85">
        <f t="shared" si="10"/>
        <v>1.15801E8</v>
      </c>
    </row>
    <row r="228" spans="8:8" ht="15.75">
      <c r="A228" s="14" t="s">
        <v>238</v>
      </c>
      <c r="B228" s="90" t="s">
        <v>196</v>
      </c>
      <c r="C228" s="97">
        <v>0.01</v>
      </c>
      <c r="D228" s="97">
        <v>1109.0</v>
      </c>
      <c r="E228" s="92">
        <v>47.0</v>
      </c>
      <c r="F228" s="92">
        <v>15.0</v>
      </c>
      <c r="G228" s="92">
        <f t="shared" si="9"/>
        <v>1171.01</v>
      </c>
      <c r="H228" s="93">
        <f t="shared" si="10"/>
        <v>1.17101E8</v>
      </c>
    </row>
    <row r="229" spans="8:8" ht="15.75">
      <c r="A229" s="14" t="s">
        <v>239</v>
      </c>
      <c r="B229" s="90" t="s">
        <v>196</v>
      </c>
      <c r="C229" s="97">
        <v>0.01</v>
      </c>
      <c r="D229" s="97">
        <v>1109.0</v>
      </c>
      <c r="E229" s="92">
        <v>47.0</v>
      </c>
      <c r="F229" s="92">
        <v>15.0</v>
      </c>
      <c r="G229" s="92">
        <f t="shared" si="9"/>
        <v>1171.01</v>
      </c>
      <c r="H229" s="93">
        <f t="shared" si="10"/>
        <v>1.17101E8</v>
      </c>
    </row>
    <row r="230" spans="8:8" ht="15.75">
      <c r="A230" s="14" t="s">
        <v>240</v>
      </c>
      <c r="B230" s="90" t="s">
        <v>196</v>
      </c>
      <c r="C230" s="97">
        <v>0.01</v>
      </c>
      <c r="D230" s="97">
        <v>1109.0</v>
      </c>
      <c r="E230" s="92">
        <v>47.0</v>
      </c>
      <c r="F230" s="92">
        <v>15.0</v>
      </c>
      <c r="G230" s="92">
        <f t="shared" si="9"/>
        <v>1171.01</v>
      </c>
      <c r="H230" s="93">
        <f t="shared" si="10"/>
        <v>1.17101E8</v>
      </c>
    </row>
    <row r="231" spans="8:8" ht="15.75">
      <c r="A231" s="14" t="s">
        <v>241</v>
      </c>
      <c r="B231" s="90" t="s">
        <v>196</v>
      </c>
      <c r="C231" s="97">
        <v>0.01</v>
      </c>
      <c r="D231" s="97">
        <v>1109.0</v>
      </c>
      <c r="E231" s="92">
        <v>47.0</v>
      </c>
      <c r="F231" s="92">
        <v>15.0</v>
      </c>
      <c r="G231" s="92">
        <f t="shared" si="9"/>
        <v>1171.01</v>
      </c>
      <c r="H231" s="93">
        <f t="shared" si="10"/>
        <v>1.17101E8</v>
      </c>
    </row>
    <row r="232" spans="8:8" ht="15.75">
      <c r="A232" s="14" t="s">
        <v>242</v>
      </c>
      <c r="B232" s="90" t="s">
        <v>196</v>
      </c>
      <c r="C232" s="97">
        <v>0.01</v>
      </c>
      <c r="D232" s="97">
        <v>1109.0</v>
      </c>
      <c r="E232" s="92">
        <v>47.0</v>
      </c>
      <c r="F232" s="92">
        <v>15.0</v>
      </c>
      <c r="G232" s="92">
        <f t="shared" si="11" ref="G232:G270">SUM(C232:F232)</f>
        <v>1171.01</v>
      </c>
      <c r="H232" s="93">
        <f t="shared" si="10"/>
        <v>1.17101E8</v>
      </c>
    </row>
    <row r="233" spans="8:8" ht="15.75">
      <c r="A233" s="14" t="s">
        <v>243</v>
      </c>
      <c r="B233" s="90" t="s">
        <v>196</v>
      </c>
      <c r="C233" s="97">
        <v>0.01</v>
      </c>
      <c r="D233" s="97">
        <v>1109.0</v>
      </c>
      <c r="E233" s="92">
        <v>47.0</v>
      </c>
      <c r="F233" s="92">
        <v>15.0</v>
      </c>
      <c r="G233" s="92">
        <f t="shared" si="11"/>
        <v>1171.01</v>
      </c>
      <c r="H233" s="93">
        <f t="shared" si="10"/>
        <v>1.17101E8</v>
      </c>
    </row>
    <row r="234" spans="8:8" ht="15.75">
      <c r="A234" s="14" t="s">
        <v>244</v>
      </c>
      <c r="B234" s="90" t="s">
        <v>196</v>
      </c>
      <c r="C234" s="97">
        <v>0.01</v>
      </c>
      <c r="D234" s="97">
        <v>1109.0</v>
      </c>
      <c r="E234" s="92">
        <v>47.0</v>
      </c>
      <c r="F234" s="92">
        <v>15.0</v>
      </c>
      <c r="G234" s="92">
        <f t="shared" si="11"/>
        <v>1171.01</v>
      </c>
      <c r="H234" s="93">
        <f t="shared" si="10"/>
        <v>1.17101E8</v>
      </c>
    </row>
    <row r="235" spans="8:8" ht="15.75">
      <c r="A235" s="14" t="s">
        <v>245</v>
      </c>
      <c r="B235" s="90" t="s">
        <v>196</v>
      </c>
      <c r="C235" s="97">
        <v>0.01</v>
      </c>
      <c r="D235" s="97">
        <v>1095.0</v>
      </c>
      <c r="E235" s="92">
        <v>47.0</v>
      </c>
      <c r="F235" s="92">
        <v>15.0</v>
      </c>
      <c r="G235" s="92">
        <f t="shared" si="11"/>
        <v>1157.01</v>
      </c>
      <c r="H235" s="93">
        <f t="shared" si="10"/>
        <v>1.15701E8</v>
      </c>
    </row>
    <row r="236" spans="8:8" ht="15.75">
      <c r="A236" s="14" t="s">
        <v>246</v>
      </c>
      <c r="B236" s="90" t="s">
        <v>196</v>
      </c>
      <c r="C236" s="97">
        <v>0.01</v>
      </c>
      <c r="D236" s="97">
        <v>1096.0</v>
      </c>
      <c r="E236" s="92">
        <v>47.0</v>
      </c>
      <c r="F236" s="92">
        <v>15.0</v>
      </c>
      <c r="G236" s="92">
        <f t="shared" si="11"/>
        <v>1158.01</v>
      </c>
      <c r="H236" s="93">
        <f t="shared" si="10"/>
        <v>1.15801E8</v>
      </c>
    </row>
    <row r="237" spans="8:8" ht="15.75">
      <c r="A237" s="14" t="s">
        <v>247</v>
      </c>
      <c r="B237" s="90" t="s">
        <v>196</v>
      </c>
      <c r="C237" s="97">
        <v>0.01</v>
      </c>
      <c r="D237" s="97">
        <v>1109.0</v>
      </c>
      <c r="E237" s="92">
        <v>47.0</v>
      </c>
      <c r="F237" s="92">
        <v>15.0</v>
      </c>
      <c r="G237" s="92">
        <f t="shared" si="11"/>
        <v>1171.01</v>
      </c>
      <c r="H237" s="93">
        <f t="shared" si="10"/>
        <v>1.17101E8</v>
      </c>
    </row>
    <row r="238" spans="8:8" ht="15.75">
      <c r="A238" s="14" t="s">
        <v>248</v>
      </c>
      <c r="B238" s="90" t="s">
        <v>196</v>
      </c>
      <c r="C238" s="97">
        <v>0.01</v>
      </c>
      <c r="D238" s="97">
        <v>1109.0</v>
      </c>
      <c r="E238" s="92">
        <v>47.0</v>
      </c>
      <c r="F238" s="92">
        <v>15.0</v>
      </c>
      <c r="G238" s="92">
        <f t="shared" si="11"/>
        <v>1171.01</v>
      </c>
      <c r="H238" s="93">
        <f t="shared" si="10"/>
        <v>1.17101E8</v>
      </c>
    </row>
    <row r="239" spans="8:8" ht="15.75">
      <c r="A239" s="14" t="s">
        <v>249</v>
      </c>
      <c r="B239" s="90" t="s">
        <v>196</v>
      </c>
      <c r="C239" s="97">
        <v>0.01</v>
      </c>
      <c r="D239" s="97">
        <v>1109.0</v>
      </c>
      <c r="E239" s="92">
        <v>47.0</v>
      </c>
      <c r="F239" s="92">
        <v>15.0</v>
      </c>
      <c r="G239" s="92">
        <f t="shared" si="11"/>
        <v>1171.01</v>
      </c>
      <c r="H239" s="93">
        <f t="shared" si="10"/>
        <v>1.17101E8</v>
      </c>
    </row>
    <row r="240" spans="8:8" ht="15.75">
      <c r="A240" s="14" t="s">
        <v>250</v>
      </c>
      <c r="B240" s="90" t="s">
        <v>196</v>
      </c>
      <c r="C240" s="97">
        <v>0.01</v>
      </c>
      <c r="D240" s="97">
        <v>1109.0</v>
      </c>
      <c r="E240" s="92">
        <v>47.0</v>
      </c>
      <c r="F240" s="92">
        <v>15.0</v>
      </c>
      <c r="G240" s="92">
        <f t="shared" si="11"/>
        <v>1171.01</v>
      </c>
      <c r="H240" s="93">
        <f t="shared" si="10"/>
        <v>1.17101E8</v>
      </c>
    </row>
    <row r="241" spans="8:8" ht="15.75">
      <c r="A241" s="14" t="s">
        <v>251</v>
      </c>
      <c r="B241" s="90" t="s">
        <v>196</v>
      </c>
      <c r="C241" s="97">
        <v>0.01</v>
      </c>
      <c r="D241" s="97">
        <v>1109.0</v>
      </c>
      <c r="E241" s="92">
        <v>47.0</v>
      </c>
      <c r="F241" s="92">
        <v>15.0</v>
      </c>
      <c r="G241" s="92">
        <f t="shared" si="11"/>
        <v>1171.01</v>
      </c>
      <c r="H241" s="93">
        <f t="shared" si="10"/>
        <v>1.17101E8</v>
      </c>
    </row>
    <row r="242" spans="8:8" ht="15.75">
      <c r="A242" s="14" t="s">
        <v>252</v>
      </c>
      <c r="B242" s="90" t="s">
        <v>196</v>
      </c>
      <c r="C242" s="97">
        <v>0.01</v>
      </c>
      <c r="D242" s="97">
        <v>1109.0</v>
      </c>
      <c r="E242" s="92">
        <v>47.0</v>
      </c>
      <c r="F242" s="92">
        <v>15.0</v>
      </c>
      <c r="G242" s="92">
        <f t="shared" si="11"/>
        <v>1171.01</v>
      </c>
      <c r="H242" s="93">
        <f t="shared" si="10"/>
        <v>1.17101E8</v>
      </c>
    </row>
    <row r="243" spans="8:8" ht="15.75">
      <c r="A243" s="14" t="s">
        <v>253</v>
      </c>
      <c r="B243" s="90" t="s">
        <v>196</v>
      </c>
      <c r="C243" s="97">
        <v>0.01</v>
      </c>
      <c r="D243" s="97">
        <v>1109.0</v>
      </c>
      <c r="E243" s="92">
        <v>47.0</v>
      </c>
      <c r="F243" s="92">
        <v>15.0</v>
      </c>
      <c r="G243" s="92">
        <f t="shared" si="11"/>
        <v>1171.01</v>
      </c>
      <c r="H243" s="93">
        <f t="shared" si="10"/>
        <v>1.17101E8</v>
      </c>
    </row>
    <row r="244" spans="8:8" ht="15.75">
      <c r="A244" s="14" t="s">
        <v>254</v>
      </c>
      <c r="B244" s="90" t="s">
        <v>196</v>
      </c>
      <c r="C244" s="97">
        <v>0.01</v>
      </c>
      <c r="D244" s="97">
        <v>1096.0</v>
      </c>
      <c r="E244" s="92">
        <v>47.0</v>
      </c>
      <c r="F244" s="92">
        <v>15.0</v>
      </c>
      <c r="G244" s="92">
        <f t="shared" si="11"/>
        <v>1158.01</v>
      </c>
      <c r="H244" s="93">
        <f t="shared" si="12" ref="H244:H280">G244*100000</f>
        <v>1.15801E8</v>
      </c>
    </row>
    <row r="245" spans="8:8" ht="15.75">
      <c r="A245" s="14" t="s">
        <v>255</v>
      </c>
      <c r="B245" s="90" t="s">
        <v>196</v>
      </c>
      <c r="C245" s="97">
        <v>0.01</v>
      </c>
      <c r="D245" s="97">
        <v>1109.0</v>
      </c>
      <c r="E245" s="92">
        <v>47.0</v>
      </c>
      <c r="F245" s="92">
        <v>15.0</v>
      </c>
      <c r="G245" s="92">
        <f t="shared" si="11"/>
        <v>1171.01</v>
      </c>
      <c r="H245" s="93">
        <f t="shared" si="12"/>
        <v>1.17101E8</v>
      </c>
    </row>
    <row r="246" spans="8:8" ht="15.75">
      <c r="A246" s="14" t="s">
        <v>256</v>
      </c>
      <c r="B246" s="90" t="s">
        <v>196</v>
      </c>
      <c r="C246" s="97">
        <v>0.01</v>
      </c>
      <c r="D246" s="97">
        <v>1109.0</v>
      </c>
      <c r="E246" s="92">
        <v>47.0</v>
      </c>
      <c r="F246" s="92">
        <v>15.0</v>
      </c>
      <c r="G246" s="92">
        <f t="shared" si="11"/>
        <v>1171.01</v>
      </c>
      <c r="H246" s="93">
        <f t="shared" si="12"/>
        <v>1.17101E8</v>
      </c>
    </row>
    <row r="247" spans="8:8" ht="15.75">
      <c r="A247" s="14" t="s">
        <v>257</v>
      </c>
      <c r="B247" s="90" t="s">
        <v>196</v>
      </c>
      <c r="C247" s="97">
        <v>0.01</v>
      </c>
      <c r="D247" s="97">
        <v>1092.0</v>
      </c>
      <c r="E247" s="92">
        <v>47.0</v>
      </c>
      <c r="F247" s="92">
        <v>15.0</v>
      </c>
      <c r="G247" s="92">
        <f t="shared" si="11"/>
        <v>1154.01</v>
      </c>
      <c r="H247" s="93">
        <f t="shared" si="12"/>
        <v>1.15401E8</v>
      </c>
    </row>
    <row r="248" spans="8:8" ht="15.75">
      <c r="A248" s="14" t="s">
        <v>258</v>
      </c>
      <c r="B248" s="90" t="s">
        <v>196</v>
      </c>
      <c r="C248" s="97">
        <v>0.01</v>
      </c>
      <c r="D248" s="97">
        <v>1109.0</v>
      </c>
      <c r="E248" s="92">
        <v>47.0</v>
      </c>
      <c r="F248" s="92">
        <v>15.0</v>
      </c>
      <c r="G248" s="92">
        <f t="shared" si="11"/>
        <v>1171.01</v>
      </c>
      <c r="H248" s="93">
        <f t="shared" si="12"/>
        <v>1.17101E8</v>
      </c>
    </row>
    <row r="249" spans="8:8" ht="15.75">
      <c r="A249" s="14" t="s">
        <v>259</v>
      </c>
      <c r="B249" s="90" t="s">
        <v>196</v>
      </c>
      <c r="C249" s="97">
        <v>0.01</v>
      </c>
      <c r="D249" s="97">
        <v>1109.0</v>
      </c>
      <c r="E249" s="92">
        <v>47.0</v>
      </c>
      <c r="F249" s="92">
        <v>15.0</v>
      </c>
      <c r="G249" s="92">
        <f t="shared" si="11"/>
        <v>1171.01</v>
      </c>
      <c r="H249" s="93">
        <f t="shared" si="12"/>
        <v>1.17101E8</v>
      </c>
    </row>
    <row r="250" spans="8:8" ht="15.75">
      <c r="A250" s="14" t="s">
        <v>260</v>
      </c>
      <c r="B250" s="90" t="s">
        <v>196</v>
      </c>
      <c r="C250" s="97">
        <v>0.01</v>
      </c>
      <c r="D250" s="97">
        <v>1092.0</v>
      </c>
      <c r="E250" s="92">
        <v>47.0</v>
      </c>
      <c r="F250" s="92">
        <v>15.0</v>
      </c>
      <c r="G250" s="92">
        <f t="shared" si="11"/>
        <v>1154.01</v>
      </c>
      <c r="H250" s="93">
        <f t="shared" si="12"/>
        <v>1.15401E8</v>
      </c>
    </row>
    <row r="251" spans="8:8" ht="15.75">
      <c r="A251" s="14" t="s">
        <v>261</v>
      </c>
      <c r="B251" s="90" t="s">
        <v>196</v>
      </c>
      <c r="C251" s="97">
        <v>0.01</v>
      </c>
      <c r="D251" s="97">
        <v>1096.0</v>
      </c>
      <c r="E251" s="92">
        <v>47.0</v>
      </c>
      <c r="F251" s="92">
        <v>15.0</v>
      </c>
      <c r="G251" s="92">
        <f t="shared" si="11"/>
        <v>1158.01</v>
      </c>
      <c r="H251" s="93">
        <f t="shared" si="12"/>
        <v>1.15801E8</v>
      </c>
    </row>
    <row r="252" spans="8:8" ht="15.75">
      <c r="A252" s="14" t="s">
        <v>262</v>
      </c>
      <c r="B252" s="90" t="s">
        <v>196</v>
      </c>
      <c r="C252" s="97">
        <v>0.01</v>
      </c>
      <c r="D252" s="97">
        <v>1456.0</v>
      </c>
      <c r="E252" s="92">
        <v>47.0</v>
      </c>
      <c r="F252" s="92">
        <v>15.0</v>
      </c>
      <c r="G252" s="92">
        <f t="shared" si="11"/>
        <v>1518.01</v>
      </c>
      <c r="H252" s="93">
        <f t="shared" si="12"/>
        <v>1.51801E8</v>
      </c>
    </row>
    <row r="253" spans="8:8" ht="15.75">
      <c r="A253" s="14" t="s">
        <v>263</v>
      </c>
      <c r="B253" s="90" t="s">
        <v>196</v>
      </c>
      <c r="C253" s="97">
        <v>0.01</v>
      </c>
      <c r="D253" s="97">
        <v>1109.0</v>
      </c>
      <c r="E253" s="92">
        <v>47.0</v>
      </c>
      <c r="F253" s="92">
        <v>15.0</v>
      </c>
      <c r="G253" s="92">
        <f t="shared" si="11"/>
        <v>1171.01</v>
      </c>
      <c r="H253" s="93">
        <f t="shared" si="12"/>
        <v>1.17101E8</v>
      </c>
    </row>
    <row r="254" spans="8:8" ht="15.75">
      <c r="A254" s="14" t="s">
        <v>264</v>
      </c>
      <c r="B254" s="90" t="s">
        <v>196</v>
      </c>
      <c r="C254" s="97">
        <v>0.01</v>
      </c>
      <c r="D254" s="97">
        <v>1096.0</v>
      </c>
      <c r="E254" s="92">
        <v>47.0</v>
      </c>
      <c r="F254" s="92">
        <v>15.0</v>
      </c>
      <c r="G254" s="92">
        <f t="shared" si="11"/>
        <v>1158.01</v>
      </c>
      <c r="H254" s="93">
        <f t="shared" si="12"/>
        <v>1.15801E8</v>
      </c>
    </row>
    <row r="255" spans="8:8" ht="15.75">
      <c r="A255" s="14" t="s">
        <v>265</v>
      </c>
      <c r="B255" s="90" t="s">
        <v>196</v>
      </c>
      <c r="C255" s="97">
        <v>0.01</v>
      </c>
      <c r="D255" s="97">
        <v>1109.0</v>
      </c>
      <c r="E255" s="92">
        <v>47.0</v>
      </c>
      <c r="F255" s="92">
        <v>15.0</v>
      </c>
      <c r="G255" s="92">
        <f t="shared" si="11"/>
        <v>1171.01</v>
      </c>
      <c r="H255" s="93">
        <f t="shared" si="12"/>
        <v>1.17101E8</v>
      </c>
    </row>
    <row r="256" spans="8:8" ht="15.75">
      <c r="A256" s="14" t="s">
        <v>266</v>
      </c>
      <c r="B256" s="90" t="s">
        <v>196</v>
      </c>
      <c r="C256" s="97">
        <v>0.01</v>
      </c>
      <c r="D256" s="97">
        <v>1109.0</v>
      </c>
      <c r="E256" s="92">
        <v>47.0</v>
      </c>
      <c r="F256" s="92">
        <v>15.0</v>
      </c>
      <c r="G256" s="92">
        <f t="shared" si="11"/>
        <v>1171.01</v>
      </c>
      <c r="H256" s="93">
        <f t="shared" si="12"/>
        <v>1.17101E8</v>
      </c>
    </row>
    <row r="257" spans="8:8" ht="15.75">
      <c r="A257" s="14" t="s">
        <v>267</v>
      </c>
      <c r="B257" s="90" t="s">
        <v>196</v>
      </c>
      <c r="C257" s="97">
        <v>0.01</v>
      </c>
      <c r="D257" s="97">
        <v>1109.0</v>
      </c>
      <c r="E257" s="92">
        <v>47.0</v>
      </c>
      <c r="F257" s="92">
        <v>15.0</v>
      </c>
      <c r="G257" s="92">
        <f t="shared" si="11"/>
        <v>1171.01</v>
      </c>
      <c r="H257" s="93">
        <f t="shared" si="12"/>
        <v>1.17101E8</v>
      </c>
    </row>
    <row r="258" spans="8:8" ht="15.75">
      <c r="A258" s="14" t="s">
        <v>268</v>
      </c>
      <c r="B258" s="90" t="s">
        <v>196</v>
      </c>
      <c r="C258" s="97">
        <v>0.01</v>
      </c>
      <c r="D258" s="97">
        <v>1109.0</v>
      </c>
      <c r="E258" s="92">
        <v>47.0</v>
      </c>
      <c r="F258" s="92">
        <v>15.0</v>
      </c>
      <c r="G258" s="92">
        <f t="shared" si="11"/>
        <v>1171.01</v>
      </c>
      <c r="H258" s="93">
        <f t="shared" si="12"/>
        <v>1.17101E8</v>
      </c>
    </row>
    <row r="259" spans="8:8" ht="15.75">
      <c r="A259" s="14" t="s">
        <v>269</v>
      </c>
      <c r="B259" s="90" t="s">
        <v>196</v>
      </c>
      <c r="C259" s="97">
        <v>0.01</v>
      </c>
      <c r="D259" s="97">
        <v>1093.0</v>
      </c>
      <c r="E259" s="92">
        <v>47.0</v>
      </c>
      <c r="F259" s="92">
        <v>15.0</v>
      </c>
      <c r="G259" s="92">
        <f t="shared" si="11"/>
        <v>1155.01</v>
      </c>
      <c r="H259" s="93">
        <f t="shared" si="12"/>
        <v>1.15501E8</v>
      </c>
    </row>
    <row r="260" spans="8:8" ht="15.75">
      <c r="A260" s="14" t="s">
        <v>270</v>
      </c>
      <c r="B260" s="90" t="s">
        <v>196</v>
      </c>
      <c r="C260" s="97">
        <v>0.01</v>
      </c>
      <c r="D260" s="97">
        <v>1109.0</v>
      </c>
      <c r="E260" s="92">
        <v>47.0</v>
      </c>
      <c r="F260" s="92">
        <v>15.0</v>
      </c>
      <c r="G260" s="92">
        <f t="shared" si="11"/>
        <v>1171.01</v>
      </c>
      <c r="H260" s="93">
        <f t="shared" si="12"/>
        <v>1.17101E8</v>
      </c>
    </row>
    <row r="261" spans="8:8" ht="15.75">
      <c r="A261" s="14" t="s">
        <v>271</v>
      </c>
      <c r="B261" s="90" t="s">
        <v>196</v>
      </c>
      <c r="C261" s="97">
        <v>0.01</v>
      </c>
      <c r="D261" s="97">
        <v>1109.0</v>
      </c>
      <c r="E261" s="92">
        <v>47.0</v>
      </c>
      <c r="F261" s="92">
        <v>15.0</v>
      </c>
      <c r="G261" s="92">
        <f t="shared" si="11"/>
        <v>1171.01</v>
      </c>
      <c r="H261" s="93">
        <f t="shared" si="12"/>
        <v>1.17101E8</v>
      </c>
    </row>
    <row r="262" spans="8:8" ht="15.75">
      <c r="A262" s="14" t="s">
        <v>272</v>
      </c>
      <c r="B262" s="90" t="s">
        <v>196</v>
      </c>
      <c r="C262" s="97">
        <v>0.01</v>
      </c>
      <c r="D262" s="97">
        <v>1109.0</v>
      </c>
      <c r="E262" s="92">
        <v>47.0</v>
      </c>
      <c r="F262" s="92">
        <v>15.0</v>
      </c>
      <c r="G262" s="92">
        <f t="shared" si="11"/>
        <v>1171.01</v>
      </c>
      <c r="H262" s="93">
        <f t="shared" si="12"/>
        <v>1.17101E8</v>
      </c>
    </row>
    <row r="263" spans="8:8" ht="15.75">
      <c r="A263" s="14" t="s">
        <v>273</v>
      </c>
      <c r="B263" s="90" t="s">
        <v>196</v>
      </c>
      <c r="C263" s="97">
        <v>0.01</v>
      </c>
      <c r="D263" s="97">
        <v>1096.0</v>
      </c>
      <c r="E263" s="92">
        <v>47.0</v>
      </c>
      <c r="F263" s="92">
        <v>15.0</v>
      </c>
      <c r="G263" s="92">
        <f t="shared" si="11"/>
        <v>1158.01</v>
      </c>
      <c r="H263" s="93">
        <f t="shared" si="12"/>
        <v>1.15801E8</v>
      </c>
    </row>
    <row r="264" spans="8:8" ht="15.75">
      <c r="A264" s="14" t="s">
        <v>274</v>
      </c>
      <c r="B264" s="90" t="s">
        <v>196</v>
      </c>
      <c r="C264" s="97">
        <v>0.01</v>
      </c>
      <c r="D264" s="97">
        <v>1109.0</v>
      </c>
      <c r="E264" s="92">
        <v>47.0</v>
      </c>
      <c r="F264" s="92">
        <v>15.0</v>
      </c>
      <c r="G264" s="92">
        <f t="shared" si="11"/>
        <v>1171.01</v>
      </c>
      <c r="H264" s="93">
        <f t="shared" si="12"/>
        <v>1.17101E8</v>
      </c>
    </row>
    <row r="265" spans="8:8" ht="15.75">
      <c r="A265" s="14" t="s">
        <v>275</v>
      </c>
      <c r="B265" s="90" t="s">
        <v>196</v>
      </c>
      <c r="C265" s="97">
        <v>0.01</v>
      </c>
      <c r="D265" s="97">
        <v>1109.0</v>
      </c>
      <c r="E265" s="92">
        <v>47.0</v>
      </c>
      <c r="F265" s="92">
        <v>15.0</v>
      </c>
      <c r="G265" s="92">
        <f t="shared" si="11"/>
        <v>1171.01</v>
      </c>
      <c r="H265" s="93">
        <f t="shared" si="12"/>
        <v>1.17101E8</v>
      </c>
    </row>
    <row r="266" spans="8:8" ht="15.75">
      <c r="A266" s="14" t="s">
        <v>276</v>
      </c>
      <c r="B266" s="90" t="s">
        <v>196</v>
      </c>
      <c r="C266" s="97">
        <v>0.01</v>
      </c>
      <c r="D266" s="97">
        <v>1096.0</v>
      </c>
      <c r="E266" s="92">
        <v>47.0</v>
      </c>
      <c r="F266" s="92">
        <v>15.0</v>
      </c>
      <c r="G266" s="92">
        <f t="shared" si="11"/>
        <v>1158.01</v>
      </c>
      <c r="H266" s="93">
        <f t="shared" si="12"/>
        <v>1.15801E8</v>
      </c>
    </row>
    <row r="267" spans="8:8" ht="15.75">
      <c r="A267" s="14" t="s">
        <v>277</v>
      </c>
      <c r="B267" s="90" t="s">
        <v>196</v>
      </c>
      <c r="C267" s="97">
        <v>0.01</v>
      </c>
      <c r="D267" s="97">
        <v>1109.0</v>
      </c>
      <c r="E267" s="92">
        <v>47.0</v>
      </c>
      <c r="F267" s="92">
        <v>15.0</v>
      </c>
      <c r="G267" s="92">
        <f t="shared" si="11"/>
        <v>1171.01</v>
      </c>
      <c r="H267" s="93">
        <f t="shared" si="12"/>
        <v>1.17101E8</v>
      </c>
    </row>
    <row r="268" spans="8:8" ht="15.75">
      <c r="A268" s="14" t="s">
        <v>278</v>
      </c>
      <c r="B268" s="90" t="s">
        <v>196</v>
      </c>
      <c r="C268" s="97">
        <v>0.01</v>
      </c>
      <c r="D268" s="97">
        <v>1864.0</v>
      </c>
      <c r="E268" s="92">
        <v>47.0</v>
      </c>
      <c r="F268" s="92">
        <v>15.0</v>
      </c>
      <c r="G268" s="92">
        <f t="shared" si="11"/>
        <v>1926.01</v>
      </c>
      <c r="H268" s="93">
        <f t="shared" si="12"/>
        <v>1.92601E8</v>
      </c>
    </row>
    <row r="269" spans="8:8" ht="15.75">
      <c r="A269" s="14" t="s">
        <v>279</v>
      </c>
      <c r="B269" s="90" t="s">
        <v>196</v>
      </c>
      <c r="C269" s="97">
        <v>0.01</v>
      </c>
      <c r="D269" s="97">
        <v>1877.0</v>
      </c>
      <c r="E269" s="92">
        <v>47.0</v>
      </c>
      <c r="F269" s="92">
        <v>15.0</v>
      </c>
      <c r="G269" s="92">
        <f t="shared" si="11"/>
        <v>1939.01</v>
      </c>
      <c r="H269" s="93">
        <f t="shared" si="12"/>
        <v>1.93901E8</v>
      </c>
    </row>
    <row r="270" spans="8:8" ht="15.75">
      <c r="A270" s="14" t="s">
        <v>280</v>
      </c>
      <c r="B270" s="90" t="s">
        <v>196</v>
      </c>
      <c r="C270" s="97">
        <v>279.0</v>
      </c>
      <c r="D270" s="97">
        <v>1102.0</v>
      </c>
      <c r="E270" s="92">
        <v>47.0</v>
      </c>
      <c r="F270" s="92">
        <v>15.0</v>
      </c>
      <c r="G270" s="92">
        <f t="shared" si="11"/>
        <v>1443.0</v>
      </c>
      <c r="H270" s="93">
        <f t="shared" si="12"/>
        <v>1.443E8</v>
      </c>
    </row>
    <row r="271" spans="8:8" ht="15.75">
      <c r="A271" s="14" t="s">
        <v>281</v>
      </c>
      <c r="B271" s="90" t="s">
        <v>282</v>
      </c>
      <c r="C271" s="97">
        <v>450.0</v>
      </c>
      <c r="D271" s="101">
        <v>0.0</v>
      </c>
      <c r="E271" s="75"/>
      <c r="F271" s="75"/>
      <c r="G271" s="92">
        <f t="shared" si="13" ref="G271:G280">(C271+D271+E271+F271)</f>
        <v>450.0</v>
      </c>
      <c r="H271" s="93">
        <f t="shared" si="12"/>
        <v>4.5E7</v>
      </c>
    </row>
    <row r="272" spans="8:8" ht="15.75">
      <c r="A272" s="14" t="s">
        <v>283</v>
      </c>
      <c r="B272" s="90" t="s">
        <v>282</v>
      </c>
      <c r="C272" s="97">
        <v>450.0</v>
      </c>
      <c r="D272" s="101">
        <v>0.0</v>
      </c>
      <c r="E272" s="75"/>
      <c r="F272" s="75"/>
      <c r="G272" s="92">
        <f t="shared" si="13"/>
        <v>450.0</v>
      </c>
      <c r="H272" s="93">
        <f t="shared" si="12"/>
        <v>4.5E7</v>
      </c>
    </row>
    <row r="273" spans="8:8" ht="15.75">
      <c r="A273" s="14" t="s">
        <v>284</v>
      </c>
      <c r="B273" s="82" t="s">
        <v>285</v>
      </c>
      <c r="C273" s="96">
        <v>20.0</v>
      </c>
      <c r="D273" s="101">
        <v>0.0</v>
      </c>
      <c r="E273" s="75"/>
      <c r="F273" s="75"/>
      <c r="G273" s="92">
        <f t="shared" si="13"/>
        <v>20.0</v>
      </c>
      <c r="H273" s="93">
        <f t="shared" si="12"/>
        <v>2000000.0</v>
      </c>
    </row>
    <row r="274" spans="8:8" ht="15.75">
      <c r="A274" s="14" t="s">
        <v>286</v>
      </c>
      <c r="B274" s="82" t="s">
        <v>285</v>
      </c>
      <c r="C274" s="96">
        <v>50.0</v>
      </c>
      <c r="D274" s="101">
        <v>0.0</v>
      </c>
      <c r="E274" s="75"/>
      <c r="F274" s="75"/>
      <c r="G274" s="92">
        <f t="shared" si="13"/>
        <v>50.0</v>
      </c>
      <c r="H274" s="93">
        <f t="shared" si="12"/>
        <v>5000000.0</v>
      </c>
    </row>
    <row r="275" spans="8:8" ht="15.75">
      <c r="A275" s="14" t="s">
        <v>4</v>
      </c>
      <c r="B275" s="82" t="s">
        <v>285</v>
      </c>
      <c r="C275" s="96">
        <v>47.0</v>
      </c>
      <c r="D275" s="101">
        <v>0.0</v>
      </c>
      <c r="E275" s="75"/>
      <c r="F275" s="75"/>
      <c r="G275" s="92">
        <f t="shared" si="13"/>
        <v>47.0</v>
      </c>
      <c r="H275" s="93">
        <f t="shared" si="12"/>
        <v>4700000.0</v>
      </c>
    </row>
    <row r="276" spans="8:8" ht="15.75">
      <c r="A276" s="14" t="s">
        <v>287</v>
      </c>
      <c r="B276" s="82" t="s">
        <v>285</v>
      </c>
      <c r="C276" s="96">
        <v>50.0</v>
      </c>
      <c r="D276" s="101">
        <v>0.0</v>
      </c>
      <c r="E276" s="75"/>
      <c r="F276" s="75"/>
      <c r="G276" s="92">
        <f t="shared" si="13"/>
        <v>50.0</v>
      </c>
      <c r="H276" s="93">
        <f t="shared" si="12"/>
        <v>5000000.0</v>
      </c>
    </row>
    <row r="277" spans="8:8" ht="15.75">
      <c r="A277" s="14" t="s">
        <v>5</v>
      </c>
      <c r="B277" s="82" t="s">
        <v>285</v>
      </c>
      <c r="C277" s="96">
        <v>15.0</v>
      </c>
      <c r="D277" s="101">
        <v>0.0</v>
      </c>
      <c r="E277" s="75"/>
      <c r="F277" s="75"/>
      <c r="G277" s="92">
        <f t="shared" si="13"/>
        <v>15.0</v>
      </c>
      <c r="H277" s="93">
        <f t="shared" si="12"/>
        <v>1500000.0</v>
      </c>
    </row>
    <row r="278" spans="8:8" ht="15.75">
      <c r="A278" s="14" t="s">
        <v>288</v>
      </c>
      <c r="B278" s="82" t="s">
        <v>285</v>
      </c>
      <c r="C278" s="96">
        <v>164.0</v>
      </c>
      <c r="D278" s="101">
        <v>0.0</v>
      </c>
      <c r="E278" s="75"/>
      <c r="F278" s="75"/>
      <c r="G278" s="92">
        <f t="shared" si="13"/>
        <v>164.0</v>
      </c>
      <c r="H278" s="93">
        <f t="shared" si="12"/>
        <v>1.64E7</v>
      </c>
    </row>
    <row r="279" spans="8:8" ht="15.75">
      <c r="A279" s="14" t="s">
        <v>289</v>
      </c>
      <c r="B279" s="82" t="s">
        <v>290</v>
      </c>
      <c r="C279" s="97">
        <v>0.01</v>
      </c>
      <c r="D279" s="97">
        <v>329.0</v>
      </c>
      <c r="E279" s="92">
        <v>47.0</v>
      </c>
      <c r="F279" s="92">
        <v>15.0</v>
      </c>
      <c r="G279" s="98">
        <f t="shared" si="13"/>
        <v>391.01</v>
      </c>
      <c r="H279" s="93">
        <f t="shared" si="12"/>
        <v>3.9101E7</v>
      </c>
    </row>
    <row r="280" spans="8:8" ht="15.75">
      <c r="A280" s="14" t="s">
        <v>291</v>
      </c>
      <c r="B280" s="82" t="s">
        <v>290</v>
      </c>
      <c r="C280" s="97">
        <v>125.0</v>
      </c>
      <c r="D280" s="97">
        <v>78.0</v>
      </c>
      <c r="E280" s="92">
        <v>47.0</v>
      </c>
      <c r="F280" s="92">
        <v>15.0</v>
      </c>
      <c r="G280" s="99">
        <f t="shared" si="13"/>
        <v>265.0</v>
      </c>
      <c r="H280" s="93">
        <f t="shared" si="12"/>
        <v>2.65E7</v>
      </c>
    </row>
  </sheetData>
  <pageMargins left="0.46" right="0.16" top="0.41" bottom="0.39" header="0.26" footer="0.16"/>
</worksheet>
</file>

<file path=xl/worksheets/sheet5.xml><?xml version="1.0" encoding="utf-8"?>
<worksheet xmlns:r="http://schemas.openxmlformats.org/officeDocument/2006/relationships" xmlns="http://schemas.openxmlformats.org/spreadsheetml/2006/main">
  <dimension ref="A1:I280"/>
  <sheetViews>
    <sheetView workbookViewId="0">
      <pane ySplit="1" topLeftCell="A24" state="frozen" activePane="bottomLeft"/>
      <selection pane="bottomLeft" activeCell="A46" sqref="A46:H47"/>
    </sheetView>
  </sheetViews>
  <sheetFormatPr defaultRowHeight="15.0" defaultColWidth="10"/>
  <cols>
    <col min="1" max="1" customWidth="1" width="44.140625" style="73"/>
    <col min="2" max="2" customWidth="1" bestFit="1" width="12.5703125" style="102"/>
    <col min="3" max="3" hidden="1" customWidth="1" width="12.425781" style="74"/>
    <col min="4" max="4" hidden="1" customWidth="1" width="15.285156" style="74"/>
    <col min="5" max="5" hidden="1" customWidth="1" width="12.855469" style="74"/>
    <col min="6" max="6" hidden="1" customWidth="1" width="18.140625" style="74"/>
    <col min="7" max="7" customWidth="1" width="11.140625" style="75"/>
    <col min="8" max="8" customWidth="1" bestFit="1" width="15.285156" style="0"/>
  </cols>
  <sheetData>
    <row r="1" spans="8:8" ht="15.75">
      <c r="A1" s="77" t="s">
        <v>0</v>
      </c>
      <c r="B1" s="103" t="s">
        <v>1</v>
      </c>
      <c r="C1" s="78" t="s">
        <v>2</v>
      </c>
      <c r="D1" s="78" t="s">
        <v>3</v>
      </c>
      <c r="E1" s="78" t="s">
        <v>4</v>
      </c>
      <c r="F1" s="78" t="s">
        <v>5</v>
      </c>
      <c r="G1" s="79" t="s">
        <v>294</v>
      </c>
      <c r="H1" s="80" t="s">
        <v>295</v>
      </c>
    </row>
    <row r="2" spans="8:8" ht="15.75">
      <c r="A2" s="14" t="s">
        <v>7</v>
      </c>
      <c r="B2" s="104" t="s">
        <v>8</v>
      </c>
      <c r="C2" s="97">
        <v>0.01</v>
      </c>
      <c r="D2" s="97">
        <v>354.0</v>
      </c>
      <c r="E2" s="92">
        <v>30.0</v>
      </c>
      <c r="F2" s="92">
        <v>15.0</v>
      </c>
      <c r="G2" s="92">
        <f t="shared" si="0" ref="G2:G33">SUM(C2:F2)</f>
        <v>399.01</v>
      </c>
      <c r="H2" s="93">
        <f>G2*100000</f>
        <v>3.9901E7</v>
      </c>
    </row>
    <row r="3" spans="8:8" ht="15.75">
      <c r="A3" s="14" t="s">
        <v>9</v>
      </c>
      <c r="B3" s="104" t="s">
        <v>8</v>
      </c>
      <c r="C3" s="97">
        <v>0.01</v>
      </c>
      <c r="D3" s="97">
        <v>354.0</v>
      </c>
      <c r="E3" s="92">
        <v>30.0</v>
      </c>
      <c r="F3" s="92">
        <v>15.0</v>
      </c>
      <c r="G3" s="92">
        <f t="shared" si="0"/>
        <v>399.01</v>
      </c>
      <c r="H3" s="93">
        <f t="shared" si="1" ref="H3:H66">G3*100000</f>
        <v>3.9901E7</v>
      </c>
    </row>
    <row r="4" spans="8:8" ht="15.75">
      <c r="A4" s="14" t="s">
        <v>10</v>
      </c>
      <c r="B4" s="104" t="s">
        <v>8</v>
      </c>
      <c r="C4" s="97">
        <v>0.01</v>
      </c>
      <c r="D4" s="97">
        <v>354.0</v>
      </c>
      <c r="E4" s="92">
        <v>30.0</v>
      </c>
      <c r="F4" s="92">
        <v>15.0</v>
      </c>
      <c r="G4" s="92">
        <f t="shared" si="0"/>
        <v>399.01</v>
      </c>
      <c r="H4" s="93">
        <f t="shared" si="1"/>
        <v>3.9901E7</v>
      </c>
    </row>
    <row r="5" spans="8:8" ht="15.75">
      <c r="A5" s="14" t="s">
        <v>11</v>
      </c>
      <c r="B5" s="104" t="s">
        <v>8</v>
      </c>
      <c r="C5" s="100">
        <v>0.01</v>
      </c>
      <c r="D5" s="100">
        <v>299.0</v>
      </c>
      <c r="E5" s="92">
        <v>30.0</v>
      </c>
      <c r="F5" s="92">
        <v>15.0</v>
      </c>
      <c r="G5" s="92">
        <f t="shared" si="0"/>
        <v>344.01</v>
      </c>
      <c r="H5" s="93">
        <f t="shared" si="1"/>
        <v>3.4401E7</v>
      </c>
    </row>
    <row r="6" spans="8:8" ht="15.75">
      <c r="A6" s="14" t="s">
        <v>12</v>
      </c>
      <c r="B6" s="104" t="s">
        <v>13</v>
      </c>
      <c r="C6" s="97">
        <v>210.0</v>
      </c>
      <c r="D6" s="97">
        <v>126.0</v>
      </c>
      <c r="E6" s="92">
        <v>30.0</v>
      </c>
      <c r="F6" s="92">
        <v>15.0</v>
      </c>
      <c r="G6" s="92">
        <f t="shared" si="0"/>
        <v>381.0</v>
      </c>
      <c r="H6" s="93">
        <f t="shared" si="1"/>
        <v>3.81E7</v>
      </c>
    </row>
    <row r="7" spans="8:8" ht="15.75">
      <c r="A7" s="14" t="s">
        <v>14</v>
      </c>
      <c r="B7" s="104" t="s">
        <v>13</v>
      </c>
      <c r="C7" s="97">
        <v>420.0</v>
      </c>
      <c r="D7" s="97">
        <v>156.0</v>
      </c>
      <c r="E7" s="92">
        <v>30.0</v>
      </c>
      <c r="F7" s="92">
        <v>15.0</v>
      </c>
      <c r="G7" s="92">
        <f t="shared" si="0"/>
        <v>621.0</v>
      </c>
      <c r="H7" s="93">
        <f t="shared" si="1"/>
        <v>6.21E7</v>
      </c>
    </row>
    <row r="8" spans="8:8" ht="15.75">
      <c r="A8" s="14" t="s">
        <v>15</v>
      </c>
      <c r="B8" s="104" t="s">
        <v>13</v>
      </c>
      <c r="C8" s="97">
        <v>178.0</v>
      </c>
      <c r="D8" s="97">
        <v>126.0</v>
      </c>
      <c r="E8" s="92">
        <v>30.0</v>
      </c>
      <c r="F8" s="92">
        <v>15.0</v>
      </c>
      <c r="G8" s="92">
        <f t="shared" si="0"/>
        <v>349.0</v>
      </c>
      <c r="H8" s="93">
        <f t="shared" si="1"/>
        <v>3.49E7</v>
      </c>
    </row>
    <row r="9" spans="8:8" ht="15.75">
      <c r="A9" s="14" t="s">
        <v>16</v>
      </c>
      <c r="B9" s="104" t="s">
        <v>13</v>
      </c>
      <c r="C9" s="97">
        <v>226.0</v>
      </c>
      <c r="D9" s="97">
        <v>126.0</v>
      </c>
      <c r="E9" s="92">
        <v>30.0</v>
      </c>
      <c r="F9" s="92">
        <v>15.0</v>
      </c>
      <c r="G9" s="92">
        <f t="shared" si="0"/>
        <v>397.0</v>
      </c>
      <c r="H9" s="93">
        <f t="shared" si="1"/>
        <v>3.97E7</v>
      </c>
    </row>
    <row r="10" spans="8:8" ht="15.75">
      <c r="A10" s="14" t="s">
        <v>17</v>
      </c>
      <c r="B10" s="104" t="s">
        <v>13</v>
      </c>
      <c r="C10" s="97">
        <v>787.0</v>
      </c>
      <c r="D10" s="97">
        <v>288.0</v>
      </c>
      <c r="E10" s="92">
        <v>30.0</v>
      </c>
      <c r="F10" s="92">
        <v>15.0</v>
      </c>
      <c r="G10" s="92">
        <f t="shared" si="0"/>
        <v>1120.0</v>
      </c>
      <c r="H10" s="93">
        <f t="shared" si="1"/>
        <v>1.12E8</v>
      </c>
    </row>
    <row r="11" spans="8:8" ht="15.75">
      <c r="A11" s="14" t="s">
        <v>18</v>
      </c>
      <c r="B11" s="104" t="s">
        <v>13</v>
      </c>
      <c r="C11" s="97">
        <v>417.0</v>
      </c>
      <c r="D11" s="97">
        <v>288.0</v>
      </c>
      <c r="E11" s="92">
        <v>30.0</v>
      </c>
      <c r="F11" s="92">
        <v>15.0</v>
      </c>
      <c r="G11" s="92">
        <f t="shared" si="0"/>
        <v>750.0</v>
      </c>
      <c r="H11" s="93">
        <f t="shared" si="1"/>
        <v>7.5E7</v>
      </c>
    </row>
    <row r="12" spans="8:8" ht="15.75">
      <c r="A12" s="14" t="s">
        <v>19</v>
      </c>
      <c r="B12" s="104" t="s">
        <v>13</v>
      </c>
      <c r="C12" s="97">
        <v>201.0</v>
      </c>
      <c r="D12" s="97">
        <v>288.0</v>
      </c>
      <c r="E12" s="92">
        <v>30.0</v>
      </c>
      <c r="F12" s="92">
        <v>15.0</v>
      </c>
      <c r="G12" s="92">
        <f t="shared" si="0"/>
        <v>534.0</v>
      </c>
      <c r="H12" s="93">
        <f t="shared" si="1"/>
        <v>5.34E7</v>
      </c>
    </row>
    <row r="13" spans="8:8" ht="15.75">
      <c r="A13" s="14" t="s">
        <v>20</v>
      </c>
      <c r="B13" s="104" t="s">
        <v>13</v>
      </c>
      <c r="C13" s="97">
        <v>219.0</v>
      </c>
      <c r="D13" s="97">
        <v>318.0</v>
      </c>
      <c r="E13" s="92">
        <v>30.0</v>
      </c>
      <c r="F13" s="92">
        <v>15.0</v>
      </c>
      <c r="G13" s="92">
        <f t="shared" si="0"/>
        <v>582.0</v>
      </c>
      <c r="H13" s="93">
        <f t="shared" si="1"/>
        <v>5.82E7</v>
      </c>
    </row>
    <row r="14" spans="8:8" ht="15.75">
      <c r="A14" s="18" t="s">
        <v>21</v>
      </c>
      <c r="B14" s="105" t="s">
        <v>13</v>
      </c>
      <c r="C14" s="96">
        <v>219.0</v>
      </c>
      <c r="D14" s="96">
        <v>636.0</v>
      </c>
      <c r="E14" s="92">
        <v>30.0</v>
      </c>
      <c r="F14" s="92">
        <v>15.0</v>
      </c>
      <c r="G14" s="92">
        <f t="shared" si="0"/>
        <v>900.0</v>
      </c>
      <c r="H14" s="93">
        <f t="shared" si="1"/>
        <v>9.0E7</v>
      </c>
    </row>
    <row r="15" spans="8:8" ht="15.75">
      <c r="A15" s="18" t="s">
        <v>22</v>
      </c>
      <c r="B15" s="105" t="s">
        <v>13</v>
      </c>
      <c r="C15" s="96">
        <v>219.0</v>
      </c>
      <c r="D15" s="96">
        <v>300.0</v>
      </c>
      <c r="E15" s="92">
        <v>30.0</v>
      </c>
      <c r="F15" s="92">
        <v>15.0</v>
      </c>
      <c r="G15" s="92">
        <f t="shared" si="0"/>
        <v>564.0</v>
      </c>
      <c r="H15" s="93">
        <f t="shared" si="1"/>
        <v>5.64E7</v>
      </c>
    </row>
    <row r="16" spans="8:8" ht="15.75">
      <c r="A16" s="18" t="s">
        <v>23</v>
      </c>
      <c r="B16" s="105" t="s">
        <v>13</v>
      </c>
      <c r="C16" s="96">
        <v>219.0</v>
      </c>
      <c r="D16" s="96">
        <v>600.0</v>
      </c>
      <c r="E16" s="92">
        <v>30.0</v>
      </c>
      <c r="F16" s="92">
        <v>15.0</v>
      </c>
      <c r="G16" s="92">
        <f t="shared" si="0"/>
        <v>864.0</v>
      </c>
      <c r="H16" s="93">
        <f t="shared" si="1"/>
        <v>8.64E7</v>
      </c>
    </row>
    <row r="17" spans="8:8" ht="15.75">
      <c r="A17" s="14" t="s">
        <v>24</v>
      </c>
      <c r="B17" s="104" t="s">
        <v>13</v>
      </c>
      <c r="C17" s="97">
        <v>195.0</v>
      </c>
      <c r="D17" s="97">
        <v>288.0</v>
      </c>
      <c r="E17" s="92">
        <v>30.0</v>
      </c>
      <c r="F17" s="92">
        <v>15.0</v>
      </c>
      <c r="G17" s="92">
        <f t="shared" si="0"/>
        <v>528.0</v>
      </c>
      <c r="H17" s="93">
        <f t="shared" si="1"/>
        <v>5.28E7</v>
      </c>
    </row>
    <row r="18" spans="8:8" ht="15.75">
      <c r="A18" s="14" t="s">
        <v>25</v>
      </c>
      <c r="B18" s="104" t="s">
        <v>13</v>
      </c>
      <c r="C18" s="97">
        <v>182.0</v>
      </c>
      <c r="D18" s="97">
        <v>288.0</v>
      </c>
      <c r="E18" s="92">
        <v>30.0</v>
      </c>
      <c r="F18" s="92">
        <v>15.0</v>
      </c>
      <c r="G18" s="92">
        <f t="shared" si="0"/>
        <v>515.0</v>
      </c>
      <c r="H18" s="93">
        <f t="shared" si="1"/>
        <v>5.15E7</v>
      </c>
    </row>
    <row r="19" spans="8:8" ht="15.75">
      <c r="A19" s="14" t="s">
        <v>26</v>
      </c>
      <c r="B19" s="104" t="s">
        <v>13</v>
      </c>
      <c r="C19" s="97">
        <v>268.0</v>
      </c>
      <c r="D19" s="97">
        <v>300.0</v>
      </c>
      <c r="E19" s="92">
        <v>30.0</v>
      </c>
      <c r="F19" s="92">
        <v>15.0</v>
      </c>
      <c r="G19" s="92">
        <f t="shared" si="0"/>
        <v>613.0</v>
      </c>
      <c r="H19" s="93">
        <f t="shared" si="1"/>
        <v>6.13E7</v>
      </c>
    </row>
    <row r="20" spans="8:8" ht="15.75">
      <c r="A20" s="14" t="s">
        <v>27</v>
      </c>
      <c r="B20" s="104" t="s">
        <v>13</v>
      </c>
      <c r="C20" s="97">
        <v>195.0</v>
      </c>
      <c r="D20" s="97">
        <v>300.0</v>
      </c>
      <c r="E20" s="92">
        <v>30.0</v>
      </c>
      <c r="F20" s="92">
        <v>15.0</v>
      </c>
      <c r="G20" s="92">
        <f t="shared" si="0"/>
        <v>540.0</v>
      </c>
      <c r="H20" s="93">
        <f t="shared" si="1"/>
        <v>5.4E7</v>
      </c>
    </row>
    <row r="21" spans="8:8" ht="15.75">
      <c r="A21" s="14" t="s">
        <v>28</v>
      </c>
      <c r="B21" s="104" t="s">
        <v>13</v>
      </c>
      <c r="C21" s="97">
        <v>268.0</v>
      </c>
      <c r="D21" s="97">
        <v>288.0</v>
      </c>
      <c r="E21" s="92">
        <v>30.0</v>
      </c>
      <c r="F21" s="92">
        <v>15.0</v>
      </c>
      <c r="G21" s="92">
        <f t="shared" si="0"/>
        <v>601.0</v>
      </c>
      <c r="H21" s="93">
        <f t="shared" si="1"/>
        <v>6.01E7</v>
      </c>
    </row>
    <row r="22" spans="8:8" ht="15.75">
      <c r="A22" s="14" t="s">
        <v>29</v>
      </c>
      <c r="B22" s="104" t="s">
        <v>13</v>
      </c>
      <c r="C22" s="97">
        <v>243.0</v>
      </c>
      <c r="D22" s="97">
        <v>300.0</v>
      </c>
      <c r="E22" s="92">
        <v>30.0</v>
      </c>
      <c r="F22" s="92">
        <v>15.0</v>
      </c>
      <c r="G22" s="92">
        <f t="shared" si="0"/>
        <v>588.0</v>
      </c>
      <c r="H22" s="93">
        <f t="shared" si="1"/>
        <v>5.88E7</v>
      </c>
    </row>
    <row r="23" spans="8:8" ht="15.75">
      <c r="A23" s="14" t="s">
        <v>30</v>
      </c>
      <c r="B23" s="104" t="s">
        <v>13</v>
      </c>
      <c r="C23" s="97">
        <v>182.0</v>
      </c>
      <c r="D23" s="97">
        <v>300.0</v>
      </c>
      <c r="E23" s="92">
        <v>30.0</v>
      </c>
      <c r="F23" s="92">
        <v>15.0</v>
      </c>
      <c r="G23" s="92">
        <f t="shared" si="0"/>
        <v>527.0</v>
      </c>
      <c r="H23" s="93">
        <f t="shared" si="1"/>
        <v>5.27E7</v>
      </c>
    </row>
    <row r="24" spans="8:8" ht="15.75">
      <c r="A24" s="14" t="s">
        <v>31</v>
      </c>
      <c r="B24" s="104" t="s">
        <v>13</v>
      </c>
      <c r="C24" s="97">
        <v>182.0</v>
      </c>
      <c r="D24" s="97">
        <v>288.0</v>
      </c>
      <c r="E24" s="92">
        <v>30.0</v>
      </c>
      <c r="F24" s="92">
        <v>15.0</v>
      </c>
      <c r="G24" s="92">
        <f t="shared" si="0"/>
        <v>515.0</v>
      </c>
      <c r="H24" s="93">
        <f t="shared" si="1"/>
        <v>5.15E7</v>
      </c>
    </row>
    <row r="25" spans="8:8" ht="15.75">
      <c r="A25" s="14" t="s">
        <v>32</v>
      </c>
      <c r="B25" s="104" t="s">
        <v>13</v>
      </c>
      <c r="C25" s="97">
        <v>329.0</v>
      </c>
      <c r="D25" s="97">
        <v>300.0</v>
      </c>
      <c r="E25" s="92">
        <v>30.0</v>
      </c>
      <c r="F25" s="92">
        <v>15.0</v>
      </c>
      <c r="G25" s="92">
        <f t="shared" si="0"/>
        <v>674.0</v>
      </c>
      <c r="H25" s="93">
        <f t="shared" si="1"/>
        <v>6.74E7</v>
      </c>
    </row>
    <row r="26" spans="8:8" ht="15.75">
      <c r="A26" s="14" t="s">
        <v>33</v>
      </c>
      <c r="B26" s="104" t="s">
        <v>13</v>
      </c>
      <c r="C26" s="97">
        <v>329.0</v>
      </c>
      <c r="D26" s="97">
        <v>300.0</v>
      </c>
      <c r="E26" s="92">
        <v>30.0</v>
      </c>
      <c r="F26" s="92">
        <v>15.0</v>
      </c>
      <c r="G26" s="92">
        <f t="shared" si="0"/>
        <v>674.0</v>
      </c>
      <c r="H26" s="93">
        <f t="shared" si="1"/>
        <v>6.74E7</v>
      </c>
    </row>
    <row r="27" spans="8:8" ht="15.75">
      <c r="A27" s="14" t="s">
        <v>34</v>
      </c>
      <c r="B27" s="104" t="s">
        <v>13</v>
      </c>
      <c r="C27" s="97">
        <v>243.0</v>
      </c>
      <c r="D27" s="97">
        <v>300.0</v>
      </c>
      <c r="E27" s="92">
        <v>30.0</v>
      </c>
      <c r="F27" s="92">
        <v>15.0</v>
      </c>
      <c r="G27" s="92">
        <f t="shared" si="0"/>
        <v>588.0</v>
      </c>
      <c r="H27" s="93">
        <f t="shared" si="1"/>
        <v>5.88E7</v>
      </c>
    </row>
    <row r="28" spans="8:8" ht="15.75">
      <c r="A28" s="14" t="s">
        <v>35</v>
      </c>
      <c r="B28" s="104" t="s">
        <v>13</v>
      </c>
      <c r="C28" s="97">
        <v>327.0</v>
      </c>
      <c r="D28" s="97">
        <v>288.0</v>
      </c>
      <c r="E28" s="92">
        <v>30.0</v>
      </c>
      <c r="F28" s="92">
        <v>15.0</v>
      </c>
      <c r="G28" s="92">
        <f t="shared" si="0"/>
        <v>660.0</v>
      </c>
      <c r="H28" s="93">
        <f t="shared" si="1"/>
        <v>6.6E7</v>
      </c>
    </row>
    <row r="29" spans="8:8" ht="15.75">
      <c r="A29" s="14" t="s">
        <v>36</v>
      </c>
      <c r="B29" s="104" t="s">
        <v>13</v>
      </c>
      <c r="C29" s="97">
        <v>247.0</v>
      </c>
      <c r="D29" s="97">
        <v>300.0</v>
      </c>
      <c r="E29" s="92">
        <v>30.0</v>
      </c>
      <c r="F29" s="92">
        <v>15.0</v>
      </c>
      <c r="G29" s="92">
        <f t="shared" si="0"/>
        <v>592.0</v>
      </c>
      <c r="H29" s="93">
        <f t="shared" si="1"/>
        <v>5.92E7</v>
      </c>
    </row>
    <row r="30" spans="8:8" ht="15.75">
      <c r="A30" s="14" t="s">
        <v>37</v>
      </c>
      <c r="B30" s="104" t="s">
        <v>13</v>
      </c>
      <c r="C30" s="97">
        <v>125.0</v>
      </c>
      <c r="D30" s="97">
        <v>288.0</v>
      </c>
      <c r="E30" s="92">
        <v>30.0</v>
      </c>
      <c r="F30" s="92">
        <v>15.0</v>
      </c>
      <c r="G30" s="92">
        <f t="shared" si="0"/>
        <v>458.0</v>
      </c>
      <c r="H30" s="93">
        <f t="shared" si="1"/>
        <v>4.58E7</v>
      </c>
    </row>
    <row r="31" spans="8:8" ht="15.75">
      <c r="A31" s="14" t="s">
        <v>38</v>
      </c>
      <c r="B31" s="104" t="s">
        <v>13</v>
      </c>
      <c r="C31" s="97">
        <v>134.0</v>
      </c>
      <c r="D31" s="97">
        <v>288.0</v>
      </c>
      <c r="E31" s="92">
        <v>30.0</v>
      </c>
      <c r="F31" s="92">
        <v>15.0</v>
      </c>
      <c r="G31" s="92">
        <f t="shared" si="0"/>
        <v>467.0</v>
      </c>
      <c r="H31" s="93">
        <f t="shared" si="1"/>
        <v>4.67E7</v>
      </c>
    </row>
    <row r="32" spans="8:8" ht="15.75">
      <c r="A32" s="14" t="s">
        <v>39</v>
      </c>
      <c r="B32" s="104" t="s">
        <v>13</v>
      </c>
      <c r="C32" s="97">
        <v>152.0</v>
      </c>
      <c r="D32" s="97">
        <v>300.0</v>
      </c>
      <c r="E32" s="92">
        <v>30.0</v>
      </c>
      <c r="F32" s="92">
        <v>15.0</v>
      </c>
      <c r="G32" s="92">
        <f t="shared" si="0"/>
        <v>497.0</v>
      </c>
      <c r="H32" s="93">
        <f t="shared" si="1"/>
        <v>4.97E7</v>
      </c>
    </row>
    <row r="33" spans="8:8" ht="15.75">
      <c r="A33" s="14" t="s">
        <v>40</v>
      </c>
      <c r="B33" s="104" t="s">
        <v>13</v>
      </c>
      <c r="C33" s="97">
        <v>243.0</v>
      </c>
      <c r="D33" s="97">
        <v>288.0</v>
      </c>
      <c r="E33" s="92">
        <v>30.0</v>
      </c>
      <c r="F33" s="92">
        <v>15.0</v>
      </c>
      <c r="G33" s="92">
        <f t="shared" si="0"/>
        <v>576.0</v>
      </c>
      <c r="H33" s="93">
        <f t="shared" si="1"/>
        <v>5.76E7</v>
      </c>
    </row>
    <row r="34" spans="8:8" ht="15.75">
      <c r="A34" s="14" t="s">
        <v>41</v>
      </c>
      <c r="B34" s="104" t="s">
        <v>13</v>
      </c>
      <c r="C34" s="97">
        <v>109.0</v>
      </c>
      <c r="D34" s="97">
        <v>288.0</v>
      </c>
      <c r="E34" s="92">
        <v>30.0</v>
      </c>
      <c r="F34" s="92">
        <v>15.0</v>
      </c>
      <c r="G34" s="92">
        <f t="shared" si="2" ref="G34:G50">SUM(C34:F34)</f>
        <v>442.0</v>
      </c>
      <c r="H34" s="93">
        <f t="shared" si="1"/>
        <v>4.42E7</v>
      </c>
    </row>
    <row r="35" spans="8:8" ht="15.75">
      <c r="A35" s="14" t="s">
        <v>42</v>
      </c>
      <c r="B35" s="104" t="s">
        <v>13</v>
      </c>
      <c r="C35" s="97">
        <v>109.0</v>
      </c>
      <c r="D35" s="97">
        <v>288.0</v>
      </c>
      <c r="E35" s="92">
        <v>30.0</v>
      </c>
      <c r="F35" s="92">
        <v>15.0</v>
      </c>
      <c r="G35" s="92">
        <f t="shared" si="2"/>
        <v>442.0</v>
      </c>
      <c r="H35" s="93">
        <f t="shared" si="1"/>
        <v>4.42E7</v>
      </c>
    </row>
    <row r="36" spans="8:8" ht="15.75">
      <c r="A36" s="14" t="s">
        <v>43</v>
      </c>
      <c r="B36" s="104" t="s">
        <v>13</v>
      </c>
      <c r="C36" s="97">
        <v>247.0</v>
      </c>
      <c r="D36" s="97">
        <v>288.0</v>
      </c>
      <c r="E36" s="92">
        <v>30.0</v>
      </c>
      <c r="F36" s="92">
        <v>15.0</v>
      </c>
      <c r="G36" s="92">
        <f t="shared" si="2"/>
        <v>580.0</v>
      </c>
      <c r="H36" s="93">
        <f t="shared" si="1"/>
        <v>5.8E7</v>
      </c>
    </row>
    <row r="37" spans="8:8" ht="15.75">
      <c r="A37" s="14" t="s">
        <v>44</v>
      </c>
      <c r="B37" s="104" t="s">
        <v>13</v>
      </c>
      <c r="C37" s="97">
        <v>134.0</v>
      </c>
      <c r="D37" s="97">
        <v>288.0</v>
      </c>
      <c r="E37" s="92">
        <v>30.0</v>
      </c>
      <c r="F37" s="92">
        <v>15.0</v>
      </c>
      <c r="G37" s="92">
        <f t="shared" si="2"/>
        <v>467.0</v>
      </c>
      <c r="H37" s="93">
        <f t="shared" si="1"/>
        <v>4.67E7</v>
      </c>
    </row>
    <row r="38" spans="8:8" ht="15.75">
      <c r="A38" s="14" t="s">
        <v>45</v>
      </c>
      <c r="B38" s="104" t="s">
        <v>13</v>
      </c>
      <c r="C38" s="97">
        <v>511.0</v>
      </c>
      <c r="D38" s="97">
        <v>300.0</v>
      </c>
      <c r="E38" s="92">
        <v>30.0</v>
      </c>
      <c r="F38" s="92">
        <v>15.0</v>
      </c>
      <c r="G38" s="92">
        <f t="shared" si="2"/>
        <v>856.0</v>
      </c>
      <c r="H38" s="93">
        <f t="shared" si="1"/>
        <v>8.56E7</v>
      </c>
    </row>
    <row r="39" spans="8:8" ht="15.75">
      <c r="A39" s="14" t="s">
        <v>46</v>
      </c>
      <c r="B39" s="104" t="s">
        <v>13</v>
      </c>
      <c r="C39" s="97">
        <v>511.0</v>
      </c>
      <c r="D39" s="97">
        <v>300.0</v>
      </c>
      <c r="E39" s="92">
        <v>30.0</v>
      </c>
      <c r="F39" s="92">
        <v>15.0</v>
      </c>
      <c r="G39" s="92">
        <f t="shared" si="2"/>
        <v>856.0</v>
      </c>
      <c r="H39" s="93">
        <f t="shared" si="1"/>
        <v>8.56E7</v>
      </c>
    </row>
    <row r="40" spans="8:8" ht="15.75">
      <c r="A40" s="14" t="s">
        <v>47</v>
      </c>
      <c r="B40" s="104" t="s">
        <v>13</v>
      </c>
      <c r="C40" s="97">
        <v>719.0</v>
      </c>
      <c r="D40" s="97">
        <v>300.0</v>
      </c>
      <c r="E40" s="92">
        <v>30.0</v>
      </c>
      <c r="F40" s="92">
        <v>15.0</v>
      </c>
      <c r="G40" s="92">
        <f t="shared" si="2"/>
        <v>1064.0</v>
      </c>
      <c r="H40" s="93">
        <f t="shared" si="1"/>
        <v>1.064E8</v>
      </c>
    </row>
    <row r="41" spans="8:8" ht="15.75">
      <c r="A41" s="14" t="s">
        <v>48</v>
      </c>
      <c r="B41" s="104" t="s">
        <v>13</v>
      </c>
      <c r="C41" s="97">
        <v>292.0</v>
      </c>
      <c r="D41" s="97">
        <v>300.0</v>
      </c>
      <c r="E41" s="92">
        <v>30.0</v>
      </c>
      <c r="F41" s="92">
        <v>15.0</v>
      </c>
      <c r="G41" s="92">
        <f t="shared" si="2"/>
        <v>637.0</v>
      </c>
      <c r="H41" s="93">
        <f t="shared" si="1"/>
        <v>6.37E7</v>
      </c>
    </row>
    <row r="42" spans="8:8" ht="15.75">
      <c r="A42" s="14" t="s">
        <v>49</v>
      </c>
      <c r="B42" s="104" t="s">
        <v>13</v>
      </c>
      <c r="C42" s="97">
        <v>109.0</v>
      </c>
      <c r="D42" s="97">
        <v>288.0</v>
      </c>
      <c r="E42" s="92">
        <v>30.0</v>
      </c>
      <c r="F42" s="92">
        <v>15.0</v>
      </c>
      <c r="G42" s="92">
        <f t="shared" si="2"/>
        <v>442.0</v>
      </c>
      <c r="H42" s="93">
        <f t="shared" si="1"/>
        <v>4.42E7</v>
      </c>
    </row>
    <row r="43" spans="8:8" ht="15.75">
      <c r="A43" s="14" t="s">
        <v>50</v>
      </c>
      <c r="B43" s="104" t="s">
        <v>13</v>
      </c>
      <c r="C43" s="97">
        <v>109.0</v>
      </c>
      <c r="D43" s="97">
        <v>288.0</v>
      </c>
      <c r="E43" s="92">
        <v>30.0</v>
      </c>
      <c r="F43" s="92">
        <v>15.0</v>
      </c>
      <c r="G43" s="92">
        <f t="shared" si="2"/>
        <v>442.0</v>
      </c>
      <c r="H43" s="93">
        <f t="shared" si="1"/>
        <v>4.42E7</v>
      </c>
    </row>
    <row r="44" spans="8:8" ht="15.75">
      <c r="A44" s="14" t="s">
        <v>51</v>
      </c>
      <c r="B44" s="104" t="s">
        <v>13</v>
      </c>
      <c r="C44" s="97">
        <v>109.0</v>
      </c>
      <c r="D44" s="97">
        <v>288.0</v>
      </c>
      <c r="E44" s="92">
        <v>30.0</v>
      </c>
      <c r="F44" s="92">
        <v>15.0</v>
      </c>
      <c r="G44" s="92">
        <f t="shared" si="2"/>
        <v>442.0</v>
      </c>
      <c r="H44" s="93">
        <f t="shared" si="1"/>
        <v>4.42E7</v>
      </c>
    </row>
    <row r="45" spans="8:8" ht="15.75">
      <c r="A45" s="14" t="s">
        <v>52</v>
      </c>
      <c r="B45" s="104" t="s">
        <v>13</v>
      </c>
      <c r="C45" s="97">
        <v>109.0</v>
      </c>
      <c r="D45" s="97">
        <v>288.0</v>
      </c>
      <c r="E45" s="92">
        <v>30.0</v>
      </c>
      <c r="F45" s="92">
        <v>15.0</v>
      </c>
      <c r="G45" s="92">
        <f t="shared" si="2"/>
        <v>442.0</v>
      </c>
      <c r="H45" s="93">
        <f t="shared" si="1"/>
        <v>4.42E7</v>
      </c>
    </row>
    <row r="46" spans="8:8" ht="15.75">
      <c r="A46" s="14" t="s">
        <v>53</v>
      </c>
      <c r="B46" s="104" t="s">
        <v>13</v>
      </c>
      <c r="C46" s="97">
        <v>149.0</v>
      </c>
      <c r="D46" s="97">
        <v>288.0</v>
      </c>
      <c r="E46" s="92">
        <v>30.0</v>
      </c>
      <c r="F46" s="92">
        <v>15.0</v>
      </c>
      <c r="G46" s="92">
        <f t="shared" si="2"/>
        <v>482.0</v>
      </c>
      <c r="H46" s="93">
        <f t="shared" si="1"/>
        <v>4.82E7</v>
      </c>
    </row>
    <row r="47" spans="8:8" ht="15.75">
      <c r="A47" s="14" t="s">
        <v>54</v>
      </c>
      <c r="B47" s="104" t="s">
        <v>13</v>
      </c>
      <c r="C47" s="97">
        <v>238.0</v>
      </c>
      <c r="D47" s="97">
        <v>288.0</v>
      </c>
      <c r="E47" s="92">
        <v>30.0</v>
      </c>
      <c r="F47" s="92">
        <v>15.0</v>
      </c>
      <c r="G47" s="92">
        <f t="shared" si="2"/>
        <v>571.0</v>
      </c>
      <c r="H47" s="93">
        <f t="shared" si="1"/>
        <v>5.71E7</v>
      </c>
    </row>
    <row r="48" spans="8:8" ht="15.75">
      <c r="A48" s="14" t="s">
        <v>55</v>
      </c>
      <c r="B48" s="104" t="s">
        <v>13</v>
      </c>
      <c r="C48" s="97">
        <v>126.0</v>
      </c>
      <c r="D48" s="97">
        <v>288.0</v>
      </c>
      <c r="E48" s="92">
        <v>30.0</v>
      </c>
      <c r="F48" s="92">
        <v>15.0</v>
      </c>
      <c r="G48" s="92">
        <f t="shared" si="2"/>
        <v>459.0</v>
      </c>
      <c r="H48" s="93">
        <f t="shared" si="1"/>
        <v>4.59E7</v>
      </c>
    </row>
    <row r="49" spans="8:8" ht="15.75">
      <c r="A49" s="14" t="s">
        <v>56</v>
      </c>
      <c r="B49" s="104" t="s">
        <v>13</v>
      </c>
      <c r="C49" s="97">
        <v>225.0</v>
      </c>
      <c r="D49" s="97">
        <v>330.0</v>
      </c>
      <c r="E49" s="92">
        <v>30.0</v>
      </c>
      <c r="F49" s="92">
        <v>15.0</v>
      </c>
      <c r="G49" s="92">
        <f t="shared" si="2"/>
        <v>600.0</v>
      </c>
      <c r="H49" s="93">
        <f t="shared" si="1"/>
        <v>6.0E7</v>
      </c>
    </row>
    <row r="50" spans="8:8" ht="15.75">
      <c r="A50" s="14" t="s">
        <v>57</v>
      </c>
      <c r="B50" s="104" t="s">
        <v>13</v>
      </c>
      <c r="C50" s="97">
        <v>0.01</v>
      </c>
      <c r="D50" s="97">
        <v>360.0</v>
      </c>
      <c r="E50" s="92">
        <v>30.0</v>
      </c>
      <c r="F50" s="92">
        <v>15.0</v>
      </c>
      <c r="G50" s="92">
        <f t="shared" si="2"/>
        <v>405.01</v>
      </c>
      <c r="H50" s="93">
        <f t="shared" si="1"/>
        <v>4.0501E7</v>
      </c>
    </row>
    <row r="51" spans="8:8" ht="15.75">
      <c r="A51" s="14" t="s">
        <v>58</v>
      </c>
      <c r="B51" s="104" t="s">
        <v>13</v>
      </c>
      <c r="C51" s="97">
        <v>0.01</v>
      </c>
      <c r="D51" s="97">
        <v>360.0</v>
      </c>
      <c r="E51" s="92">
        <v>30.0</v>
      </c>
      <c r="F51" s="92">
        <v>15.0</v>
      </c>
      <c r="G51" s="92">
        <f t="shared" si="3" ref="G51:G84">SUM(C51:F51)</f>
        <v>405.01</v>
      </c>
      <c r="H51" s="93">
        <f t="shared" si="1"/>
        <v>4.0501E7</v>
      </c>
    </row>
    <row r="52" spans="8:8" ht="15.75">
      <c r="A52" s="14" t="s">
        <v>59</v>
      </c>
      <c r="B52" s="104" t="s">
        <v>60</v>
      </c>
      <c r="C52" s="97">
        <v>0.01</v>
      </c>
      <c r="D52" s="97">
        <v>360.0</v>
      </c>
      <c r="E52" s="92">
        <v>30.0</v>
      </c>
      <c r="F52" s="92">
        <v>15.0</v>
      </c>
      <c r="G52" s="92">
        <f t="shared" si="3"/>
        <v>405.01</v>
      </c>
      <c r="H52" s="93">
        <f t="shared" si="1"/>
        <v>4.0501E7</v>
      </c>
    </row>
    <row r="53" spans="8:8" ht="15.75">
      <c r="A53" s="14" t="s">
        <v>61</v>
      </c>
      <c r="B53" s="104" t="s">
        <v>60</v>
      </c>
      <c r="C53" s="97">
        <v>75.0</v>
      </c>
      <c r="D53" s="97">
        <v>630.0</v>
      </c>
      <c r="E53" s="92">
        <v>30.0</v>
      </c>
      <c r="F53" s="92">
        <v>15.0</v>
      </c>
      <c r="G53" s="92">
        <f t="shared" si="3"/>
        <v>750.0</v>
      </c>
      <c r="H53" s="93">
        <f t="shared" si="1"/>
        <v>7.5E7</v>
      </c>
    </row>
    <row r="54" spans="8:8" ht="15.75">
      <c r="A54" s="14" t="s">
        <v>62</v>
      </c>
      <c r="B54" s="104" t="s">
        <v>60</v>
      </c>
      <c r="C54" s="97">
        <v>0.01</v>
      </c>
      <c r="D54" s="97">
        <v>360.0</v>
      </c>
      <c r="E54" s="92">
        <v>30.0</v>
      </c>
      <c r="F54" s="92">
        <v>15.0</v>
      </c>
      <c r="G54" s="92">
        <f t="shared" si="3"/>
        <v>405.01</v>
      </c>
      <c r="H54" s="93">
        <f t="shared" si="1"/>
        <v>4.0501E7</v>
      </c>
    </row>
    <row r="55" spans="8:8" ht="15.75">
      <c r="A55" s="14" t="s">
        <v>63</v>
      </c>
      <c r="B55" s="104" t="s">
        <v>60</v>
      </c>
      <c r="C55" s="97">
        <v>0.01</v>
      </c>
      <c r="D55" s="97">
        <v>360.0</v>
      </c>
      <c r="E55" s="92">
        <v>30.0</v>
      </c>
      <c r="F55" s="92">
        <v>15.0</v>
      </c>
      <c r="G55" s="92">
        <f t="shared" si="3"/>
        <v>405.01</v>
      </c>
      <c r="H55" s="93">
        <f t="shared" si="1"/>
        <v>4.0501E7</v>
      </c>
    </row>
    <row r="56" spans="8:8" ht="15.75">
      <c r="A56" s="14" t="s">
        <v>64</v>
      </c>
      <c r="B56" s="104" t="s">
        <v>65</v>
      </c>
      <c r="C56" s="97">
        <v>0.01</v>
      </c>
      <c r="D56" s="97">
        <v>265.0</v>
      </c>
      <c r="E56" s="92">
        <v>30.0</v>
      </c>
      <c r="F56" s="92">
        <v>15.0</v>
      </c>
      <c r="G56" s="92">
        <f t="shared" si="3"/>
        <v>310.01</v>
      </c>
      <c r="H56" s="93">
        <f t="shared" si="1"/>
        <v>3.1001E7</v>
      </c>
    </row>
    <row r="57" spans="8:8" ht="15.75">
      <c r="A57" s="14" t="s">
        <v>66</v>
      </c>
      <c r="B57" s="104" t="s">
        <v>65</v>
      </c>
      <c r="C57" s="97">
        <v>0.01</v>
      </c>
      <c r="D57" s="97">
        <v>282.0</v>
      </c>
      <c r="E57" s="92">
        <v>30.0</v>
      </c>
      <c r="F57" s="92">
        <v>15.0</v>
      </c>
      <c r="G57" s="92">
        <f t="shared" si="3"/>
        <v>327.01</v>
      </c>
      <c r="H57" s="93">
        <f t="shared" si="1"/>
        <v>3.2701E7</v>
      </c>
    </row>
    <row r="58" spans="8:8" ht="15.75">
      <c r="A58" s="14" t="s">
        <v>67</v>
      </c>
      <c r="B58" s="104" t="s">
        <v>65</v>
      </c>
      <c r="C58" s="97">
        <v>0.01</v>
      </c>
      <c r="D58" s="97">
        <v>265.0</v>
      </c>
      <c r="E58" s="92">
        <v>30.0</v>
      </c>
      <c r="F58" s="92">
        <v>15.0</v>
      </c>
      <c r="G58" s="92">
        <f t="shared" si="3"/>
        <v>310.01</v>
      </c>
      <c r="H58" s="93">
        <f t="shared" si="1"/>
        <v>3.1001E7</v>
      </c>
    </row>
    <row r="59" spans="8:8" ht="15.75">
      <c r="A59" s="14" t="s">
        <v>68</v>
      </c>
      <c r="B59" s="104" t="s">
        <v>65</v>
      </c>
      <c r="C59" s="97">
        <v>0.01</v>
      </c>
      <c r="D59" s="97">
        <v>283.0</v>
      </c>
      <c r="E59" s="92">
        <v>30.0</v>
      </c>
      <c r="F59" s="92">
        <v>15.0</v>
      </c>
      <c r="G59" s="92">
        <f t="shared" si="3"/>
        <v>328.01</v>
      </c>
      <c r="H59" s="93">
        <f t="shared" si="1"/>
        <v>3.2801E7</v>
      </c>
    </row>
    <row r="60" spans="8:8" ht="15.75">
      <c r="A60" s="14" t="s">
        <v>69</v>
      </c>
      <c r="B60" s="104" t="s">
        <v>65</v>
      </c>
      <c r="C60" s="97">
        <v>0.01</v>
      </c>
      <c r="D60" s="97">
        <v>344.0</v>
      </c>
      <c r="E60" s="92">
        <v>30.0</v>
      </c>
      <c r="F60" s="92">
        <v>15.0</v>
      </c>
      <c r="G60" s="92">
        <f t="shared" si="3"/>
        <v>389.01</v>
      </c>
      <c r="H60" s="93">
        <f t="shared" si="1"/>
        <v>3.8901E7</v>
      </c>
    </row>
    <row r="61" spans="8:8" ht="15.75">
      <c r="A61" s="14" t="s">
        <v>70</v>
      </c>
      <c r="B61" s="104" t="s">
        <v>65</v>
      </c>
      <c r="C61" s="97">
        <v>0.01</v>
      </c>
      <c r="D61" s="97">
        <v>265.0</v>
      </c>
      <c r="E61" s="92">
        <v>30.0</v>
      </c>
      <c r="F61" s="92">
        <v>15.0</v>
      </c>
      <c r="G61" s="92">
        <f t="shared" si="3"/>
        <v>310.01</v>
      </c>
      <c r="H61" s="93">
        <f t="shared" si="1"/>
        <v>3.1001E7</v>
      </c>
    </row>
    <row r="62" spans="8:8" ht="15.75">
      <c r="A62" s="18" t="s">
        <v>71</v>
      </c>
      <c r="B62" s="105" t="s">
        <v>65</v>
      </c>
      <c r="C62" s="96">
        <v>0.01</v>
      </c>
      <c r="D62" s="96">
        <v>312.0</v>
      </c>
      <c r="E62" s="92">
        <v>30.0</v>
      </c>
      <c r="F62" s="92">
        <v>15.0</v>
      </c>
      <c r="G62" s="92">
        <f t="shared" si="3"/>
        <v>357.01</v>
      </c>
      <c r="H62" s="93">
        <f t="shared" si="1"/>
        <v>3.5701E7</v>
      </c>
    </row>
    <row r="63" spans="8:8" ht="15.75">
      <c r="A63" s="18" t="s">
        <v>72</v>
      </c>
      <c r="B63" s="105" t="s">
        <v>65</v>
      </c>
      <c r="C63" s="96">
        <v>0.01</v>
      </c>
      <c r="D63" s="96">
        <v>286.0</v>
      </c>
      <c r="E63" s="92">
        <v>30.0</v>
      </c>
      <c r="F63" s="92">
        <v>15.0</v>
      </c>
      <c r="G63" s="92">
        <f t="shared" si="3"/>
        <v>331.01</v>
      </c>
      <c r="H63" s="93">
        <f t="shared" si="1"/>
        <v>3.3101E7</v>
      </c>
    </row>
    <row r="64" spans="8:8" ht="15.75">
      <c r="A64" s="14" t="s">
        <v>73</v>
      </c>
      <c r="B64" s="104" t="s">
        <v>65</v>
      </c>
      <c r="C64" s="97">
        <v>0.01</v>
      </c>
      <c r="D64" s="97">
        <v>250.0</v>
      </c>
      <c r="E64" s="92">
        <v>30.0</v>
      </c>
      <c r="F64" s="92">
        <v>15.0</v>
      </c>
      <c r="G64" s="92">
        <f t="shared" si="3"/>
        <v>295.01</v>
      </c>
      <c r="H64" s="93">
        <f t="shared" si="1"/>
        <v>2.9501E7</v>
      </c>
    </row>
    <row r="65" spans="8:8" ht="15.75">
      <c r="A65" s="14" t="s">
        <v>74</v>
      </c>
      <c r="B65" s="104" t="s">
        <v>65</v>
      </c>
      <c r="C65" s="97">
        <v>0.01</v>
      </c>
      <c r="D65" s="97">
        <v>274.0</v>
      </c>
      <c r="E65" s="92">
        <v>30.0</v>
      </c>
      <c r="F65" s="92">
        <v>15.0</v>
      </c>
      <c r="G65" s="92">
        <f t="shared" si="3"/>
        <v>319.01</v>
      </c>
      <c r="H65" s="93">
        <f t="shared" si="1"/>
        <v>3.1901E7</v>
      </c>
    </row>
    <row r="66" spans="8:8" ht="15.75">
      <c r="A66" s="14" t="s">
        <v>75</v>
      </c>
      <c r="B66" s="104" t="s">
        <v>65</v>
      </c>
      <c r="C66" s="97">
        <v>0.01</v>
      </c>
      <c r="D66" s="97">
        <v>435.0</v>
      </c>
      <c r="E66" s="92">
        <v>30.0</v>
      </c>
      <c r="F66" s="92">
        <v>15.0</v>
      </c>
      <c r="G66" s="92">
        <f t="shared" si="3"/>
        <v>480.01</v>
      </c>
      <c r="H66" s="93">
        <f t="shared" si="1"/>
        <v>4.8001E7</v>
      </c>
    </row>
    <row r="67" spans="8:8" ht="15.75">
      <c r="A67" s="14" t="s">
        <v>76</v>
      </c>
      <c r="B67" s="104" t="s">
        <v>65</v>
      </c>
      <c r="C67" s="97">
        <v>0.01</v>
      </c>
      <c r="D67" s="97">
        <v>265.0</v>
      </c>
      <c r="E67" s="92">
        <v>30.0</v>
      </c>
      <c r="F67" s="92">
        <v>15.0</v>
      </c>
      <c r="G67" s="92">
        <f t="shared" si="3"/>
        <v>310.01</v>
      </c>
      <c r="H67" s="93">
        <f t="shared" si="4" ref="H67:H130">G67*100000</f>
        <v>3.1001E7</v>
      </c>
    </row>
    <row r="68" spans="8:8" ht="15.75">
      <c r="A68" s="14" t="s">
        <v>77</v>
      </c>
      <c r="B68" s="104" t="s">
        <v>65</v>
      </c>
      <c r="C68" s="97">
        <v>0.01</v>
      </c>
      <c r="D68" s="97">
        <v>274.0</v>
      </c>
      <c r="E68" s="92">
        <v>30.0</v>
      </c>
      <c r="F68" s="92">
        <v>15.0</v>
      </c>
      <c r="G68" s="92">
        <f t="shared" si="3"/>
        <v>319.01</v>
      </c>
      <c r="H68" s="93">
        <f t="shared" si="4"/>
        <v>3.1901E7</v>
      </c>
    </row>
    <row r="69" spans="8:8" ht="15.75">
      <c r="A69" s="14" t="s">
        <v>78</v>
      </c>
      <c r="B69" s="104" t="s">
        <v>65</v>
      </c>
      <c r="C69" s="97">
        <v>0.01</v>
      </c>
      <c r="D69" s="97">
        <v>327.0</v>
      </c>
      <c r="E69" s="92">
        <v>30.0</v>
      </c>
      <c r="F69" s="92">
        <v>15.0</v>
      </c>
      <c r="G69" s="92">
        <f t="shared" si="3"/>
        <v>372.01</v>
      </c>
      <c r="H69" s="93">
        <f t="shared" si="4"/>
        <v>3.7201E7</v>
      </c>
    </row>
    <row r="70" spans="8:8" ht="15.75">
      <c r="A70" s="14" t="s">
        <v>79</v>
      </c>
      <c r="B70" s="104" t="s">
        <v>65</v>
      </c>
      <c r="C70" s="97">
        <v>0.01</v>
      </c>
      <c r="D70" s="97">
        <v>344.0</v>
      </c>
      <c r="E70" s="92">
        <v>30.0</v>
      </c>
      <c r="F70" s="92">
        <v>15.0</v>
      </c>
      <c r="G70" s="92">
        <f t="shared" si="3"/>
        <v>389.01</v>
      </c>
      <c r="H70" s="93">
        <f t="shared" si="4"/>
        <v>3.8901E7</v>
      </c>
    </row>
    <row r="71" spans="8:8" ht="15.75">
      <c r="A71" s="14" t="s">
        <v>80</v>
      </c>
      <c r="B71" s="104" t="s">
        <v>65</v>
      </c>
      <c r="C71" s="97">
        <v>0.01</v>
      </c>
      <c r="D71" s="97">
        <v>250.0</v>
      </c>
      <c r="E71" s="92">
        <v>30.0</v>
      </c>
      <c r="F71" s="92">
        <v>15.0</v>
      </c>
      <c r="G71" s="92">
        <f t="shared" si="3"/>
        <v>295.01</v>
      </c>
      <c r="H71" s="93">
        <f t="shared" si="4"/>
        <v>2.9501E7</v>
      </c>
    </row>
    <row r="72" spans="8:8" ht="15.75">
      <c r="A72" s="14" t="s">
        <v>81</v>
      </c>
      <c r="B72" s="104" t="s">
        <v>65</v>
      </c>
      <c r="C72" s="97">
        <v>0.01</v>
      </c>
      <c r="D72" s="97">
        <v>274.0</v>
      </c>
      <c r="E72" s="92">
        <v>30.0</v>
      </c>
      <c r="F72" s="92">
        <v>15.0</v>
      </c>
      <c r="G72" s="92">
        <f t="shared" si="3"/>
        <v>319.01</v>
      </c>
      <c r="H72" s="93">
        <f t="shared" si="4"/>
        <v>3.1901E7</v>
      </c>
    </row>
    <row r="73" spans="8:8" ht="15.75">
      <c r="A73" s="14" t="s">
        <v>82</v>
      </c>
      <c r="B73" s="104" t="s">
        <v>65</v>
      </c>
      <c r="C73" s="97">
        <v>0.01</v>
      </c>
      <c r="D73" s="97">
        <v>401.0</v>
      </c>
      <c r="E73" s="92">
        <v>30.0</v>
      </c>
      <c r="F73" s="92">
        <v>15.0</v>
      </c>
      <c r="G73" s="92">
        <f t="shared" si="3"/>
        <v>446.01</v>
      </c>
      <c r="H73" s="93">
        <f t="shared" si="4"/>
        <v>4.4601E7</v>
      </c>
    </row>
    <row r="74" spans="8:8" ht="15.75">
      <c r="A74" s="14" t="s">
        <v>83</v>
      </c>
      <c r="B74" s="104" t="s">
        <v>65</v>
      </c>
      <c r="C74" s="97">
        <v>0.01</v>
      </c>
      <c r="D74" s="97">
        <v>426.0</v>
      </c>
      <c r="E74" s="92">
        <v>30.0</v>
      </c>
      <c r="F74" s="92">
        <v>15.0</v>
      </c>
      <c r="G74" s="92">
        <f t="shared" si="3"/>
        <v>471.01</v>
      </c>
      <c r="H74" s="93">
        <f t="shared" si="4"/>
        <v>4.7101E7</v>
      </c>
    </row>
    <row r="75" spans="8:8" ht="15.75">
      <c r="A75" s="14" t="s">
        <v>84</v>
      </c>
      <c r="B75" s="104" t="s">
        <v>65</v>
      </c>
      <c r="C75" s="97">
        <v>0.01</v>
      </c>
      <c r="D75" s="97">
        <v>274.0</v>
      </c>
      <c r="E75" s="92">
        <v>30.0</v>
      </c>
      <c r="F75" s="92">
        <v>15.0</v>
      </c>
      <c r="G75" s="92">
        <f t="shared" si="3"/>
        <v>319.01</v>
      </c>
      <c r="H75" s="93">
        <f t="shared" si="4"/>
        <v>3.1901E7</v>
      </c>
    </row>
    <row r="76" spans="8:8" ht="15.75">
      <c r="A76" s="14" t="s">
        <v>85</v>
      </c>
      <c r="B76" s="104" t="s">
        <v>65</v>
      </c>
      <c r="C76" s="97">
        <v>0.01</v>
      </c>
      <c r="D76" s="97">
        <v>426.0</v>
      </c>
      <c r="E76" s="92">
        <v>30.0</v>
      </c>
      <c r="F76" s="92">
        <v>15.0</v>
      </c>
      <c r="G76" s="92">
        <f t="shared" si="3"/>
        <v>471.01</v>
      </c>
      <c r="H76" s="93">
        <f t="shared" si="4"/>
        <v>4.7101E7</v>
      </c>
    </row>
    <row r="77" spans="8:8" ht="15.75">
      <c r="A77" s="14" t="s">
        <v>86</v>
      </c>
      <c r="B77" s="104" t="s">
        <v>65</v>
      </c>
      <c r="C77" s="97">
        <v>0.01</v>
      </c>
      <c r="D77" s="97">
        <v>274.0</v>
      </c>
      <c r="E77" s="92">
        <v>30.0</v>
      </c>
      <c r="F77" s="92">
        <v>15.0</v>
      </c>
      <c r="G77" s="92">
        <f t="shared" si="3"/>
        <v>319.01</v>
      </c>
      <c r="H77" s="93">
        <f t="shared" si="4"/>
        <v>3.1901E7</v>
      </c>
    </row>
    <row r="78" spans="8:8" ht="15.75">
      <c r="A78" s="14" t="s">
        <v>87</v>
      </c>
      <c r="B78" s="104" t="s">
        <v>65</v>
      </c>
      <c r="C78" s="97">
        <v>0.01</v>
      </c>
      <c r="D78" s="97">
        <v>307.0</v>
      </c>
      <c r="E78" s="92">
        <v>30.0</v>
      </c>
      <c r="F78" s="92">
        <v>15.0</v>
      </c>
      <c r="G78" s="92">
        <f t="shared" si="3"/>
        <v>352.01</v>
      </c>
      <c r="H78" s="93">
        <f t="shared" si="4"/>
        <v>3.5201E7</v>
      </c>
    </row>
    <row r="79" spans="8:8" ht="15.75">
      <c r="A79" s="14" t="s">
        <v>88</v>
      </c>
      <c r="B79" s="104" t="s">
        <v>65</v>
      </c>
      <c r="C79" s="97">
        <v>0.01</v>
      </c>
      <c r="D79" s="97">
        <v>344.0</v>
      </c>
      <c r="E79" s="92">
        <v>30.0</v>
      </c>
      <c r="F79" s="92">
        <v>15.0</v>
      </c>
      <c r="G79" s="92">
        <f t="shared" si="3"/>
        <v>389.01</v>
      </c>
      <c r="H79" s="93">
        <f t="shared" si="4"/>
        <v>3.8901E7</v>
      </c>
    </row>
    <row r="80" spans="8:8" ht="15.75">
      <c r="A80" s="14" t="s">
        <v>89</v>
      </c>
      <c r="B80" s="104" t="s">
        <v>65</v>
      </c>
      <c r="C80" s="97">
        <v>0.01</v>
      </c>
      <c r="D80" s="97">
        <v>390.0</v>
      </c>
      <c r="E80" s="92">
        <v>30.0</v>
      </c>
      <c r="F80" s="92">
        <v>15.0</v>
      </c>
      <c r="G80" s="92">
        <f t="shared" si="3"/>
        <v>435.01</v>
      </c>
      <c r="H80" s="93">
        <f t="shared" si="4"/>
        <v>4.3501E7</v>
      </c>
    </row>
    <row r="81" spans="8:8" ht="15.75">
      <c r="A81" s="14" t="s">
        <v>90</v>
      </c>
      <c r="B81" s="104" t="s">
        <v>65</v>
      </c>
      <c r="C81" s="97">
        <v>0.01</v>
      </c>
      <c r="D81" s="97">
        <v>400.0</v>
      </c>
      <c r="E81" s="92">
        <v>30.0</v>
      </c>
      <c r="F81" s="92">
        <v>15.0</v>
      </c>
      <c r="G81" s="92">
        <f t="shared" si="3"/>
        <v>445.01</v>
      </c>
      <c r="H81" s="93">
        <f t="shared" si="4"/>
        <v>4.4501E7</v>
      </c>
    </row>
    <row r="82" spans="8:8" ht="15.75">
      <c r="A82" s="14" t="s">
        <v>91</v>
      </c>
      <c r="B82" s="104" t="s">
        <v>65</v>
      </c>
      <c r="C82" s="97">
        <v>0.01</v>
      </c>
      <c r="D82" s="97">
        <v>444.0</v>
      </c>
      <c r="E82" s="92">
        <v>30.0</v>
      </c>
      <c r="F82" s="92">
        <v>15.0</v>
      </c>
      <c r="G82" s="92">
        <f t="shared" si="3"/>
        <v>489.01</v>
      </c>
      <c r="H82" s="93">
        <f t="shared" si="4"/>
        <v>4.8901E7</v>
      </c>
    </row>
    <row r="83" spans="8:8" ht="15.75">
      <c r="A83" s="14" t="s">
        <v>92</v>
      </c>
      <c r="B83" s="104" t="s">
        <v>65</v>
      </c>
      <c r="C83" s="97">
        <v>0.01</v>
      </c>
      <c r="D83" s="97">
        <v>265.0</v>
      </c>
      <c r="E83" s="92">
        <v>30.0</v>
      </c>
      <c r="F83" s="92">
        <v>15.0</v>
      </c>
      <c r="G83" s="92">
        <f t="shared" si="3"/>
        <v>310.01</v>
      </c>
      <c r="H83" s="93">
        <f t="shared" si="4"/>
        <v>3.1001E7</v>
      </c>
    </row>
    <row r="84" spans="8:8" ht="15.75">
      <c r="A84" s="14" t="s">
        <v>93</v>
      </c>
      <c r="B84" s="104" t="s">
        <v>65</v>
      </c>
      <c r="C84" s="97">
        <v>0.01</v>
      </c>
      <c r="D84" s="97">
        <v>282.0</v>
      </c>
      <c r="E84" s="92">
        <v>30.0</v>
      </c>
      <c r="F84" s="92">
        <v>15.0</v>
      </c>
      <c r="G84" s="92">
        <f t="shared" si="3"/>
        <v>327.01</v>
      </c>
      <c r="H84" s="93">
        <f t="shared" si="4"/>
        <v>3.2701E7</v>
      </c>
    </row>
    <row r="85" spans="8:8" ht="15.75">
      <c r="A85" s="14" t="s">
        <v>94</v>
      </c>
      <c r="B85" s="104" t="s">
        <v>65</v>
      </c>
      <c r="C85" s="97">
        <v>0.01</v>
      </c>
      <c r="D85" s="97">
        <v>338.0</v>
      </c>
      <c r="E85" s="92">
        <v>30.0</v>
      </c>
      <c r="F85" s="92">
        <v>15.0</v>
      </c>
      <c r="G85" s="92">
        <f t="shared" si="5" ref="G85:G116">SUM(C85:F85)</f>
        <v>383.01</v>
      </c>
      <c r="H85" s="93">
        <f t="shared" si="4"/>
        <v>3.8301E7</v>
      </c>
    </row>
    <row r="86" spans="8:8" ht="15.75">
      <c r="A86" s="14" t="s">
        <v>95</v>
      </c>
      <c r="B86" s="104" t="s">
        <v>65</v>
      </c>
      <c r="C86" s="97">
        <v>0.01</v>
      </c>
      <c r="D86" s="97">
        <v>296.0</v>
      </c>
      <c r="E86" s="92">
        <v>30.0</v>
      </c>
      <c r="F86" s="92">
        <v>15.0</v>
      </c>
      <c r="G86" s="92">
        <f t="shared" si="5"/>
        <v>341.01</v>
      </c>
      <c r="H86" s="93">
        <f t="shared" si="4"/>
        <v>3.4101E7</v>
      </c>
    </row>
    <row r="87" spans="8:8" ht="15.75">
      <c r="A87" s="14" t="s">
        <v>96</v>
      </c>
      <c r="B87" s="104" t="s">
        <v>65</v>
      </c>
      <c r="C87" s="97">
        <v>0.01</v>
      </c>
      <c r="D87" s="97">
        <v>344.0</v>
      </c>
      <c r="E87" s="92">
        <v>30.0</v>
      </c>
      <c r="F87" s="92">
        <v>15.0</v>
      </c>
      <c r="G87" s="92">
        <f t="shared" si="5"/>
        <v>389.01</v>
      </c>
      <c r="H87" s="93">
        <f t="shared" si="4"/>
        <v>3.8901E7</v>
      </c>
    </row>
    <row r="88" spans="8:8" ht="15.75">
      <c r="A88" s="14" t="s">
        <v>97</v>
      </c>
      <c r="B88" s="104" t="s">
        <v>65</v>
      </c>
      <c r="C88" s="97">
        <v>0.01</v>
      </c>
      <c r="D88" s="97">
        <v>263.0</v>
      </c>
      <c r="E88" s="92">
        <v>30.0</v>
      </c>
      <c r="F88" s="92">
        <v>15.0</v>
      </c>
      <c r="G88" s="92">
        <f t="shared" si="5"/>
        <v>308.01</v>
      </c>
      <c r="H88" s="93">
        <f t="shared" si="4"/>
        <v>3.0801E7</v>
      </c>
    </row>
    <row r="89" spans="8:8" ht="15.75">
      <c r="A89" s="14" t="s">
        <v>98</v>
      </c>
      <c r="B89" s="104" t="s">
        <v>65</v>
      </c>
      <c r="C89" s="97">
        <v>0.01</v>
      </c>
      <c r="D89" s="97">
        <v>282.0</v>
      </c>
      <c r="E89" s="92">
        <v>30.0</v>
      </c>
      <c r="F89" s="92">
        <v>15.0</v>
      </c>
      <c r="G89" s="92">
        <f t="shared" si="5"/>
        <v>327.01</v>
      </c>
      <c r="H89" s="93">
        <f t="shared" si="4"/>
        <v>3.2701E7</v>
      </c>
    </row>
    <row r="90" spans="8:8" ht="15.75">
      <c r="A90" s="14" t="s">
        <v>99</v>
      </c>
      <c r="B90" s="104" t="s">
        <v>65</v>
      </c>
      <c r="C90" s="97">
        <v>0.01</v>
      </c>
      <c r="D90" s="97">
        <v>338.0</v>
      </c>
      <c r="E90" s="92">
        <v>30.0</v>
      </c>
      <c r="F90" s="92">
        <v>15.0</v>
      </c>
      <c r="G90" s="92">
        <f t="shared" si="5"/>
        <v>383.01</v>
      </c>
      <c r="H90" s="93">
        <f t="shared" si="4"/>
        <v>3.8301E7</v>
      </c>
    </row>
    <row r="91" spans="8:8" ht="15.75">
      <c r="A91" s="14" t="s">
        <v>100</v>
      </c>
      <c r="B91" s="104" t="s">
        <v>65</v>
      </c>
      <c r="C91" s="97">
        <v>0.01</v>
      </c>
      <c r="D91" s="97">
        <v>419.0</v>
      </c>
      <c r="E91" s="92">
        <v>30.0</v>
      </c>
      <c r="F91" s="92">
        <v>15.0</v>
      </c>
      <c r="G91" s="92">
        <f t="shared" si="5"/>
        <v>464.01</v>
      </c>
      <c r="H91" s="93">
        <f t="shared" si="4"/>
        <v>4.6401E7</v>
      </c>
    </row>
    <row r="92" spans="8:8" ht="15.75">
      <c r="A92" s="14" t="s">
        <v>101</v>
      </c>
      <c r="B92" s="104" t="s">
        <v>65</v>
      </c>
      <c r="C92" s="97">
        <v>0.01</v>
      </c>
      <c r="D92" s="97">
        <v>430.0</v>
      </c>
      <c r="E92" s="92">
        <v>30.0</v>
      </c>
      <c r="F92" s="92">
        <v>15.0</v>
      </c>
      <c r="G92" s="92">
        <f t="shared" si="5"/>
        <v>475.01</v>
      </c>
      <c r="H92" s="93">
        <f t="shared" si="4"/>
        <v>4.7501E7</v>
      </c>
    </row>
    <row r="93" spans="8:8" ht="15.75">
      <c r="A93" s="14" t="s">
        <v>102</v>
      </c>
      <c r="B93" s="104" t="s">
        <v>65</v>
      </c>
      <c r="C93" s="97">
        <v>0.01</v>
      </c>
      <c r="D93" s="97">
        <v>279.0</v>
      </c>
      <c r="E93" s="92">
        <v>30.0</v>
      </c>
      <c r="F93" s="92">
        <v>15.0</v>
      </c>
      <c r="G93" s="92">
        <f t="shared" si="5"/>
        <v>324.01</v>
      </c>
      <c r="H93" s="93">
        <f t="shared" si="4"/>
        <v>3.2401E7</v>
      </c>
    </row>
    <row r="94" spans="8:8" ht="15.75">
      <c r="A94" s="14" t="s">
        <v>103</v>
      </c>
      <c r="B94" s="104" t="s">
        <v>65</v>
      </c>
      <c r="C94" s="97">
        <v>0.01</v>
      </c>
      <c r="D94" s="97">
        <v>265.0</v>
      </c>
      <c r="E94" s="92">
        <v>30.0</v>
      </c>
      <c r="F94" s="92">
        <v>15.0</v>
      </c>
      <c r="G94" s="92">
        <f t="shared" si="5"/>
        <v>310.01</v>
      </c>
      <c r="H94" s="93">
        <f t="shared" si="4"/>
        <v>3.1001E7</v>
      </c>
    </row>
    <row r="95" spans="8:8" ht="15.75">
      <c r="A95" s="14" t="s">
        <v>104</v>
      </c>
      <c r="B95" s="104" t="s">
        <v>65</v>
      </c>
      <c r="C95" s="97">
        <v>0.01</v>
      </c>
      <c r="D95" s="97">
        <v>282.0</v>
      </c>
      <c r="E95" s="92">
        <v>30.0</v>
      </c>
      <c r="F95" s="92">
        <v>15.0</v>
      </c>
      <c r="G95" s="92">
        <f t="shared" si="5"/>
        <v>327.01</v>
      </c>
      <c r="H95" s="93">
        <f t="shared" si="4"/>
        <v>3.2701E7</v>
      </c>
    </row>
    <row r="96" spans="8:8" ht="15.75">
      <c r="A96" s="14" t="s">
        <v>105</v>
      </c>
      <c r="B96" s="104" t="s">
        <v>65</v>
      </c>
      <c r="C96" s="97">
        <v>0.01</v>
      </c>
      <c r="D96" s="97">
        <v>316.0</v>
      </c>
      <c r="E96" s="92">
        <v>30.0</v>
      </c>
      <c r="F96" s="92">
        <v>15.0</v>
      </c>
      <c r="G96" s="92">
        <f t="shared" si="5"/>
        <v>361.01</v>
      </c>
      <c r="H96" s="93">
        <f t="shared" si="4"/>
        <v>3.6101E7</v>
      </c>
    </row>
    <row r="97" spans="8:8" ht="15.75">
      <c r="A97" s="14" t="s">
        <v>106</v>
      </c>
      <c r="B97" s="104" t="s">
        <v>65</v>
      </c>
      <c r="C97" s="97">
        <v>0.01</v>
      </c>
      <c r="D97" s="97">
        <v>265.0</v>
      </c>
      <c r="E97" s="92">
        <v>30.0</v>
      </c>
      <c r="F97" s="92">
        <v>15.0</v>
      </c>
      <c r="G97" s="92">
        <f t="shared" si="5"/>
        <v>310.01</v>
      </c>
      <c r="H97" s="93">
        <f t="shared" si="4"/>
        <v>3.1001E7</v>
      </c>
    </row>
    <row r="98" spans="8:8" ht="15.75">
      <c r="A98" s="14" t="s">
        <v>107</v>
      </c>
      <c r="B98" s="104" t="s">
        <v>65</v>
      </c>
      <c r="C98" s="97">
        <v>0.01</v>
      </c>
      <c r="D98" s="97">
        <v>282.0</v>
      </c>
      <c r="E98" s="92">
        <v>30.0</v>
      </c>
      <c r="F98" s="92">
        <v>15.0</v>
      </c>
      <c r="G98" s="92">
        <f t="shared" si="5"/>
        <v>327.01</v>
      </c>
      <c r="H98" s="93">
        <f t="shared" si="4"/>
        <v>3.2701E7</v>
      </c>
    </row>
    <row r="99" spans="8:8" ht="15.75">
      <c r="A99" s="14" t="s">
        <v>108</v>
      </c>
      <c r="B99" s="104" t="s">
        <v>65</v>
      </c>
      <c r="C99" s="97">
        <v>0.01</v>
      </c>
      <c r="D99" s="97">
        <v>279.0</v>
      </c>
      <c r="E99" s="92">
        <v>30.0</v>
      </c>
      <c r="F99" s="92">
        <v>15.0</v>
      </c>
      <c r="G99" s="92">
        <f t="shared" si="5"/>
        <v>324.01</v>
      </c>
      <c r="H99" s="93">
        <f t="shared" si="4"/>
        <v>3.2401E7</v>
      </c>
    </row>
    <row r="100" spans="8:8" ht="15.75">
      <c r="A100" s="14" t="s">
        <v>109</v>
      </c>
      <c r="B100" s="104" t="s">
        <v>65</v>
      </c>
      <c r="C100" s="97">
        <v>0.01</v>
      </c>
      <c r="D100" s="97">
        <v>326.0</v>
      </c>
      <c r="E100" s="92">
        <v>30.0</v>
      </c>
      <c r="F100" s="92">
        <v>15.0</v>
      </c>
      <c r="G100" s="92">
        <f t="shared" si="5"/>
        <v>371.01</v>
      </c>
      <c r="H100" s="93">
        <f t="shared" si="4"/>
        <v>3.7101E7</v>
      </c>
    </row>
    <row r="101" spans="8:8" ht="15.75">
      <c r="A101" s="14" t="s">
        <v>110</v>
      </c>
      <c r="B101" s="104" t="s">
        <v>65</v>
      </c>
      <c r="C101" s="97">
        <v>150.0</v>
      </c>
      <c r="D101" s="97">
        <v>259.0</v>
      </c>
      <c r="E101" s="92">
        <v>30.0</v>
      </c>
      <c r="F101" s="92">
        <v>15.0</v>
      </c>
      <c r="G101" s="92">
        <f t="shared" si="5"/>
        <v>454.0</v>
      </c>
      <c r="H101" s="93">
        <f t="shared" si="4"/>
        <v>4.54E7</v>
      </c>
    </row>
    <row r="102" spans="8:8" ht="15.75">
      <c r="A102" s="14" t="s">
        <v>111</v>
      </c>
      <c r="B102" s="104" t="s">
        <v>65</v>
      </c>
      <c r="C102" s="97">
        <v>0.01</v>
      </c>
      <c r="D102" s="97">
        <v>250.0</v>
      </c>
      <c r="E102" s="92">
        <v>30.0</v>
      </c>
      <c r="F102" s="92">
        <v>15.0</v>
      </c>
      <c r="G102" s="92">
        <f t="shared" si="5"/>
        <v>295.01</v>
      </c>
      <c r="H102" s="93">
        <f t="shared" si="4"/>
        <v>2.9501E7</v>
      </c>
    </row>
    <row r="103" spans="8:8" ht="15.75">
      <c r="A103" s="14" t="s">
        <v>112</v>
      </c>
      <c r="B103" s="104" t="s">
        <v>65</v>
      </c>
      <c r="C103" s="97">
        <v>0.01</v>
      </c>
      <c r="D103" s="97">
        <v>286.0</v>
      </c>
      <c r="E103" s="92">
        <v>30.0</v>
      </c>
      <c r="F103" s="92">
        <v>15.0</v>
      </c>
      <c r="G103" s="92">
        <f t="shared" si="5"/>
        <v>331.01</v>
      </c>
      <c r="H103" s="93">
        <f t="shared" si="4"/>
        <v>3.3101E7</v>
      </c>
    </row>
    <row r="104" spans="8:8" ht="15.75">
      <c r="A104" s="14" t="s">
        <v>113</v>
      </c>
      <c r="B104" s="104" t="s">
        <v>65</v>
      </c>
      <c r="C104" s="97">
        <v>0.01</v>
      </c>
      <c r="D104" s="97">
        <v>305.0</v>
      </c>
      <c r="E104" s="92">
        <v>30.0</v>
      </c>
      <c r="F104" s="92">
        <v>15.0</v>
      </c>
      <c r="G104" s="92">
        <f t="shared" si="5"/>
        <v>350.01</v>
      </c>
      <c r="H104" s="93">
        <f t="shared" si="4"/>
        <v>3.5001E7</v>
      </c>
    </row>
    <row r="105" spans="8:8" ht="15.75">
      <c r="A105" s="14" t="s">
        <v>114</v>
      </c>
      <c r="B105" s="104" t="s">
        <v>65</v>
      </c>
      <c r="C105" s="97">
        <v>0.01</v>
      </c>
      <c r="D105" s="97">
        <v>269.0</v>
      </c>
      <c r="E105" s="92">
        <v>30.0</v>
      </c>
      <c r="F105" s="92">
        <v>15.0</v>
      </c>
      <c r="G105" s="92">
        <f t="shared" si="5"/>
        <v>314.01</v>
      </c>
      <c r="H105" s="93">
        <f t="shared" si="4"/>
        <v>3.1401E7</v>
      </c>
    </row>
    <row r="106" spans="8:8" ht="15.75">
      <c r="A106" s="14" t="s">
        <v>115</v>
      </c>
      <c r="B106" s="104" t="s">
        <v>65</v>
      </c>
      <c r="C106" s="97">
        <v>0.01</v>
      </c>
      <c r="D106" s="97">
        <v>281.0</v>
      </c>
      <c r="E106" s="92">
        <v>30.0</v>
      </c>
      <c r="F106" s="92">
        <v>15.0</v>
      </c>
      <c r="G106" s="92">
        <f t="shared" si="5"/>
        <v>326.01</v>
      </c>
      <c r="H106" s="93">
        <f t="shared" si="4"/>
        <v>3.2601E7</v>
      </c>
    </row>
    <row r="107" spans="8:8" ht="15.75">
      <c r="A107" s="14" t="s">
        <v>116</v>
      </c>
      <c r="B107" s="104" t="s">
        <v>65</v>
      </c>
      <c r="C107" s="97">
        <v>0.01</v>
      </c>
      <c r="D107" s="97">
        <v>314.0</v>
      </c>
      <c r="E107" s="92">
        <v>30.0</v>
      </c>
      <c r="F107" s="92">
        <v>15.0</v>
      </c>
      <c r="G107" s="92">
        <f t="shared" si="5"/>
        <v>359.01</v>
      </c>
      <c r="H107" s="93">
        <f t="shared" si="4"/>
        <v>3.5901E7</v>
      </c>
    </row>
    <row r="108" spans="8:8" ht="15.75">
      <c r="A108" s="14" t="s">
        <v>117</v>
      </c>
      <c r="B108" s="104" t="s">
        <v>65</v>
      </c>
      <c r="C108" s="97">
        <v>0.01</v>
      </c>
      <c r="D108" s="97">
        <v>276.0</v>
      </c>
      <c r="E108" s="92">
        <v>30.0</v>
      </c>
      <c r="F108" s="92">
        <v>15.0</v>
      </c>
      <c r="G108" s="92">
        <f t="shared" si="5"/>
        <v>321.01</v>
      </c>
      <c r="H108" s="93">
        <f t="shared" si="4"/>
        <v>3.2101E7</v>
      </c>
    </row>
    <row r="109" spans="8:8" ht="15.75">
      <c r="A109" s="14" t="s">
        <v>118</v>
      </c>
      <c r="B109" s="104" t="s">
        <v>65</v>
      </c>
      <c r="C109" s="97">
        <v>0.01</v>
      </c>
      <c r="D109" s="97">
        <v>244.0</v>
      </c>
      <c r="E109" s="92">
        <v>30.0</v>
      </c>
      <c r="F109" s="92">
        <v>15.0</v>
      </c>
      <c r="G109" s="92">
        <f t="shared" si="5"/>
        <v>289.01</v>
      </c>
      <c r="H109" s="93">
        <f t="shared" si="4"/>
        <v>2.8901E7</v>
      </c>
    </row>
    <row r="110" spans="8:8" ht="15.75">
      <c r="A110" s="14" t="s">
        <v>119</v>
      </c>
      <c r="B110" s="104" t="s">
        <v>65</v>
      </c>
      <c r="C110" s="97">
        <v>0.01</v>
      </c>
      <c r="D110" s="97">
        <v>281.0</v>
      </c>
      <c r="E110" s="92">
        <v>30.0</v>
      </c>
      <c r="F110" s="92">
        <v>15.0</v>
      </c>
      <c r="G110" s="92">
        <f t="shared" si="5"/>
        <v>326.01</v>
      </c>
      <c r="H110" s="93">
        <f t="shared" si="4"/>
        <v>3.2601E7</v>
      </c>
    </row>
    <row r="111" spans="8:8" ht="15.75">
      <c r="A111" s="14" t="s">
        <v>120</v>
      </c>
      <c r="B111" s="104" t="s">
        <v>65</v>
      </c>
      <c r="C111" s="97">
        <v>0.01</v>
      </c>
      <c r="D111" s="97">
        <v>394.0</v>
      </c>
      <c r="E111" s="92">
        <v>30.0</v>
      </c>
      <c r="F111" s="92">
        <v>15.0</v>
      </c>
      <c r="G111" s="92">
        <f t="shared" si="5"/>
        <v>439.01</v>
      </c>
      <c r="H111" s="93">
        <f t="shared" si="4"/>
        <v>4.3901E7</v>
      </c>
    </row>
    <row r="112" spans="8:8" ht="15.75">
      <c r="A112" s="14" t="s">
        <v>121</v>
      </c>
      <c r="B112" s="104" t="s">
        <v>65</v>
      </c>
      <c r="C112" s="97">
        <v>0.01</v>
      </c>
      <c r="D112" s="97">
        <v>434.0</v>
      </c>
      <c r="E112" s="92">
        <v>30.0</v>
      </c>
      <c r="F112" s="92">
        <v>15.0</v>
      </c>
      <c r="G112" s="92">
        <f t="shared" si="5"/>
        <v>479.01</v>
      </c>
      <c r="H112" s="93">
        <f t="shared" si="4"/>
        <v>4.7901E7</v>
      </c>
    </row>
    <row r="113" spans="8:8" ht="15.75">
      <c r="A113" s="14" t="s">
        <v>122</v>
      </c>
      <c r="B113" s="104" t="s">
        <v>65</v>
      </c>
      <c r="C113" s="97">
        <v>0.01</v>
      </c>
      <c r="D113" s="97">
        <v>259.0</v>
      </c>
      <c r="E113" s="92">
        <v>30.0</v>
      </c>
      <c r="F113" s="92">
        <v>15.0</v>
      </c>
      <c r="G113" s="92">
        <f t="shared" si="5"/>
        <v>304.01</v>
      </c>
      <c r="H113" s="93">
        <f t="shared" si="4"/>
        <v>3.0401E7</v>
      </c>
    </row>
    <row r="114" spans="8:8" ht="15.75">
      <c r="A114" s="14" t="s">
        <v>123</v>
      </c>
      <c r="B114" s="104" t="s">
        <v>65</v>
      </c>
      <c r="C114" s="97">
        <v>0.01</v>
      </c>
      <c r="D114" s="97">
        <v>289.0</v>
      </c>
      <c r="E114" s="92">
        <v>30.0</v>
      </c>
      <c r="F114" s="92">
        <v>15.0</v>
      </c>
      <c r="G114" s="92">
        <f t="shared" si="5"/>
        <v>334.01</v>
      </c>
      <c r="H114" s="93">
        <f t="shared" si="4"/>
        <v>3.3401E7</v>
      </c>
    </row>
    <row r="115" spans="8:8" ht="15.75">
      <c r="A115" s="14" t="s">
        <v>124</v>
      </c>
      <c r="B115" s="104" t="s">
        <v>65</v>
      </c>
      <c r="C115" s="97">
        <v>0.01</v>
      </c>
      <c r="D115" s="97">
        <v>323.0</v>
      </c>
      <c r="E115" s="92">
        <v>30.0</v>
      </c>
      <c r="F115" s="92">
        <v>15.0</v>
      </c>
      <c r="G115" s="92">
        <f t="shared" si="5"/>
        <v>368.01</v>
      </c>
      <c r="H115" s="93">
        <f t="shared" si="4"/>
        <v>3.6801E7</v>
      </c>
    </row>
    <row r="116" spans="8:8" ht="15.75">
      <c r="A116" s="14" t="s">
        <v>125</v>
      </c>
      <c r="B116" s="104" t="s">
        <v>65</v>
      </c>
      <c r="C116" s="97">
        <v>0.01</v>
      </c>
      <c r="D116" s="97">
        <v>337.0</v>
      </c>
      <c r="E116" s="92">
        <v>30.0</v>
      </c>
      <c r="F116" s="92">
        <v>15.0</v>
      </c>
      <c r="G116" s="92">
        <f t="shared" si="5"/>
        <v>382.01</v>
      </c>
      <c r="H116" s="93">
        <f t="shared" si="4"/>
        <v>3.8201E7</v>
      </c>
    </row>
    <row r="117" spans="8:8" ht="15.75">
      <c r="A117" s="14" t="s">
        <v>126</v>
      </c>
      <c r="B117" s="104" t="s">
        <v>65</v>
      </c>
      <c r="C117" s="97">
        <v>0.01</v>
      </c>
      <c r="D117" s="97">
        <v>449.0</v>
      </c>
      <c r="E117" s="92">
        <v>30.0</v>
      </c>
      <c r="F117" s="92">
        <v>15.0</v>
      </c>
      <c r="G117" s="92">
        <f t="shared" si="6" ref="G117:G180">SUM(C117:F117)</f>
        <v>494.01</v>
      </c>
      <c r="H117" s="93">
        <f t="shared" si="4"/>
        <v>4.9401E7</v>
      </c>
    </row>
    <row r="118" spans="8:8" ht="15.75">
      <c r="A118" s="14" t="s">
        <v>127</v>
      </c>
      <c r="B118" s="104" t="s">
        <v>65</v>
      </c>
      <c r="C118" s="97">
        <v>0.01</v>
      </c>
      <c r="D118" s="97">
        <v>408.0</v>
      </c>
      <c r="E118" s="92">
        <v>30.0</v>
      </c>
      <c r="F118" s="92">
        <v>15.0</v>
      </c>
      <c r="G118" s="92">
        <f t="shared" si="6"/>
        <v>453.01</v>
      </c>
      <c r="H118" s="93">
        <f t="shared" si="4"/>
        <v>4.5301E7</v>
      </c>
    </row>
    <row r="119" spans="8:8" ht="15.75">
      <c r="A119" s="14" t="s">
        <v>128</v>
      </c>
      <c r="B119" s="104" t="s">
        <v>65</v>
      </c>
      <c r="C119" s="97">
        <v>0.01</v>
      </c>
      <c r="D119" s="97">
        <v>434.0</v>
      </c>
      <c r="E119" s="92">
        <v>30.0</v>
      </c>
      <c r="F119" s="92">
        <v>15.0</v>
      </c>
      <c r="G119" s="92">
        <f t="shared" si="6"/>
        <v>479.01</v>
      </c>
      <c r="H119" s="93">
        <f t="shared" si="4"/>
        <v>4.7901E7</v>
      </c>
    </row>
    <row r="120" spans="8:8" ht="15.75">
      <c r="A120" s="14" t="s">
        <v>129</v>
      </c>
      <c r="B120" s="104" t="s">
        <v>65</v>
      </c>
      <c r="C120" s="97">
        <v>0.01</v>
      </c>
      <c r="D120" s="97">
        <v>450.0</v>
      </c>
      <c r="E120" s="92">
        <v>30.0</v>
      </c>
      <c r="F120" s="92">
        <v>15.0</v>
      </c>
      <c r="G120" s="92">
        <f t="shared" si="6"/>
        <v>495.01</v>
      </c>
      <c r="H120" s="93">
        <f t="shared" si="4"/>
        <v>4.9501E7</v>
      </c>
    </row>
    <row r="121" spans="8:8" ht="15.75">
      <c r="A121" s="14" t="s">
        <v>130</v>
      </c>
      <c r="B121" s="104" t="s">
        <v>65</v>
      </c>
      <c r="C121" s="97">
        <v>0.01</v>
      </c>
      <c r="D121" s="97">
        <v>495.0</v>
      </c>
      <c r="E121" s="92">
        <v>30.0</v>
      </c>
      <c r="F121" s="92">
        <v>15.0</v>
      </c>
      <c r="G121" s="92">
        <f t="shared" si="6"/>
        <v>540.01</v>
      </c>
      <c r="H121" s="93">
        <f t="shared" si="4"/>
        <v>5.4001E7</v>
      </c>
    </row>
    <row r="122" spans="8:8" ht="15.75">
      <c r="A122" s="14" t="s">
        <v>131</v>
      </c>
      <c r="B122" s="104" t="s">
        <v>65</v>
      </c>
      <c r="C122" s="97">
        <v>0.01</v>
      </c>
      <c r="D122" s="97">
        <v>511.0</v>
      </c>
      <c r="E122" s="92">
        <v>30.0</v>
      </c>
      <c r="F122" s="92">
        <v>15.0</v>
      </c>
      <c r="G122" s="92">
        <f t="shared" si="6"/>
        <v>556.01</v>
      </c>
      <c r="H122" s="93">
        <f t="shared" si="4"/>
        <v>5.5601E7</v>
      </c>
    </row>
    <row r="123" spans="8:8" ht="15.75">
      <c r="A123" s="14" t="s">
        <v>132</v>
      </c>
      <c r="B123" s="104" t="s">
        <v>65</v>
      </c>
      <c r="C123" s="97">
        <v>0.01</v>
      </c>
      <c r="D123" s="97">
        <v>258.0</v>
      </c>
      <c r="E123" s="92">
        <v>30.0</v>
      </c>
      <c r="F123" s="92">
        <v>15.0</v>
      </c>
      <c r="G123" s="92">
        <f t="shared" si="6"/>
        <v>303.01</v>
      </c>
      <c r="H123" s="93">
        <f t="shared" si="4"/>
        <v>3.0301E7</v>
      </c>
    </row>
    <row r="124" spans="8:8" ht="15.75">
      <c r="A124" s="14" t="s">
        <v>133</v>
      </c>
      <c r="B124" s="104" t="s">
        <v>65</v>
      </c>
      <c r="C124" s="97">
        <v>0.01</v>
      </c>
      <c r="D124" s="97">
        <v>281.0</v>
      </c>
      <c r="E124" s="92">
        <v>30.0</v>
      </c>
      <c r="F124" s="92">
        <v>15.0</v>
      </c>
      <c r="G124" s="92">
        <f t="shared" si="6"/>
        <v>326.01</v>
      </c>
      <c r="H124" s="93">
        <f t="shared" si="4"/>
        <v>3.2601E7</v>
      </c>
    </row>
    <row r="125" spans="8:8" ht="15.75">
      <c r="A125" s="14" t="s">
        <v>134</v>
      </c>
      <c r="B125" s="104" t="s">
        <v>65</v>
      </c>
      <c r="C125" s="97">
        <v>0.01</v>
      </c>
      <c r="D125" s="97">
        <v>303.0</v>
      </c>
      <c r="E125" s="92">
        <v>30.0</v>
      </c>
      <c r="F125" s="92">
        <v>15.0</v>
      </c>
      <c r="G125" s="92">
        <f t="shared" si="6"/>
        <v>348.01</v>
      </c>
      <c r="H125" s="93">
        <f t="shared" si="4"/>
        <v>3.4801E7</v>
      </c>
    </row>
    <row r="126" spans="8:8" ht="15.75">
      <c r="A126" s="14" t="s">
        <v>135</v>
      </c>
      <c r="B126" s="104" t="s">
        <v>65</v>
      </c>
      <c r="C126" s="97">
        <v>0.01</v>
      </c>
      <c r="D126" s="97">
        <v>269.0</v>
      </c>
      <c r="E126" s="92">
        <v>30.0</v>
      </c>
      <c r="F126" s="92">
        <v>15.0</v>
      </c>
      <c r="G126" s="92">
        <f t="shared" si="6"/>
        <v>314.01</v>
      </c>
      <c r="H126" s="93">
        <f t="shared" si="4"/>
        <v>3.1401E7</v>
      </c>
    </row>
    <row r="127" spans="8:8" ht="15.75">
      <c r="A127" s="14" t="s">
        <v>136</v>
      </c>
      <c r="B127" s="104" t="s">
        <v>65</v>
      </c>
      <c r="C127" s="97">
        <v>0.01</v>
      </c>
      <c r="D127" s="97">
        <v>281.0</v>
      </c>
      <c r="E127" s="92">
        <v>30.0</v>
      </c>
      <c r="F127" s="92">
        <v>15.0</v>
      </c>
      <c r="G127" s="92">
        <f t="shared" si="6"/>
        <v>326.01</v>
      </c>
      <c r="H127" s="93">
        <f t="shared" si="4"/>
        <v>3.2601E7</v>
      </c>
    </row>
    <row r="128" spans="8:8" ht="15.75">
      <c r="A128" s="14" t="s">
        <v>137</v>
      </c>
      <c r="B128" s="104" t="s">
        <v>65</v>
      </c>
      <c r="C128" s="97">
        <v>0.01</v>
      </c>
      <c r="D128" s="97">
        <v>400.0</v>
      </c>
      <c r="E128" s="92">
        <v>30.0</v>
      </c>
      <c r="F128" s="92">
        <v>15.0</v>
      </c>
      <c r="G128" s="92">
        <f t="shared" si="6"/>
        <v>445.01</v>
      </c>
      <c r="H128" s="93">
        <f t="shared" si="4"/>
        <v>4.4501E7</v>
      </c>
    </row>
    <row r="129" spans="8:8" ht="15.75">
      <c r="A129" s="14" t="s">
        <v>138</v>
      </c>
      <c r="B129" s="104" t="s">
        <v>65</v>
      </c>
      <c r="C129" s="97">
        <v>0.01</v>
      </c>
      <c r="D129" s="97">
        <v>423.0</v>
      </c>
      <c r="E129" s="92">
        <v>30.0</v>
      </c>
      <c r="F129" s="92">
        <v>15.0</v>
      </c>
      <c r="G129" s="92">
        <f t="shared" si="6"/>
        <v>468.01</v>
      </c>
      <c r="H129" s="93">
        <f t="shared" si="4"/>
        <v>4.6801E7</v>
      </c>
    </row>
    <row r="130" spans="8:8" ht="15.75">
      <c r="A130" s="14" t="s">
        <v>139</v>
      </c>
      <c r="B130" s="104" t="s">
        <v>65</v>
      </c>
      <c r="C130" s="97">
        <v>0.01</v>
      </c>
      <c r="D130" s="97">
        <v>250.0</v>
      </c>
      <c r="E130" s="92">
        <v>30.0</v>
      </c>
      <c r="F130" s="92">
        <v>15.0</v>
      </c>
      <c r="G130" s="92">
        <f t="shared" si="6"/>
        <v>295.01</v>
      </c>
      <c r="H130" s="93">
        <f t="shared" si="4"/>
        <v>2.9501E7</v>
      </c>
    </row>
    <row r="131" spans="8:8" ht="15.75">
      <c r="A131" s="14" t="s">
        <v>140</v>
      </c>
      <c r="B131" s="104" t="s">
        <v>65</v>
      </c>
      <c r="C131" s="97">
        <v>0.01</v>
      </c>
      <c r="D131" s="97">
        <v>274.0</v>
      </c>
      <c r="E131" s="92">
        <v>30.0</v>
      </c>
      <c r="F131" s="92">
        <v>15.0</v>
      </c>
      <c r="G131" s="92">
        <f t="shared" si="6"/>
        <v>319.01</v>
      </c>
      <c r="H131" s="93">
        <f t="shared" si="7" ref="H131:H190">G131*100000</f>
        <v>3.1901E7</v>
      </c>
    </row>
    <row r="132" spans="8:8" ht="15.75">
      <c r="A132" s="14" t="s">
        <v>141</v>
      </c>
      <c r="B132" s="104" t="s">
        <v>65</v>
      </c>
      <c r="C132" s="97">
        <v>0.01</v>
      </c>
      <c r="D132" s="97">
        <v>326.0</v>
      </c>
      <c r="E132" s="92">
        <v>30.0</v>
      </c>
      <c r="F132" s="92">
        <v>15.0</v>
      </c>
      <c r="G132" s="92">
        <f t="shared" si="6"/>
        <v>371.01</v>
      </c>
      <c r="H132" s="93">
        <f t="shared" si="7"/>
        <v>3.7101E7</v>
      </c>
    </row>
    <row r="133" spans="8:8" ht="15.75">
      <c r="A133" s="14" t="s">
        <v>142</v>
      </c>
      <c r="B133" s="104" t="s">
        <v>65</v>
      </c>
      <c r="C133" s="97">
        <v>0.01</v>
      </c>
      <c r="D133" s="97">
        <v>405.0</v>
      </c>
      <c r="E133" s="92">
        <v>30.0</v>
      </c>
      <c r="F133" s="92">
        <v>15.0</v>
      </c>
      <c r="G133" s="92">
        <f t="shared" si="6"/>
        <v>450.01</v>
      </c>
      <c r="H133" s="93">
        <f t="shared" si="7"/>
        <v>4.5001E7</v>
      </c>
    </row>
    <row r="134" spans="8:8" ht="15.75">
      <c r="A134" s="14" t="s">
        <v>143</v>
      </c>
      <c r="B134" s="104" t="s">
        <v>65</v>
      </c>
      <c r="C134" s="97">
        <v>0.01</v>
      </c>
      <c r="D134" s="97">
        <v>448.0</v>
      </c>
      <c r="E134" s="92">
        <v>30.0</v>
      </c>
      <c r="F134" s="92">
        <v>15.0</v>
      </c>
      <c r="G134" s="92">
        <f t="shared" si="6"/>
        <v>493.01</v>
      </c>
      <c r="H134" s="93">
        <f t="shared" si="7"/>
        <v>4.9301E7</v>
      </c>
    </row>
    <row r="135" spans="8:8" ht="15.75">
      <c r="A135" s="14" t="s">
        <v>144</v>
      </c>
      <c r="B135" s="104" t="s">
        <v>65</v>
      </c>
      <c r="C135" s="97">
        <v>0.01</v>
      </c>
      <c r="D135" s="97">
        <v>454.0</v>
      </c>
      <c r="E135" s="92">
        <v>30.0</v>
      </c>
      <c r="F135" s="92">
        <v>15.0</v>
      </c>
      <c r="G135" s="92">
        <f t="shared" si="6"/>
        <v>499.01</v>
      </c>
      <c r="H135" s="93">
        <f t="shared" si="7"/>
        <v>4.9901E7</v>
      </c>
    </row>
    <row r="136" spans="8:8" ht="15.75">
      <c r="A136" s="14" t="s">
        <v>145</v>
      </c>
      <c r="B136" s="104" t="s">
        <v>65</v>
      </c>
      <c r="C136" s="97">
        <v>0.01</v>
      </c>
      <c r="D136" s="97">
        <v>250.0</v>
      </c>
      <c r="E136" s="92">
        <v>30.0</v>
      </c>
      <c r="F136" s="92">
        <v>15.0</v>
      </c>
      <c r="G136" s="92">
        <f t="shared" si="6"/>
        <v>295.01</v>
      </c>
      <c r="H136" s="93">
        <f t="shared" si="7"/>
        <v>2.9501E7</v>
      </c>
    </row>
    <row r="137" spans="8:8" ht="15.75">
      <c r="A137" s="14" t="s">
        <v>146</v>
      </c>
      <c r="B137" s="104" t="s">
        <v>65</v>
      </c>
      <c r="C137" s="97">
        <v>0.01</v>
      </c>
      <c r="D137" s="97">
        <v>274.0</v>
      </c>
      <c r="E137" s="92">
        <v>30.0</v>
      </c>
      <c r="F137" s="92">
        <v>15.0</v>
      </c>
      <c r="G137" s="92">
        <f t="shared" si="6"/>
        <v>319.01</v>
      </c>
      <c r="H137" s="93">
        <f t="shared" si="7"/>
        <v>3.1901E7</v>
      </c>
    </row>
    <row r="138" spans="8:8" ht="15.75">
      <c r="A138" s="14" t="s">
        <v>147</v>
      </c>
      <c r="B138" s="104" t="s">
        <v>65</v>
      </c>
      <c r="C138" s="97">
        <v>0.01</v>
      </c>
      <c r="D138" s="97">
        <v>326.0</v>
      </c>
      <c r="E138" s="92">
        <v>30.0</v>
      </c>
      <c r="F138" s="92">
        <v>15.0</v>
      </c>
      <c r="G138" s="92">
        <f t="shared" si="6"/>
        <v>371.01</v>
      </c>
      <c r="H138" s="93">
        <f t="shared" si="7"/>
        <v>3.7101E7</v>
      </c>
    </row>
    <row r="139" spans="8:8" ht="15.75">
      <c r="A139" s="14" t="s">
        <v>148</v>
      </c>
      <c r="B139" s="104" t="s">
        <v>65</v>
      </c>
      <c r="C139" s="97">
        <v>0.01</v>
      </c>
      <c r="D139" s="97">
        <v>274.0</v>
      </c>
      <c r="E139" s="92">
        <v>30.0</v>
      </c>
      <c r="F139" s="92">
        <v>15.0</v>
      </c>
      <c r="G139" s="92">
        <f t="shared" si="6"/>
        <v>319.01</v>
      </c>
      <c r="H139" s="93">
        <f t="shared" si="7"/>
        <v>3.1901E7</v>
      </c>
    </row>
    <row r="140" spans="8:8" ht="15.75">
      <c r="A140" s="14" t="s">
        <v>149</v>
      </c>
      <c r="B140" s="104" t="s">
        <v>65</v>
      </c>
      <c r="C140" s="97">
        <v>0.01</v>
      </c>
      <c r="D140" s="97">
        <v>326.0</v>
      </c>
      <c r="E140" s="92">
        <v>30.0</v>
      </c>
      <c r="F140" s="92">
        <v>15.0</v>
      </c>
      <c r="G140" s="92">
        <f t="shared" si="6"/>
        <v>371.01</v>
      </c>
      <c r="H140" s="93">
        <f t="shared" si="7"/>
        <v>3.7101E7</v>
      </c>
    </row>
    <row r="141" spans="8:8" ht="15.75">
      <c r="A141" s="14" t="s">
        <v>150</v>
      </c>
      <c r="B141" s="104" t="s">
        <v>65</v>
      </c>
      <c r="C141" s="97">
        <v>0.01</v>
      </c>
      <c r="D141" s="97">
        <v>541.0</v>
      </c>
      <c r="E141" s="92">
        <v>30.0</v>
      </c>
      <c r="F141" s="92">
        <v>15.0</v>
      </c>
      <c r="G141" s="92">
        <f t="shared" si="6"/>
        <v>586.01</v>
      </c>
      <c r="H141" s="93">
        <f t="shared" si="7"/>
        <v>5.8601E7</v>
      </c>
    </row>
    <row r="142" spans="8:8" ht="15.75">
      <c r="A142" s="14" t="s">
        <v>151</v>
      </c>
      <c r="B142" s="104" t="s">
        <v>65</v>
      </c>
      <c r="C142" s="97">
        <v>0.01</v>
      </c>
      <c r="D142" s="97">
        <v>449.0</v>
      </c>
      <c r="E142" s="92">
        <v>30.0</v>
      </c>
      <c r="F142" s="92">
        <v>15.0</v>
      </c>
      <c r="G142" s="92">
        <f t="shared" si="6"/>
        <v>494.01</v>
      </c>
      <c r="H142" s="93">
        <f t="shared" si="7"/>
        <v>4.9401E7</v>
      </c>
    </row>
    <row r="143" spans="8:8" ht="15.75">
      <c r="A143" s="14" t="s">
        <v>152</v>
      </c>
      <c r="B143" s="104" t="s">
        <v>65</v>
      </c>
      <c r="C143" s="97">
        <v>0.01</v>
      </c>
      <c r="D143" s="97">
        <v>462.0</v>
      </c>
      <c r="E143" s="92">
        <v>30.0</v>
      </c>
      <c r="F143" s="92">
        <v>15.0</v>
      </c>
      <c r="G143" s="92">
        <f t="shared" si="6"/>
        <v>507.01</v>
      </c>
      <c r="H143" s="93">
        <f t="shared" si="7"/>
        <v>5.0701E7</v>
      </c>
    </row>
    <row r="144" spans="8:8" ht="15.75">
      <c r="A144" s="14" t="s">
        <v>153</v>
      </c>
      <c r="B144" s="104" t="s">
        <v>65</v>
      </c>
      <c r="C144" s="97">
        <v>0.01</v>
      </c>
      <c r="D144" s="97">
        <v>1300.0</v>
      </c>
      <c r="E144" s="92">
        <v>30.0</v>
      </c>
      <c r="F144" s="92">
        <v>15.0</v>
      </c>
      <c r="G144" s="92">
        <f t="shared" si="6"/>
        <v>1345.01</v>
      </c>
      <c r="H144" s="93">
        <f t="shared" si="7"/>
        <v>1.34501E8</v>
      </c>
    </row>
    <row r="145" spans="8:8" ht="15.75">
      <c r="A145" s="14" t="s">
        <v>154</v>
      </c>
      <c r="B145" s="104" t="s">
        <v>65</v>
      </c>
      <c r="C145" s="97">
        <v>0.01</v>
      </c>
      <c r="D145" s="97">
        <v>250.0</v>
      </c>
      <c r="E145" s="92">
        <v>30.0</v>
      </c>
      <c r="F145" s="92">
        <v>15.0</v>
      </c>
      <c r="G145" s="92">
        <f t="shared" si="6"/>
        <v>295.01</v>
      </c>
      <c r="H145" s="93">
        <f t="shared" si="7"/>
        <v>2.9501E7</v>
      </c>
    </row>
    <row r="146" spans="8:8" ht="15.75">
      <c r="A146" s="14" t="s">
        <v>155</v>
      </c>
      <c r="B146" s="104" t="s">
        <v>65</v>
      </c>
      <c r="C146" s="97">
        <v>0.01</v>
      </c>
      <c r="D146" s="97">
        <v>265.0</v>
      </c>
      <c r="E146" s="92">
        <v>30.0</v>
      </c>
      <c r="F146" s="92">
        <v>15.0</v>
      </c>
      <c r="G146" s="92">
        <f t="shared" si="6"/>
        <v>310.01</v>
      </c>
      <c r="H146" s="93">
        <f t="shared" si="7"/>
        <v>3.1001E7</v>
      </c>
    </row>
    <row r="147" spans="8:8" ht="15.75">
      <c r="A147" s="14" t="s">
        <v>156</v>
      </c>
      <c r="B147" s="104" t="s">
        <v>65</v>
      </c>
      <c r="C147" s="97">
        <v>0.01</v>
      </c>
      <c r="D147" s="97">
        <v>282.0</v>
      </c>
      <c r="E147" s="92">
        <v>30.0</v>
      </c>
      <c r="F147" s="92">
        <v>15.0</v>
      </c>
      <c r="G147" s="92">
        <f t="shared" si="6"/>
        <v>327.01</v>
      </c>
      <c r="H147" s="93">
        <f t="shared" si="7"/>
        <v>3.2701E7</v>
      </c>
    </row>
    <row r="148" spans="8:8" ht="15.75">
      <c r="A148" s="14" t="s">
        <v>157</v>
      </c>
      <c r="B148" s="104" t="s">
        <v>65</v>
      </c>
      <c r="C148" s="97">
        <v>0.01</v>
      </c>
      <c r="D148" s="97">
        <v>265.0</v>
      </c>
      <c r="E148" s="92">
        <v>30.0</v>
      </c>
      <c r="F148" s="92">
        <v>15.0</v>
      </c>
      <c r="G148" s="92">
        <f t="shared" si="6"/>
        <v>310.01</v>
      </c>
      <c r="H148" s="93">
        <f t="shared" si="7"/>
        <v>3.1001E7</v>
      </c>
    </row>
    <row r="149" spans="8:8" ht="15.75">
      <c r="A149" s="14" t="s">
        <v>158</v>
      </c>
      <c r="B149" s="104" t="s">
        <v>65</v>
      </c>
      <c r="C149" s="97">
        <v>0.01</v>
      </c>
      <c r="D149" s="97">
        <v>282.0</v>
      </c>
      <c r="E149" s="92">
        <v>30.0</v>
      </c>
      <c r="F149" s="92">
        <v>15.0</v>
      </c>
      <c r="G149" s="92">
        <f t="shared" si="6"/>
        <v>327.01</v>
      </c>
      <c r="H149" s="93">
        <f t="shared" si="7"/>
        <v>3.2701E7</v>
      </c>
    </row>
    <row r="150" spans="8:8" ht="15.75">
      <c r="A150" s="14" t="s">
        <v>159</v>
      </c>
      <c r="B150" s="104" t="s">
        <v>65</v>
      </c>
      <c r="C150" s="97">
        <v>0.01</v>
      </c>
      <c r="D150" s="97">
        <v>305.0</v>
      </c>
      <c r="E150" s="92">
        <v>30.0</v>
      </c>
      <c r="F150" s="92">
        <v>15.0</v>
      </c>
      <c r="G150" s="92">
        <f t="shared" si="6"/>
        <v>350.01</v>
      </c>
      <c r="H150" s="93">
        <f t="shared" si="7"/>
        <v>3.5001E7</v>
      </c>
    </row>
    <row r="151" spans="8:8" ht="15.75">
      <c r="A151" s="14" t="s">
        <v>160</v>
      </c>
      <c r="B151" s="104" t="s">
        <v>65</v>
      </c>
      <c r="C151" s="97">
        <v>0.01</v>
      </c>
      <c r="D151" s="97">
        <v>274.0</v>
      </c>
      <c r="E151" s="92">
        <v>30.0</v>
      </c>
      <c r="F151" s="92">
        <v>15.0</v>
      </c>
      <c r="G151" s="92">
        <f t="shared" si="6"/>
        <v>319.01</v>
      </c>
      <c r="H151" s="93">
        <f t="shared" si="7"/>
        <v>3.1901E7</v>
      </c>
    </row>
    <row r="152" spans="8:8" ht="15.75">
      <c r="A152" s="14" t="s">
        <v>161</v>
      </c>
      <c r="B152" s="104" t="s">
        <v>65</v>
      </c>
      <c r="C152" s="97">
        <v>0.01</v>
      </c>
      <c r="D152" s="97">
        <v>326.0</v>
      </c>
      <c r="E152" s="92">
        <v>30.0</v>
      </c>
      <c r="F152" s="92">
        <v>15.0</v>
      </c>
      <c r="G152" s="92">
        <f t="shared" si="6"/>
        <v>371.01</v>
      </c>
      <c r="H152" s="93">
        <f t="shared" si="7"/>
        <v>3.7101E7</v>
      </c>
    </row>
    <row r="153" spans="8:8" ht="15.75">
      <c r="A153" s="14" t="s">
        <v>162</v>
      </c>
      <c r="B153" s="104" t="s">
        <v>65</v>
      </c>
      <c r="C153" s="97">
        <v>0.01</v>
      </c>
      <c r="D153" s="97">
        <v>426.0</v>
      </c>
      <c r="E153" s="92">
        <v>30.0</v>
      </c>
      <c r="F153" s="92">
        <v>15.0</v>
      </c>
      <c r="G153" s="92">
        <f t="shared" si="6"/>
        <v>471.01</v>
      </c>
      <c r="H153" s="93">
        <f t="shared" si="7"/>
        <v>4.7101E7</v>
      </c>
    </row>
    <row r="154" spans="8:8" ht="15.75">
      <c r="A154" s="14" t="s">
        <v>163</v>
      </c>
      <c r="B154" s="104" t="s">
        <v>65</v>
      </c>
      <c r="C154" s="97">
        <v>0.01</v>
      </c>
      <c r="D154" s="97">
        <v>470.0</v>
      </c>
      <c r="E154" s="92">
        <v>30.0</v>
      </c>
      <c r="F154" s="92">
        <v>15.0</v>
      </c>
      <c r="G154" s="92">
        <f t="shared" si="6"/>
        <v>515.01</v>
      </c>
      <c r="H154" s="93">
        <f t="shared" si="7"/>
        <v>5.1501E7</v>
      </c>
    </row>
    <row r="155" spans="8:8" ht="15.75">
      <c r="A155" s="14" t="s">
        <v>164</v>
      </c>
      <c r="B155" s="104" t="s">
        <v>65</v>
      </c>
      <c r="C155" s="97">
        <v>0.01</v>
      </c>
      <c r="D155" s="97">
        <v>244.0</v>
      </c>
      <c r="E155" s="92">
        <v>30.0</v>
      </c>
      <c r="F155" s="92">
        <v>15.0</v>
      </c>
      <c r="G155" s="92">
        <f t="shared" si="6"/>
        <v>289.01</v>
      </c>
      <c r="H155" s="93">
        <f t="shared" si="7"/>
        <v>2.8901E7</v>
      </c>
    </row>
    <row r="156" spans="8:8" ht="15.75">
      <c r="A156" s="14" t="s">
        <v>165</v>
      </c>
      <c r="B156" s="104" t="s">
        <v>65</v>
      </c>
      <c r="C156" s="97">
        <v>0.01</v>
      </c>
      <c r="D156" s="97">
        <v>274.0</v>
      </c>
      <c r="E156" s="92">
        <v>30.0</v>
      </c>
      <c r="F156" s="92">
        <v>15.0</v>
      </c>
      <c r="G156" s="92">
        <f t="shared" si="6"/>
        <v>319.01</v>
      </c>
      <c r="H156" s="93">
        <f t="shared" si="7"/>
        <v>3.1901E7</v>
      </c>
    </row>
    <row r="157" spans="8:8" ht="15.75">
      <c r="A157" s="14" t="s">
        <v>166</v>
      </c>
      <c r="B157" s="104" t="s">
        <v>65</v>
      </c>
      <c r="C157" s="97">
        <v>0.01</v>
      </c>
      <c r="D157" s="97">
        <v>250.0</v>
      </c>
      <c r="E157" s="92">
        <v>30.0</v>
      </c>
      <c r="F157" s="92">
        <v>15.0</v>
      </c>
      <c r="G157" s="92">
        <f t="shared" si="6"/>
        <v>295.01</v>
      </c>
      <c r="H157" s="93">
        <f t="shared" si="7"/>
        <v>2.9501E7</v>
      </c>
    </row>
    <row r="158" spans="8:8" ht="15.75">
      <c r="A158" s="14" t="s">
        <v>167</v>
      </c>
      <c r="B158" s="104" t="s">
        <v>65</v>
      </c>
      <c r="C158" s="97">
        <v>0.01</v>
      </c>
      <c r="D158" s="97">
        <v>275.0</v>
      </c>
      <c r="E158" s="92">
        <v>30.0</v>
      </c>
      <c r="F158" s="92">
        <v>15.0</v>
      </c>
      <c r="G158" s="92">
        <f t="shared" si="6"/>
        <v>320.01</v>
      </c>
      <c r="H158" s="93">
        <f t="shared" si="7"/>
        <v>3.2001E7</v>
      </c>
    </row>
    <row r="159" spans="8:8" ht="15.75">
      <c r="A159" s="14" t="s">
        <v>168</v>
      </c>
      <c r="B159" s="104" t="s">
        <v>65</v>
      </c>
      <c r="C159" s="97">
        <v>0.01</v>
      </c>
      <c r="D159" s="97">
        <v>251.0</v>
      </c>
      <c r="E159" s="92">
        <v>30.0</v>
      </c>
      <c r="F159" s="92">
        <v>15.0</v>
      </c>
      <c r="G159" s="92">
        <f t="shared" si="6"/>
        <v>296.01</v>
      </c>
      <c r="H159" s="93">
        <f t="shared" si="7"/>
        <v>2.9601E7</v>
      </c>
    </row>
    <row r="160" spans="8:8" ht="15.75">
      <c r="A160" s="14" t="s">
        <v>169</v>
      </c>
      <c r="B160" s="104" t="s">
        <v>65</v>
      </c>
      <c r="C160" s="97">
        <v>0.01</v>
      </c>
      <c r="D160" s="97">
        <v>443.0</v>
      </c>
      <c r="E160" s="92">
        <v>30.0</v>
      </c>
      <c r="F160" s="92">
        <v>15.0</v>
      </c>
      <c r="G160" s="92">
        <f t="shared" si="6"/>
        <v>488.01</v>
      </c>
      <c r="H160" s="93">
        <f t="shared" si="7"/>
        <v>4.8801E7</v>
      </c>
    </row>
    <row r="161" spans="8:8" ht="15.75">
      <c r="A161" s="14" t="s">
        <v>170</v>
      </c>
      <c r="B161" s="104" t="s">
        <v>65</v>
      </c>
      <c r="C161" s="97">
        <v>0.01</v>
      </c>
      <c r="D161" s="97">
        <v>250.0</v>
      </c>
      <c r="E161" s="92">
        <v>30.0</v>
      </c>
      <c r="F161" s="92">
        <v>15.0</v>
      </c>
      <c r="G161" s="92">
        <f t="shared" si="6"/>
        <v>295.01</v>
      </c>
      <c r="H161" s="93">
        <f t="shared" si="7"/>
        <v>2.9501E7</v>
      </c>
    </row>
    <row r="162" spans="8:8" ht="15.75">
      <c r="A162" s="14" t="s">
        <v>171</v>
      </c>
      <c r="B162" s="104" t="s">
        <v>65</v>
      </c>
      <c r="C162" s="97">
        <v>0.01</v>
      </c>
      <c r="D162" s="97">
        <v>297.0</v>
      </c>
      <c r="E162" s="92">
        <v>30.0</v>
      </c>
      <c r="F162" s="92">
        <v>15.0</v>
      </c>
      <c r="G162" s="92">
        <f t="shared" si="6"/>
        <v>342.01</v>
      </c>
      <c r="H162" s="93">
        <f t="shared" si="7"/>
        <v>3.4201E7</v>
      </c>
    </row>
    <row r="163" spans="8:8" ht="15.75">
      <c r="A163" s="14" t="s">
        <v>172</v>
      </c>
      <c r="B163" s="104" t="s">
        <v>65</v>
      </c>
      <c r="C163" s="97">
        <v>0.01</v>
      </c>
      <c r="D163" s="97">
        <v>318.0</v>
      </c>
      <c r="E163" s="92">
        <v>30.0</v>
      </c>
      <c r="F163" s="92">
        <v>15.0</v>
      </c>
      <c r="G163" s="92">
        <f t="shared" si="6"/>
        <v>363.01</v>
      </c>
      <c r="H163" s="93">
        <f t="shared" si="7"/>
        <v>3.6301E7</v>
      </c>
    </row>
    <row r="164" spans="8:8" ht="15.75">
      <c r="A164" s="14" t="s">
        <v>173</v>
      </c>
      <c r="B164" s="104" t="s">
        <v>65</v>
      </c>
      <c r="C164" s="97">
        <v>0.01</v>
      </c>
      <c r="D164" s="97">
        <v>401.0</v>
      </c>
      <c r="E164" s="92">
        <v>30.0</v>
      </c>
      <c r="F164" s="92">
        <v>15.0</v>
      </c>
      <c r="G164" s="92">
        <f t="shared" si="6"/>
        <v>446.01</v>
      </c>
      <c r="H164" s="93">
        <f t="shared" si="7"/>
        <v>4.4601E7</v>
      </c>
    </row>
    <row r="165" spans="8:8" ht="15.75">
      <c r="A165" s="14" t="s">
        <v>174</v>
      </c>
      <c r="B165" s="104" t="s">
        <v>65</v>
      </c>
      <c r="C165" s="97">
        <v>0.01</v>
      </c>
      <c r="D165" s="97">
        <v>443.0</v>
      </c>
      <c r="E165" s="92">
        <v>30.0</v>
      </c>
      <c r="F165" s="92">
        <v>15.0</v>
      </c>
      <c r="G165" s="92">
        <f t="shared" si="6"/>
        <v>488.01</v>
      </c>
      <c r="H165" s="93">
        <f t="shared" si="7"/>
        <v>4.8801E7</v>
      </c>
    </row>
    <row r="166" spans="8:8" ht="15.75">
      <c r="A166" s="14" t="s">
        <v>175</v>
      </c>
      <c r="B166" s="104" t="s">
        <v>65</v>
      </c>
      <c r="C166" s="97">
        <v>0.01</v>
      </c>
      <c r="D166" s="97">
        <v>454.0</v>
      </c>
      <c r="E166" s="92">
        <v>30.0</v>
      </c>
      <c r="F166" s="92">
        <v>15.0</v>
      </c>
      <c r="G166" s="92">
        <f t="shared" si="6"/>
        <v>499.01</v>
      </c>
      <c r="H166" s="93">
        <f t="shared" si="7"/>
        <v>4.9901E7</v>
      </c>
    </row>
    <row r="167" spans="8:8" ht="15.75">
      <c r="A167" s="14" t="s">
        <v>176</v>
      </c>
      <c r="B167" s="104" t="s">
        <v>65</v>
      </c>
      <c r="C167" s="97">
        <v>0.01</v>
      </c>
      <c r="D167" s="97">
        <v>247.0</v>
      </c>
      <c r="E167" s="92">
        <v>30.0</v>
      </c>
      <c r="F167" s="92">
        <v>15.0</v>
      </c>
      <c r="G167" s="92">
        <f t="shared" si="6"/>
        <v>292.01</v>
      </c>
      <c r="H167" s="93">
        <f t="shared" si="7"/>
        <v>2.9201E7</v>
      </c>
    </row>
    <row r="168" spans="8:8" ht="15.75">
      <c r="A168" s="14" t="s">
        <v>177</v>
      </c>
      <c r="B168" s="104" t="s">
        <v>65</v>
      </c>
      <c r="C168" s="97">
        <v>0.01</v>
      </c>
      <c r="D168" s="97">
        <v>307.0</v>
      </c>
      <c r="E168" s="92">
        <v>30.0</v>
      </c>
      <c r="F168" s="92">
        <v>15.0</v>
      </c>
      <c r="G168" s="92">
        <f t="shared" si="6"/>
        <v>352.01</v>
      </c>
      <c r="H168" s="93">
        <f t="shared" si="7"/>
        <v>3.5201E7</v>
      </c>
    </row>
    <row r="169" spans="8:8" ht="15.75">
      <c r="A169" s="14" t="s">
        <v>178</v>
      </c>
      <c r="B169" s="104" t="s">
        <v>65</v>
      </c>
      <c r="C169" s="97">
        <v>180.0</v>
      </c>
      <c r="D169" s="97">
        <v>469.0</v>
      </c>
      <c r="E169" s="92">
        <v>30.0</v>
      </c>
      <c r="F169" s="92">
        <v>15.0</v>
      </c>
      <c r="G169" s="92">
        <f t="shared" si="6"/>
        <v>694.0</v>
      </c>
      <c r="H169" s="93">
        <f t="shared" si="7"/>
        <v>6.94E7</v>
      </c>
    </row>
    <row r="170" spans="8:8" ht="15.75">
      <c r="A170" s="14" t="s">
        <v>179</v>
      </c>
      <c r="B170" s="104" t="s">
        <v>65</v>
      </c>
      <c r="C170" s="97">
        <v>0.01</v>
      </c>
      <c r="D170" s="97">
        <v>601.0</v>
      </c>
      <c r="E170" s="92">
        <v>30.0</v>
      </c>
      <c r="F170" s="92">
        <v>15.0</v>
      </c>
      <c r="G170" s="92">
        <f t="shared" si="6"/>
        <v>646.01</v>
      </c>
      <c r="H170" s="93">
        <f t="shared" si="7"/>
        <v>6.4601E7</v>
      </c>
    </row>
    <row r="171" spans="8:8" ht="15.75">
      <c r="A171" s="14" t="s">
        <v>180</v>
      </c>
      <c r="B171" s="104" t="s">
        <v>65</v>
      </c>
      <c r="C171" s="97">
        <v>0.01</v>
      </c>
      <c r="D171" s="97">
        <v>274.0</v>
      </c>
      <c r="E171" s="92">
        <v>30.0</v>
      </c>
      <c r="F171" s="92">
        <v>15.0</v>
      </c>
      <c r="G171" s="92">
        <f t="shared" si="6"/>
        <v>319.01</v>
      </c>
      <c r="H171" s="93">
        <f t="shared" si="7"/>
        <v>3.1901E7</v>
      </c>
    </row>
    <row r="172" spans="8:8" ht="15.75">
      <c r="A172" s="14" t="s">
        <v>181</v>
      </c>
      <c r="B172" s="104" t="s">
        <v>65</v>
      </c>
      <c r="C172" s="97">
        <v>0.01</v>
      </c>
      <c r="D172" s="97">
        <v>426.0</v>
      </c>
      <c r="E172" s="92">
        <v>30.0</v>
      </c>
      <c r="F172" s="92">
        <v>15.0</v>
      </c>
      <c r="G172" s="92">
        <f t="shared" si="6"/>
        <v>471.01</v>
      </c>
      <c r="H172" s="93">
        <f t="shared" si="7"/>
        <v>4.7101E7</v>
      </c>
    </row>
    <row r="173" spans="8:8" ht="15.75">
      <c r="A173" s="14" t="s">
        <v>182</v>
      </c>
      <c r="B173" s="104" t="s">
        <v>65</v>
      </c>
      <c r="C173" s="97">
        <v>0.01</v>
      </c>
      <c r="D173" s="97">
        <v>250.0</v>
      </c>
      <c r="E173" s="92">
        <v>30.0</v>
      </c>
      <c r="F173" s="92">
        <v>15.0</v>
      </c>
      <c r="G173" s="92">
        <f t="shared" si="6"/>
        <v>295.01</v>
      </c>
      <c r="H173" s="93">
        <f t="shared" si="7"/>
        <v>2.9501E7</v>
      </c>
    </row>
    <row r="174" spans="8:8" ht="15.75">
      <c r="A174" s="14" t="s">
        <v>183</v>
      </c>
      <c r="B174" s="104" t="s">
        <v>65</v>
      </c>
      <c r="C174" s="97">
        <v>0.01</v>
      </c>
      <c r="D174" s="97">
        <v>274.0</v>
      </c>
      <c r="E174" s="92">
        <v>30.0</v>
      </c>
      <c r="F174" s="92">
        <v>15.0</v>
      </c>
      <c r="G174" s="92">
        <f t="shared" si="6"/>
        <v>319.01</v>
      </c>
      <c r="H174" s="93">
        <f t="shared" si="7"/>
        <v>3.1901E7</v>
      </c>
    </row>
    <row r="175" spans="8:8" ht="15.75">
      <c r="A175" s="14" t="s">
        <v>184</v>
      </c>
      <c r="B175" s="104" t="s">
        <v>65</v>
      </c>
      <c r="C175" s="97">
        <v>0.01</v>
      </c>
      <c r="D175" s="97">
        <v>327.0</v>
      </c>
      <c r="E175" s="92">
        <v>30.0</v>
      </c>
      <c r="F175" s="92">
        <v>15.0</v>
      </c>
      <c r="G175" s="92">
        <f t="shared" si="6"/>
        <v>372.01</v>
      </c>
      <c r="H175" s="93">
        <f t="shared" si="7"/>
        <v>3.7201E7</v>
      </c>
    </row>
    <row r="176" spans="8:8" ht="15.75">
      <c r="A176" s="14" t="s">
        <v>185</v>
      </c>
      <c r="B176" s="104" t="s">
        <v>65</v>
      </c>
      <c r="C176" s="97">
        <v>0.01</v>
      </c>
      <c r="D176" s="97">
        <v>405.0</v>
      </c>
      <c r="E176" s="92">
        <v>30.0</v>
      </c>
      <c r="F176" s="92">
        <v>15.0</v>
      </c>
      <c r="G176" s="92">
        <f t="shared" si="6"/>
        <v>450.01</v>
      </c>
      <c r="H176" s="93">
        <f t="shared" si="7"/>
        <v>4.5001E7</v>
      </c>
    </row>
    <row r="177" spans="8:8" ht="15.75">
      <c r="A177" s="14" t="s">
        <v>186</v>
      </c>
      <c r="B177" s="104" t="s">
        <v>65</v>
      </c>
      <c r="C177" s="97">
        <v>0.01</v>
      </c>
      <c r="D177" s="97">
        <v>423.0</v>
      </c>
      <c r="E177" s="92">
        <v>30.0</v>
      </c>
      <c r="F177" s="92">
        <v>15.0</v>
      </c>
      <c r="G177" s="92">
        <f t="shared" si="6"/>
        <v>468.01</v>
      </c>
      <c r="H177" s="93">
        <f t="shared" si="7"/>
        <v>4.6801E7</v>
      </c>
    </row>
    <row r="178" spans="8:8" ht="15.75">
      <c r="A178" s="14" t="s">
        <v>187</v>
      </c>
      <c r="B178" s="104" t="s">
        <v>65</v>
      </c>
      <c r="C178" s="97">
        <v>0.01</v>
      </c>
      <c r="D178" s="97">
        <v>459.0</v>
      </c>
      <c r="E178" s="92">
        <v>30.0</v>
      </c>
      <c r="F178" s="92">
        <v>15.0</v>
      </c>
      <c r="G178" s="92">
        <f t="shared" si="6"/>
        <v>504.01</v>
      </c>
      <c r="H178" s="93">
        <f t="shared" si="7"/>
        <v>5.0401E7</v>
      </c>
    </row>
    <row r="179" spans="8:8" ht="15.75">
      <c r="A179" s="14" t="s">
        <v>188</v>
      </c>
      <c r="B179" s="104" t="s">
        <v>65</v>
      </c>
      <c r="C179" s="97">
        <v>0.01</v>
      </c>
      <c r="D179" s="97">
        <v>265.0</v>
      </c>
      <c r="E179" s="92">
        <v>30.0</v>
      </c>
      <c r="F179" s="92">
        <v>15.0</v>
      </c>
      <c r="G179" s="92">
        <f t="shared" si="6"/>
        <v>310.01</v>
      </c>
      <c r="H179" s="93">
        <f t="shared" si="7"/>
        <v>3.1001E7</v>
      </c>
    </row>
    <row r="180" spans="8:8" ht="15.75">
      <c r="A180" s="14" t="s">
        <v>189</v>
      </c>
      <c r="B180" s="104" t="s">
        <v>65</v>
      </c>
      <c r="C180" s="97">
        <v>0.01</v>
      </c>
      <c r="D180" s="97">
        <v>282.0</v>
      </c>
      <c r="E180" s="92">
        <v>30.0</v>
      </c>
      <c r="F180" s="92">
        <v>15.0</v>
      </c>
      <c r="G180" s="92">
        <f t="shared" si="6"/>
        <v>327.01</v>
      </c>
      <c r="H180" s="93">
        <f t="shared" si="7"/>
        <v>3.2701E7</v>
      </c>
    </row>
    <row r="181" spans="8:8" ht="15.75">
      <c r="A181" s="14" t="s">
        <v>190</v>
      </c>
      <c r="B181" s="104" t="s">
        <v>65</v>
      </c>
      <c r="C181" s="97">
        <v>0.01</v>
      </c>
      <c r="D181" s="97">
        <v>265.0</v>
      </c>
      <c r="E181" s="92">
        <v>30.0</v>
      </c>
      <c r="F181" s="92">
        <v>15.0</v>
      </c>
      <c r="G181" s="92">
        <f t="shared" si="8" ref="G181:G182">SUM(C181:F181)</f>
        <v>310.01</v>
      </c>
      <c r="H181" s="93">
        <f t="shared" si="7"/>
        <v>3.1001E7</v>
      </c>
    </row>
    <row r="182" spans="8:8" ht="15.75">
      <c r="A182" s="14" t="s">
        <v>191</v>
      </c>
      <c r="B182" s="104" t="s">
        <v>65</v>
      </c>
      <c r="C182" s="97">
        <v>0.01</v>
      </c>
      <c r="D182" s="97">
        <v>282.0</v>
      </c>
      <c r="E182" s="92">
        <v>30.0</v>
      </c>
      <c r="F182" s="92">
        <v>15.0</v>
      </c>
      <c r="G182" s="92">
        <f t="shared" si="8"/>
        <v>327.01</v>
      </c>
      <c r="H182" s="93">
        <f t="shared" si="7"/>
        <v>3.2701E7</v>
      </c>
    </row>
    <row r="183" spans="8:8" ht="15.75">
      <c r="A183" s="14" t="s">
        <v>192</v>
      </c>
      <c r="B183" s="104" t="s">
        <v>65</v>
      </c>
      <c r="C183" s="97">
        <v>0.01</v>
      </c>
      <c r="D183" s="97">
        <v>305.0</v>
      </c>
      <c r="E183" s="92">
        <v>30.0</v>
      </c>
      <c r="F183" s="92">
        <v>15.0</v>
      </c>
      <c r="G183" s="92">
        <f t="shared" si="9" ref="G183:G231">SUM(C183:F183)</f>
        <v>350.01</v>
      </c>
      <c r="H183" s="93">
        <f t="shared" si="7"/>
        <v>3.5001E7</v>
      </c>
    </row>
    <row r="184" spans="8:8" ht="15.75">
      <c r="A184" s="14" t="s">
        <v>193</v>
      </c>
      <c r="B184" s="104" t="s">
        <v>65</v>
      </c>
      <c r="C184" s="97">
        <v>0.01</v>
      </c>
      <c r="D184" s="97">
        <v>265.0</v>
      </c>
      <c r="E184" s="92">
        <v>30.0</v>
      </c>
      <c r="F184" s="92">
        <v>15.0</v>
      </c>
      <c r="G184" s="92">
        <f t="shared" si="9"/>
        <v>310.01</v>
      </c>
      <c r="H184" s="93">
        <f t="shared" si="7"/>
        <v>3.1001E7</v>
      </c>
    </row>
    <row r="185" spans="8:8" ht="15.75">
      <c r="A185" s="14" t="s">
        <v>194</v>
      </c>
      <c r="B185" s="104" t="s">
        <v>65</v>
      </c>
      <c r="C185" s="97">
        <v>0.01</v>
      </c>
      <c r="D185" s="97">
        <v>282.0</v>
      </c>
      <c r="E185" s="92">
        <v>30.0</v>
      </c>
      <c r="F185" s="92">
        <v>15.0</v>
      </c>
      <c r="G185" s="92">
        <f t="shared" si="9"/>
        <v>327.01</v>
      </c>
      <c r="H185" s="93">
        <f t="shared" si="7"/>
        <v>3.2701E7</v>
      </c>
    </row>
    <row r="186" spans="8:8" ht="15.75">
      <c r="A186" s="14" t="s">
        <v>195</v>
      </c>
      <c r="B186" s="104" t="s">
        <v>196</v>
      </c>
      <c r="C186" s="97">
        <v>132.0</v>
      </c>
      <c r="D186" s="97">
        <v>906.0</v>
      </c>
      <c r="E186" s="92">
        <v>30.0</v>
      </c>
      <c r="F186" s="92">
        <v>15.0</v>
      </c>
      <c r="G186" s="92">
        <f t="shared" si="9"/>
        <v>1083.0</v>
      </c>
      <c r="H186" s="93">
        <f t="shared" si="7"/>
        <v>1.083E8</v>
      </c>
    </row>
    <row r="187" spans="8:8" ht="15.75">
      <c r="A187" s="14" t="s">
        <v>197</v>
      </c>
      <c r="B187" s="104" t="s">
        <v>196</v>
      </c>
      <c r="C187" s="97">
        <v>0.01</v>
      </c>
      <c r="D187" s="97">
        <v>1103.0</v>
      </c>
      <c r="E187" s="92">
        <v>30.0</v>
      </c>
      <c r="F187" s="92">
        <v>15.0</v>
      </c>
      <c r="G187" s="92">
        <f t="shared" si="9"/>
        <v>1148.01</v>
      </c>
      <c r="H187" s="93">
        <f t="shared" si="7"/>
        <v>1.14801E8</v>
      </c>
    </row>
    <row r="188" spans="8:8" ht="15.75">
      <c r="A188" s="14" t="s">
        <v>198</v>
      </c>
      <c r="B188" s="104" t="s">
        <v>196</v>
      </c>
      <c r="C188" s="97">
        <v>0.01</v>
      </c>
      <c r="D188" s="97">
        <v>1099.0</v>
      </c>
      <c r="E188" s="92">
        <v>30.0</v>
      </c>
      <c r="F188" s="92">
        <v>15.0</v>
      </c>
      <c r="G188" s="92">
        <f t="shared" si="9"/>
        <v>1144.01</v>
      </c>
      <c r="H188" s="93">
        <f t="shared" si="7"/>
        <v>1.14401E8</v>
      </c>
    </row>
    <row r="189" spans="8:8" ht="15.75">
      <c r="A189" s="14" t="s">
        <v>199</v>
      </c>
      <c r="B189" s="104" t="s">
        <v>196</v>
      </c>
      <c r="C189" s="97">
        <v>0.01</v>
      </c>
      <c r="D189" s="97">
        <v>1082.0</v>
      </c>
      <c r="E189" s="92">
        <v>30.0</v>
      </c>
      <c r="F189" s="92">
        <v>15.0</v>
      </c>
      <c r="G189" s="92">
        <f t="shared" si="9"/>
        <v>1127.01</v>
      </c>
      <c r="H189" s="93">
        <f t="shared" si="7"/>
        <v>1.12701E8</v>
      </c>
    </row>
    <row r="190" spans="8:8" ht="15.75">
      <c r="A190" s="18" t="s">
        <v>200</v>
      </c>
      <c r="B190" s="105" t="s">
        <v>196</v>
      </c>
      <c r="C190" s="96">
        <v>0.01</v>
      </c>
      <c r="D190" s="96">
        <v>2931.0</v>
      </c>
      <c r="E190" s="92">
        <v>30.0</v>
      </c>
      <c r="F190" s="92">
        <v>15.0</v>
      </c>
      <c r="G190" s="92">
        <f t="shared" si="9"/>
        <v>2976.01</v>
      </c>
      <c r="H190" s="93">
        <f t="shared" si="7"/>
        <v>2.97601E8</v>
      </c>
    </row>
    <row r="191" spans="8:8" ht="15.75">
      <c r="A191" s="14" t="s">
        <v>201</v>
      </c>
      <c r="B191" s="104" t="s">
        <v>196</v>
      </c>
      <c r="C191" s="97">
        <v>0.01</v>
      </c>
      <c r="D191" s="97">
        <v>1101.0</v>
      </c>
      <c r="E191" s="92">
        <v>30.0</v>
      </c>
      <c r="F191" s="92">
        <v>15.0</v>
      </c>
      <c r="G191" s="92">
        <f t="shared" si="9"/>
        <v>1146.01</v>
      </c>
      <c r="H191" s="93">
        <f t="shared" si="10" ref="H191:H243">G191*100000</f>
        <v>1.14601E8</v>
      </c>
    </row>
    <row r="192" spans="8:8" ht="15.75">
      <c r="A192" s="14" t="s">
        <v>202</v>
      </c>
      <c r="B192" s="104" t="s">
        <v>196</v>
      </c>
      <c r="C192" s="97">
        <v>0.01</v>
      </c>
      <c r="D192" s="97">
        <v>1084.0</v>
      </c>
      <c r="E192" s="92">
        <v>30.0</v>
      </c>
      <c r="F192" s="92">
        <v>15.0</v>
      </c>
      <c r="G192" s="92">
        <f t="shared" si="9"/>
        <v>1129.01</v>
      </c>
      <c r="H192" s="93">
        <f t="shared" si="10"/>
        <v>1.12901E8</v>
      </c>
    </row>
    <row r="193" spans="8:8" ht="15.75">
      <c r="A193" s="14" t="s">
        <v>203</v>
      </c>
      <c r="B193" s="104" t="s">
        <v>196</v>
      </c>
      <c r="C193" s="97">
        <v>0.01</v>
      </c>
      <c r="D193" s="97">
        <v>1084.0</v>
      </c>
      <c r="E193" s="92">
        <v>30.0</v>
      </c>
      <c r="F193" s="92">
        <v>15.0</v>
      </c>
      <c r="G193" s="92">
        <f t="shared" si="9"/>
        <v>1129.01</v>
      </c>
      <c r="H193" s="93">
        <f t="shared" si="10"/>
        <v>1.12901E8</v>
      </c>
    </row>
    <row r="194" spans="8:8" ht="15.75">
      <c r="A194" s="14" t="s">
        <v>204</v>
      </c>
      <c r="B194" s="104" t="s">
        <v>196</v>
      </c>
      <c r="C194" s="97">
        <v>0.01</v>
      </c>
      <c r="D194" s="97">
        <v>1084.0</v>
      </c>
      <c r="E194" s="92">
        <v>30.0</v>
      </c>
      <c r="F194" s="92">
        <v>15.0</v>
      </c>
      <c r="G194" s="92">
        <f t="shared" si="9"/>
        <v>1129.01</v>
      </c>
      <c r="H194" s="93">
        <f t="shared" si="10"/>
        <v>1.12901E8</v>
      </c>
    </row>
    <row r="195" spans="8:8" ht="15.75">
      <c r="A195" s="14" t="s">
        <v>205</v>
      </c>
      <c r="B195" s="104" t="s">
        <v>196</v>
      </c>
      <c r="C195" s="97">
        <v>0.01</v>
      </c>
      <c r="D195" s="97">
        <v>1084.0</v>
      </c>
      <c r="E195" s="92">
        <v>30.0</v>
      </c>
      <c r="F195" s="92">
        <v>15.0</v>
      </c>
      <c r="G195" s="92">
        <f t="shared" si="9"/>
        <v>1129.01</v>
      </c>
      <c r="H195" s="93">
        <f t="shared" si="10"/>
        <v>1.12901E8</v>
      </c>
    </row>
    <row r="196" spans="8:8" ht="15.75">
      <c r="A196" s="14" t="s">
        <v>206</v>
      </c>
      <c r="B196" s="104" t="s">
        <v>196</v>
      </c>
      <c r="C196" s="97">
        <v>0.01</v>
      </c>
      <c r="D196" s="97">
        <v>1105.0</v>
      </c>
      <c r="E196" s="92">
        <v>30.0</v>
      </c>
      <c r="F196" s="92">
        <v>15.0</v>
      </c>
      <c r="G196" s="92">
        <f t="shared" si="9"/>
        <v>1150.01</v>
      </c>
      <c r="H196" s="93">
        <f t="shared" si="10"/>
        <v>1.15001E8</v>
      </c>
    </row>
    <row r="197" spans="8:8" ht="15.75">
      <c r="A197" s="14" t="s">
        <v>207</v>
      </c>
      <c r="B197" s="104" t="s">
        <v>196</v>
      </c>
      <c r="C197" s="97">
        <v>0.01</v>
      </c>
      <c r="D197" s="97">
        <v>1109.0</v>
      </c>
      <c r="E197" s="92">
        <v>30.0</v>
      </c>
      <c r="F197" s="92">
        <v>15.0</v>
      </c>
      <c r="G197" s="92">
        <f t="shared" si="9"/>
        <v>1154.01</v>
      </c>
      <c r="H197" s="93">
        <f t="shared" si="10"/>
        <v>1.15401E8</v>
      </c>
    </row>
    <row r="198" spans="8:8" ht="15.75">
      <c r="A198" s="14" t="s">
        <v>208</v>
      </c>
      <c r="B198" s="104" t="s">
        <v>196</v>
      </c>
      <c r="C198" s="97">
        <v>0.01</v>
      </c>
      <c r="D198" s="97">
        <v>1109.0</v>
      </c>
      <c r="E198" s="92">
        <v>30.0</v>
      </c>
      <c r="F198" s="92">
        <v>15.0</v>
      </c>
      <c r="G198" s="92">
        <f t="shared" si="9"/>
        <v>1154.01</v>
      </c>
      <c r="H198" s="93">
        <f t="shared" si="10"/>
        <v>1.15401E8</v>
      </c>
    </row>
    <row r="199" spans="8:8" ht="15.75">
      <c r="A199" s="14" t="s">
        <v>209</v>
      </c>
      <c r="B199" s="104" t="s">
        <v>196</v>
      </c>
      <c r="C199" s="97">
        <v>0.01</v>
      </c>
      <c r="D199" s="97">
        <v>1099.0</v>
      </c>
      <c r="E199" s="92">
        <v>30.0</v>
      </c>
      <c r="F199" s="92">
        <v>15.0</v>
      </c>
      <c r="G199" s="92">
        <f t="shared" si="9"/>
        <v>1144.01</v>
      </c>
      <c r="H199" s="93">
        <f t="shared" si="10"/>
        <v>1.14401E8</v>
      </c>
    </row>
    <row r="200" spans="8:8" ht="15.75">
      <c r="A200" s="14" t="s">
        <v>210</v>
      </c>
      <c r="B200" s="104" t="s">
        <v>196</v>
      </c>
      <c r="C200" s="97">
        <v>0.01</v>
      </c>
      <c r="D200" s="97">
        <v>1109.0</v>
      </c>
      <c r="E200" s="92">
        <v>30.0</v>
      </c>
      <c r="F200" s="92">
        <v>15.0</v>
      </c>
      <c r="G200" s="92">
        <f t="shared" si="9"/>
        <v>1154.01</v>
      </c>
      <c r="H200" s="93">
        <f t="shared" si="10"/>
        <v>1.15401E8</v>
      </c>
    </row>
    <row r="201" spans="8:8" ht="15.75">
      <c r="A201" s="14" t="s">
        <v>211</v>
      </c>
      <c r="B201" s="104" t="s">
        <v>196</v>
      </c>
      <c r="C201" s="97">
        <v>0.01</v>
      </c>
      <c r="D201" s="97">
        <v>1109.0</v>
      </c>
      <c r="E201" s="92">
        <v>30.0</v>
      </c>
      <c r="F201" s="92">
        <v>15.0</v>
      </c>
      <c r="G201" s="92">
        <f t="shared" si="9"/>
        <v>1154.01</v>
      </c>
      <c r="H201" s="93">
        <f t="shared" si="10"/>
        <v>1.15401E8</v>
      </c>
    </row>
    <row r="202" spans="8:8" ht="15.75">
      <c r="A202" s="14" t="s">
        <v>212</v>
      </c>
      <c r="B202" s="104" t="s">
        <v>196</v>
      </c>
      <c r="C202" s="97">
        <v>0.01</v>
      </c>
      <c r="D202" s="97">
        <v>1109.0</v>
      </c>
      <c r="E202" s="92">
        <v>30.0</v>
      </c>
      <c r="F202" s="92">
        <v>15.0</v>
      </c>
      <c r="G202" s="92">
        <f t="shared" si="9"/>
        <v>1154.01</v>
      </c>
      <c r="H202" s="93">
        <f t="shared" si="10"/>
        <v>1.15401E8</v>
      </c>
    </row>
    <row r="203" spans="8:8" ht="15.75">
      <c r="A203" s="14" t="s">
        <v>213</v>
      </c>
      <c r="B203" s="104" t="s">
        <v>196</v>
      </c>
      <c r="C203" s="97">
        <v>0.01</v>
      </c>
      <c r="D203" s="97">
        <v>1108.0</v>
      </c>
      <c r="E203" s="92">
        <v>30.0</v>
      </c>
      <c r="F203" s="92">
        <v>15.0</v>
      </c>
      <c r="G203" s="92">
        <f t="shared" si="9"/>
        <v>1153.01</v>
      </c>
      <c r="H203" s="93">
        <f t="shared" si="10"/>
        <v>1.15301E8</v>
      </c>
    </row>
    <row r="204" spans="8:8" ht="15.75">
      <c r="A204" s="14" t="s">
        <v>214</v>
      </c>
      <c r="B204" s="104" t="s">
        <v>196</v>
      </c>
      <c r="C204" s="97">
        <v>0.01</v>
      </c>
      <c r="D204" s="97">
        <v>1109.0</v>
      </c>
      <c r="E204" s="92">
        <v>30.0</v>
      </c>
      <c r="F204" s="92">
        <v>15.0</v>
      </c>
      <c r="G204" s="92">
        <f t="shared" si="9"/>
        <v>1154.01</v>
      </c>
      <c r="H204" s="93">
        <f t="shared" si="10"/>
        <v>1.15401E8</v>
      </c>
    </row>
    <row r="205" spans="8:8" ht="15.75">
      <c r="A205" s="14" t="s">
        <v>215</v>
      </c>
      <c r="B205" s="104" t="s">
        <v>196</v>
      </c>
      <c r="C205" s="97">
        <v>0.02</v>
      </c>
      <c r="D205" s="97">
        <v>1107.0</v>
      </c>
      <c r="E205" s="92">
        <v>30.0</v>
      </c>
      <c r="F205" s="92">
        <v>15.0</v>
      </c>
      <c r="G205" s="92">
        <f t="shared" si="9"/>
        <v>1152.02</v>
      </c>
      <c r="H205" s="93">
        <f t="shared" si="10"/>
        <v>1.15202E8</v>
      </c>
    </row>
    <row r="206" spans="8:8" ht="15.75">
      <c r="A206" s="14" t="s">
        <v>216</v>
      </c>
      <c r="B206" s="104" t="s">
        <v>196</v>
      </c>
      <c r="C206" s="97">
        <v>0.01</v>
      </c>
      <c r="D206" s="97">
        <v>1107.0</v>
      </c>
      <c r="E206" s="92">
        <v>30.0</v>
      </c>
      <c r="F206" s="92">
        <v>15.0</v>
      </c>
      <c r="G206" s="92">
        <f t="shared" si="9"/>
        <v>1152.01</v>
      </c>
      <c r="H206" s="93">
        <f t="shared" si="10"/>
        <v>1.15201E8</v>
      </c>
    </row>
    <row r="207" spans="8:8" ht="15.75">
      <c r="A207" s="14" t="s">
        <v>217</v>
      </c>
      <c r="B207" s="104" t="s">
        <v>196</v>
      </c>
      <c r="C207" s="97">
        <v>0.01</v>
      </c>
      <c r="D207" s="97">
        <v>1109.0</v>
      </c>
      <c r="E207" s="92">
        <v>30.0</v>
      </c>
      <c r="F207" s="92">
        <v>15.0</v>
      </c>
      <c r="G207" s="92">
        <f t="shared" si="9"/>
        <v>1154.01</v>
      </c>
      <c r="H207" s="93">
        <f t="shared" si="10"/>
        <v>1.15401E8</v>
      </c>
    </row>
    <row r="208" spans="8:8" ht="15.75">
      <c r="A208" s="14" t="s">
        <v>218</v>
      </c>
      <c r="B208" s="104" t="s">
        <v>196</v>
      </c>
      <c r="C208" s="97">
        <v>0.01</v>
      </c>
      <c r="D208" s="97">
        <v>1109.0</v>
      </c>
      <c r="E208" s="92">
        <v>30.0</v>
      </c>
      <c r="F208" s="92">
        <v>15.0</v>
      </c>
      <c r="G208" s="92">
        <f t="shared" si="9"/>
        <v>1154.01</v>
      </c>
      <c r="H208" s="93">
        <f t="shared" si="10"/>
        <v>1.15401E8</v>
      </c>
    </row>
    <row r="209" spans="8:8" ht="15.75">
      <c r="A209" s="14" t="s">
        <v>219</v>
      </c>
      <c r="B209" s="104" t="s">
        <v>196</v>
      </c>
      <c r="C209" s="97">
        <v>0.01</v>
      </c>
      <c r="D209" s="97">
        <v>1096.0</v>
      </c>
      <c r="E209" s="92">
        <v>30.0</v>
      </c>
      <c r="F209" s="92">
        <v>15.0</v>
      </c>
      <c r="G209" s="92">
        <f t="shared" si="9"/>
        <v>1141.01</v>
      </c>
      <c r="H209" s="93">
        <f t="shared" si="10"/>
        <v>1.14101E8</v>
      </c>
    </row>
    <row r="210" spans="8:8" ht="15.75">
      <c r="A210" s="14" t="s">
        <v>220</v>
      </c>
      <c r="B210" s="104" t="s">
        <v>196</v>
      </c>
      <c r="C210" s="97">
        <v>0.01</v>
      </c>
      <c r="D210" s="97">
        <v>1096.0</v>
      </c>
      <c r="E210" s="92">
        <v>30.0</v>
      </c>
      <c r="F210" s="92">
        <v>15.0</v>
      </c>
      <c r="G210" s="92">
        <f t="shared" si="9"/>
        <v>1141.01</v>
      </c>
      <c r="H210" s="93">
        <f t="shared" si="10"/>
        <v>1.14101E8</v>
      </c>
    </row>
    <row r="211" spans="8:8" ht="15.75">
      <c r="A211" s="14" t="s">
        <v>221</v>
      </c>
      <c r="B211" s="104" t="s">
        <v>196</v>
      </c>
      <c r="C211" s="97">
        <v>0.01</v>
      </c>
      <c r="D211" s="97">
        <v>1104.0</v>
      </c>
      <c r="E211" s="92">
        <v>30.0</v>
      </c>
      <c r="F211" s="92">
        <v>15.0</v>
      </c>
      <c r="G211" s="92">
        <f t="shared" si="9"/>
        <v>1149.01</v>
      </c>
      <c r="H211" s="93">
        <f t="shared" si="10"/>
        <v>1.14901E8</v>
      </c>
    </row>
    <row r="212" spans="8:8" ht="15.75">
      <c r="A212" s="14" t="s">
        <v>222</v>
      </c>
      <c r="B212" s="104" t="s">
        <v>196</v>
      </c>
      <c r="C212" s="97">
        <v>0.01</v>
      </c>
      <c r="D212" s="97">
        <v>1093.0</v>
      </c>
      <c r="E212" s="92">
        <v>30.0</v>
      </c>
      <c r="F212" s="92">
        <v>15.0</v>
      </c>
      <c r="G212" s="92">
        <f t="shared" si="9"/>
        <v>1138.01</v>
      </c>
      <c r="H212" s="93">
        <f t="shared" si="10"/>
        <v>1.13801E8</v>
      </c>
    </row>
    <row r="213" spans="8:8" ht="15.75">
      <c r="A213" s="14" t="s">
        <v>223</v>
      </c>
      <c r="B213" s="104" t="s">
        <v>196</v>
      </c>
      <c r="C213" s="97">
        <v>0.01</v>
      </c>
      <c r="D213" s="97">
        <v>1096.0</v>
      </c>
      <c r="E213" s="92">
        <v>30.0</v>
      </c>
      <c r="F213" s="92">
        <v>15.0</v>
      </c>
      <c r="G213" s="92">
        <f t="shared" si="9"/>
        <v>1141.01</v>
      </c>
      <c r="H213" s="93">
        <f t="shared" si="10"/>
        <v>1.14101E8</v>
      </c>
    </row>
    <row r="214" spans="8:8" ht="15.75">
      <c r="A214" s="14" t="s">
        <v>224</v>
      </c>
      <c r="B214" s="104" t="s">
        <v>196</v>
      </c>
      <c r="C214" s="97">
        <v>0.01</v>
      </c>
      <c r="D214" s="97">
        <v>1109.0</v>
      </c>
      <c r="E214" s="92">
        <v>30.0</v>
      </c>
      <c r="F214" s="92">
        <v>15.0</v>
      </c>
      <c r="G214" s="92">
        <f t="shared" si="9"/>
        <v>1154.01</v>
      </c>
      <c r="H214" s="93">
        <f t="shared" si="10"/>
        <v>1.15401E8</v>
      </c>
    </row>
    <row r="215" spans="8:8" ht="15.75">
      <c r="A215" s="14" t="s">
        <v>225</v>
      </c>
      <c r="B215" s="104" t="s">
        <v>196</v>
      </c>
      <c r="C215" s="97">
        <v>0.01</v>
      </c>
      <c r="D215" s="97">
        <v>1109.0</v>
      </c>
      <c r="E215" s="92">
        <v>30.0</v>
      </c>
      <c r="F215" s="92">
        <v>15.0</v>
      </c>
      <c r="G215" s="92">
        <f t="shared" si="9"/>
        <v>1154.01</v>
      </c>
      <c r="H215" s="93">
        <f t="shared" si="10"/>
        <v>1.15401E8</v>
      </c>
    </row>
    <row r="216" spans="8:8" ht="15.75">
      <c r="A216" s="14" t="s">
        <v>226</v>
      </c>
      <c r="B216" s="104" t="s">
        <v>196</v>
      </c>
      <c r="C216" s="97">
        <v>0.01</v>
      </c>
      <c r="D216" s="97">
        <v>1447.0</v>
      </c>
      <c r="E216" s="92">
        <v>30.0</v>
      </c>
      <c r="F216" s="92">
        <v>15.0</v>
      </c>
      <c r="G216" s="92">
        <f t="shared" si="9"/>
        <v>1492.01</v>
      </c>
      <c r="H216" s="93">
        <f t="shared" si="10"/>
        <v>1.49201E8</v>
      </c>
    </row>
    <row r="217" spans="8:8" ht="15.75">
      <c r="A217" s="14" t="s">
        <v>227</v>
      </c>
      <c r="B217" s="104" t="s">
        <v>196</v>
      </c>
      <c r="C217" s="97">
        <v>0.01</v>
      </c>
      <c r="D217" s="97">
        <v>1780.0</v>
      </c>
      <c r="E217" s="92">
        <v>30.0</v>
      </c>
      <c r="F217" s="92">
        <v>15.0</v>
      </c>
      <c r="G217" s="92">
        <f t="shared" si="9"/>
        <v>1825.01</v>
      </c>
      <c r="H217" s="93">
        <f t="shared" si="10"/>
        <v>1.82501E8</v>
      </c>
    </row>
    <row r="218" spans="8:8" ht="15.75">
      <c r="A218" s="14" t="s">
        <v>228</v>
      </c>
      <c r="B218" s="104" t="s">
        <v>196</v>
      </c>
      <c r="C218" s="97">
        <v>0.01</v>
      </c>
      <c r="D218" s="97">
        <v>1096.0</v>
      </c>
      <c r="E218" s="92">
        <v>30.0</v>
      </c>
      <c r="F218" s="92">
        <v>15.0</v>
      </c>
      <c r="G218" s="92">
        <f t="shared" si="9"/>
        <v>1141.01</v>
      </c>
      <c r="H218" s="93">
        <f t="shared" si="10"/>
        <v>1.14101E8</v>
      </c>
    </row>
    <row r="219" spans="8:8" ht="15.75">
      <c r="A219" s="14" t="s">
        <v>229</v>
      </c>
      <c r="B219" s="104" t="s">
        <v>196</v>
      </c>
      <c r="C219" s="97">
        <v>0.01</v>
      </c>
      <c r="D219" s="97">
        <v>1109.0</v>
      </c>
      <c r="E219" s="92">
        <v>30.0</v>
      </c>
      <c r="F219" s="92">
        <v>15.0</v>
      </c>
      <c r="G219" s="92">
        <f t="shared" si="9"/>
        <v>1154.01</v>
      </c>
      <c r="H219" s="93">
        <f t="shared" si="10"/>
        <v>1.15401E8</v>
      </c>
    </row>
    <row r="220" spans="8:8" ht="15.75">
      <c r="A220" s="14" t="s">
        <v>230</v>
      </c>
      <c r="B220" s="104" t="s">
        <v>196</v>
      </c>
      <c r="C220" s="97">
        <v>0.01</v>
      </c>
      <c r="D220" s="97">
        <v>1109.0</v>
      </c>
      <c r="E220" s="92">
        <v>30.0</v>
      </c>
      <c r="F220" s="92">
        <v>15.0</v>
      </c>
      <c r="G220" s="92">
        <f t="shared" si="9"/>
        <v>1154.01</v>
      </c>
      <c r="H220" s="93">
        <f t="shared" si="10"/>
        <v>1.15401E8</v>
      </c>
    </row>
    <row r="221" spans="8:8" ht="15.75">
      <c r="A221" s="14" t="s">
        <v>231</v>
      </c>
      <c r="B221" s="104" t="s">
        <v>196</v>
      </c>
      <c r="C221" s="97">
        <v>0.01</v>
      </c>
      <c r="D221" s="97">
        <v>1109.0</v>
      </c>
      <c r="E221" s="92">
        <v>30.0</v>
      </c>
      <c r="F221" s="92">
        <v>15.0</v>
      </c>
      <c r="G221" s="92">
        <f t="shared" si="9"/>
        <v>1154.01</v>
      </c>
      <c r="H221" s="93">
        <f t="shared" si="10"/>
        <v>1.15401E8</v>
      </c>
    </row>
    <row r="222" spans="8:8" ht="15.75">
      <c r="A222" s="14" t="s">
        <v>232</v>
      </c>
      <c r="B222" s="104" t="s">
        <v>196</v>
      </c>
      <c r="C222" s="97">
        <v>0.01</v>
      </c>
      <c r="D222" s="97">
        <v>1109.0</v>
      </c>
      <c r="E222" s="92">
        <v>30.0</v>
      </c>
      <c r="F222" s="92">
        <v>15.0</v>
      </c>
      <c r="G222" s="92">
        <f t="shared" si="9"/>
        <v>1154.01</v>
      </c>
      <c r="H222" s="93">
        <f t="shared" si="10"/>
        <v>1.15401E8</v>
      </c>
    </row>
    <row r="223" spans="8:8" ht="15.75">
      <c r="A223" s="14" t="s">
        <v>233</v>
      </c>
      <c r="B223" s="104" t="s">
        <v>196</v>
      </c>
      <c r="C223" s="97">
        <v>0.01</v>
      </c>
      <c r="D223" s="97">
        <v>1096.0</v>
      </c>
      <c r="E223" s="92">
        <v>30.0</v>
      </c>
      <c r="F223" s="92">
        <v>15.0</v>
      </c>
      <c r="G223" s="92">
        <f t="shared" si="9"/>
        <v>1141.01</v>
      </c>
      <c r="H223" s="93">
        <f t="shared" si="10"/>
        <v>1.14101E8</v>
      </c>
    </row>
    <row r="224" spans="8:8" ht="15.75">
      <c r="A224" s="14" t="s">
        <v>234</v>
      </c>
      <c r="B224" s="104" t="s">
        <v>196</v>
      </c>
      <c r="C224" s="97">
        <v>0.01</v>
      </c>
      <c r="D224" s="97">
        <v>1096.0</v>
      </c>
      <c r="E224" s="92">
        <v>30.0</v>
      </c>
      <c r="F224" s="92">
        <v>15.0</v>
      </c>
      <c r="G224" s="92">
        <f t="shared" si="9"/>
        <v>1141.01</v>
      </c>
      <c r="H224" s="93">
        <f t="shared" si="10"/>
        <v>1.14101E8</v>
      </c>
    </row>
    <row r="225" spans="8:8" ht="15.75">
      <c r="A225" s="14" t="s">
        <v>235</v>
      </c>
      <c r="B225" s="104" t="s">
        <v>196</v>
      </c>
      <c r="C225" s="97">
        <v>0.01</v>
      </c>
      <c r="D225" s="97">
        <v>1109.0</v>
      </c>
      <c r="E225" s="92">
        <v>30.0</v>
      </c>
      <c r="F225" s="92">
        <v>15.0</v>
      </c>
      <c r="G225" s="92">
        <f t="shared" si="9"/>
        <v>1154.01</v>
      </c>
      <c r="H225" s="93">
        <f t="shared" si="10"/>
        <v>1.15401E8</v>
      </c>
    </row>
    <row r="226" spans="8:8" ht="15.75">
      <c r="A226" s="14" t="s">
        <v>236</v>
      </c>
      <c r="B226" s="104" t="s">
        <v>196</v>
      </c>
      <c r="C226" s="97">
        <v>0.01</v>
      </c>
      <c r="D226" s="97">
        <v>1109.0</v>
      </c>
      <c r="E226" s="92">
        <v>30.0</v>
      </c>
      <c r="F226" s="92">
        <v>15.0</v>
      </c>
      <c r="G226" s="92">
        <f t="shared" si="9"/>
        <v>1154.01</v>
      </c>
      <c r="H226" s="93">
        <f t="shared" si="10"/>
        <v>1.15401E8</v>
      </c>
    </row>
    <row r="227" spans="8:8" ht="15.75">
      <c r="A227" s="14" t="s">
        <v>237</v>
      </c>
      <c r="B227" s="104" t="s">
        <v>196</v>
      </c>
      <c r="C227" s="97">
        <v>0.01</v>
      </c>
      <c r="D227" s="97">
        <v>1096.0</v>
      </c>
      <c r="E227" s="92">
        <v>30.0</v>
      </c>
      <c r="F227" s="92">
        <v>15.0</v>
      </c>
      <c r="G227" s="92">
        <f t="shared" si="9"/>
        <v>1141.01</v>
      </c>
      <c r="H227" s="93">
        <f t="shared" si="10"/>
        <v>1.14101E8</v>
      </c>
    </row>
    <row r="228" spans="8:8" ht="15.75">
      <c r="A228" s="14" t="s">
        <v>238</v>
      </c>
      <c r="B228" s="104" t="s">
        <v>196</v>
      </c>
      <c r="C228" s="97">
        <v>0.01</v>
      </c>
      <c r="D228" s="97">
        <v>1109.0</v>
      </c>
      <c r="E228" s="92">
        <v>30.0</v>
      </c>
      <c r="F228" s="92">
        <v>15.0</v>
      </c>
      <c r="G228" s="92">
        <f t="shared" si="9"/>
        <v>1154.01</v>
      </c>
      <c r="H228" s="93">
        <f t="shared" si="10"/>
        <v>1.15401E8</v>
      </c>
    </row>
    <row r="229" spans="8:8" ht="15.75">
      <c r="A229" s="14" t="s">
        <v>239</v>
      </c>
      <c r="B229" s="104" t="s">
        <v>196</v>
      </c>
      <c r="C229" s="97">
        <v>0.01</v>
      </c>
      <c r="D229" s="97">
        <v>1109.0</v>
      </c>
      <c r="E229" s="92">
        <v>30.0</v>
      </c>
      <c r="F229" s="92">
        <v>15.0</v>
      </c>
      <c r="G229" s="92">
        <f t="shared" si="9"/>
        <v>1154.01</v>
      </c>
      <c r="H229" s="93">
        <f t="shared" si="10"/>
        <v>1.15401E8</v>
      </c>
    </row>
    <row r="230" spans="8:8" ht="15.75">
      <c r="A230" s="14" t="s">
        <v>240</v>
      </c>
      <c r="B230" s="104" t="s">
        <v>196</v>
      </c>
      <c r="C230" s="97">
        <v>0.01</v>
      </c>
      <c r="D230" s="97">
        <v>1109.0</v>
      </c>
      <c r="E230" s="92">
        <v>30.0</v>
      </c>
      <c r="F230" s="92">
        <v>15.0</v>
      </c>
      <c r="G230" s="92">
        <f t="shared" si="9"/>
        <v>1154.01</v>
      </c>
      <c r="H230" s="93">
        <f t="shared" si="10"/>
        <v>1.15401E8</v>
      </c>
    </row>
    <row r="231" spans="8:8" ht="15.75">
      <c r="A231" s="14" t="s">
        <v>241</v>
      </c>
      <c r="B231" s="104" t="s">
        <v>196</v>
      </c>
      <c r="C231" s="97">
        <v>0.01</v>
      </c>
      <c r="D231" s="97">
        <v>1109.0</v>
      </c>
      <c r="E231" s="92">
        <v>30.0</v>
      </c>
      <c r="F231" s="92">
        <v>15.0</v>
      </c>
      <c r="G231" s="92">
        <f t="shared" si="9"/>
        <v>1154.01</v>
      </c>
      <c r="H231" s="93">
        <f t="shared" si="10"/>
        <v>1.15401E8</v>
      </c>
    </row>
    <row r="232" spans="8:8" ht="15.75">
      <c r="A232" s="14" t="s">
        <v>242</v>
      </c>
      <c r="B232" s="104" t="s">
        <v>196</v>
      </c>
      <c r="C232" s="97">
        <v>0.01</v>
      </c>
      <c r="D232" s="97">
        <v>1109.0</v>
      </c>
      <c r="E232" s="92">
        <v>30.0</v>
      </c>
      <c r="F232" s="92">
        <v>15.0</v>
      </c>
      <c r="G232" s="92">
        <f t="shared" si="11" ref="G232:G270">SUM(C232:F232)</f>
        <v>1154.01</v>
      </c>
      <c r="H232" s="93">
        <f t="shared" si="10"/>
        <v>1.15401E8</v>
      </c>
    </row>
    <row r="233" spans="8:8" ht="15.75">
      <c r="A233" s="14" t="s">
        <v>243</v>
      </c>
      <c r="B233" s="104" t="s">
        <v>196</v>
      </c>
      <c r="C233" s="97">
        <v>0.01</v>
      </c>
      <c r="D233" s="97">
        <v>1109.0</v>
      </c>
      <c r="E233" s="92">
        <v>30.0</v>
      </c>
      <c r="F233" s="92">
        <v>15.0</v>
      </c>
      <c r="G233" s="92">
        <f t="shared" si="11"/>
        <v>1154.01</v>
      </c>
      <c r="H233" s="93">
        <f t="shared" si="10"/>
        <v>1.15401E8</v>
      </c>
    </row>
    <row r="234" spans="8:8" ht="15.75">
      <c r="A234" s="14" t="s">
        <v>244</v>
      </c>
      <c r="B234" s="104" t="s">
        <v>196</v>
      </c>
      <c r="C234" s="97">
        <v>0.01</v>
      </c>
      <c r="D234" s="97">
        <v>1109.0</v>
      </c>
      <c r="E234" s="92">
        <v>30.0</v>
      </c>
      <c r="F234" s="92">
        <v>15.0</v>
      </c>
      <c r="G234" s="92">
        <f t="shared" si="11"/>
        <v>1154.01</v>
      </c>
      <c r="H234" s="93">
        <f t="shared" si="10"/>
        <v>1.15401E8</v>
      </c>
    </row>
    <row r="235" spans="8:8" ht="15.75">
      <c r="A235" s="14" t="s">
        <v>245</v>
      </c>
      <c r="B235" s="104" t="s">
        <v>196</v>
      </c>
      <c r="C235" s="97">
        <v>0.01</v>
      </c>
      <c r="D235" s="97">
        <v>1095.0</v>
      </c>
      <c r="E235" s="92">
        <v>30.0</v>
      </c>
      <c r="F235" s="92">
        <v>15.0</v>
      </c>
      <c r="G235" s="92">
        <f t="shared" si="11"/>
        <v>1140.01</v>
      </c>
      <c r="H235" s="93">
        <f t="shared" si="10"/>
        <v>1.14001E8</v>
      </c>
    </row>
    <row r="236" spans="8:8" ht="15.75">
      <c r="A236" s="14" t="s">
        <v>246</v>
      </c>
      <c r="B236" s="104" t="s">
        <v>196</v>
      </c>
      <c r="C236" s="97">
        <v>0.01</v>
      </c>
      <c r="D236" s="97">
        <v>1096.0</v>
      </c>
      <c r="E236" s="92">
        <v>30.0</v>
      </c>
      <c r="F236" s="92">
        <v>15.0</v>
      </c>
      <c r="G236" s="92">
        <f t="shared" si="11"/>
        <v>1141.01</v>
      </c>
      <c r="H236" s="93">
        <f t="shared" si="10"/>
        <v>1.14101E8</v>
      </c>
    </row>
    <row r="237" spans="8:8" ht="15.75">
      <c r="A237" s="14" t="s">
        <v>247</v>
      </c>
      <c r="B237" s="104" t="s">
        <v>196</v>
      </c>
      <c r="C237" s="97">
        <v>0.01</v>
      </c>
      <c r="D237" s="97">
        <v>1109.0</v>
      </c>
      <c r="E237" s="92">
        <v>30.0</v>
      </c>
      <c r="F237" s="92">
        <v>15.0</v>
      </c>
      <c r="G237" s="92">
        <f t="shared" si="11"/>
        <v>1154.01</v>
      </c>
      <c r="H237" s="93">
        <f t="shared" si="10"/>
        <v>1.15401E8</v>
      </c>
    </row>
    <row r="238" spans="8:8" ht="15.75">
      <c r="A238" s="14" t="s">
        <v>248</v>
      </c>
      <c r="B238" s="104" t="s">
        <v>196</v>
      </c>
      <c r="C238" s="97">
        <v>0.01</v>
      </c>
      <c r="D238" s="97">
        <v>1109.0</v>
      </c>
      <c r="E238" s="92">
        <v>30.0</v>
      </c>
      <c r="F238" s="92">
        <v>15.0</v>
      </c>
      <c r="G238" s="92">
        <f t="shared" si="11"/>
        <v>1154.01</v>
      </c>
      <c r="H238" s="93">
        <f t="shared" si="10"/>
        <v>1.15401E8</v>
      </c>
    </row>
    <row r="239" spans="8:8" ht="15.75">
      <c r="A239" s="14" t="s">
        <v>249</v>
      </c>
      <c r="B239" s="104" t="s">
        <v>196</v>
      </c>
      <c r="C239" s="97">
        <v>0.01</v>
      </c>
      <c r="D239" s="97">
        <v>1109.0</v>
      </c>
      <c r="E239" s="92">
        <v>30.0</v>
      </c>
      <c r="F239" s="92">
        <v>15.0</v>
      </c>
      <c r="G239" s="92">
        <f t="shared" si="11"/>
        <v>1154.01</v>
      </c>
      <c r="H239" s="93">
        <f t="shared" si="10"/>
        <v>1.15401E8</v>
      </c>
    </row>
    <row r="240" spans="8:8" ht="15.75">
      <c r="A240" s="14" t="s">
        <v>250</v>
      </c>
      <c r="B240" s="104" t="s">
        <v>196</v>
      </c>
      <c r="C240" s="97">
        <v>0.01</v>
      </c>
      <c r="D240" s="97">
        <v>1109.0</v>
      </c>
      <c r="E240" s="92">
        <v>30.0</v>
      </c>
      <c r="F240" s="92">
        <v>15.0</v>
      </c>
      <c r="G240" s="92">
        <f t="shared" si="11"/>
        <v>1154.01</v>
      </c>
      <c r="H240" s="93">
        <f t="shared" si="10"/>
        <v>1.15401E8</v>
      </c>
    </row>
    <row r="241" spans="8:8" ht="15.75">
      <c r="A241" s="14" t="s">
        <v>251</v>
      </c>
      <c r="B241" s="104" t="s">
        <v>196</v>
      </c>
      <c r="C241" s="97">
        <v>0.01</v>
      </c>
      <c r="D241" s="97">
        <v>1109.0</v>
      </c>
      <c r="E241" s="92">
        <v>30.0</v>
      </c>
      <c r="F241" s="92">
        <v>15.0</v>
      </c>
      <c r="G241" s="92">
        <f t="shared" si="11"/>
        <v>1154.01</v>
      </c>
      <c r="H241" s="93">
        <f t="shared" si="10"/>
        <v>1.15401E8</v>
      </c>
    </row>
    <row r="242" spans="8:8" ht="15.75">
      <c r="A242" s="14" t="s">
        <v>252</v>
      </c>
      <c r="B242" s="104" t="s">
        <v>196</v>
      </c>
      <c r="C242" s="97">
        <v>0.01</v>
      </c>
      <c r="D242" s="97">
        <v>1109.0</v>
      </c>
      <c r="E242" s="92">
        <v>30.0</v>
      </c>
      <c r="F242" s="92">
        <v>15.0</v>
      </c>
      <c r="G242" s="92">
        <f t="shared" si="11"/>
        <v>1154.01</v>
      </c>
      <c r="H242" s="93">
        <f t="shared" si="10"/>
        <v>1.15401E8</v>
      </c>
    </row>
    <row r="243" spans="8:8" ht="15.75">
      <c r="A243" s="14" t="s">
        <v>253</v>
      </c>
      <c r="B243" s="104" t="s">
        <v>196</v>
      </c>
      <c r="C243" s="97">
        <v>0.01</v>
      </c>
      <c r="D243" s="97">
        <v>1109.0</v>
      </c>
      <c r="E243" s="92">
        <v>30.0</v>
      </c>
      <c r="F243" s="92">
        <v>15.0</v>
      </c>
      <c r="G243" s="92">
        <f t="shared" si="11"/>
        <v>1154.01</v>
      </c>
      <c r="H243" s="93">
        <f t="shared" si="10"/>
        <v>1.15401E8</v>
      </c>
    </row>
    <row r="244" spans="8:8" ht="15.75">
      <c r="A244" s="14" t="s">
        <v>254</v>
      </c>
      <c r="B244" s="104" t="s">
        <v>196</v>
      </c>
      <c r="C244" s="97">
        <v>0.01</v>
      </c>
      <c r="D244" s="97">
        <v>1096.0</v>
      </c>
      <c r="E244" s="92">
        <v>30.0</v>
      </c>
      <c r="F244" s="92">
        <v>15.0</v>
      </c>
      <c r="G244" s="92">
        <f t="shared" si="11"/>
        <v>1141.01</v>
      </c>
      <c r="H244" s="93">
        <f t="shared" si="12" ref="H244:H280">G244*100000</f>
        <v>1.14101E8</v>
      </c>
    </row>
    <row r="245" spans="8:8" ht="15.75">
      <c r="A245" s="14" t="s">
        <v>255</v>
      </c>
      <c r="B245" s="104" t="s">
        <v>196</v>
      </c>
      <c r="C245" s="97">
        <v>0.01</v>
      </c>
      <c r="D245" s="97">
        <v>1109.0</v>
      </c>
      <c r="E245" s="92">
        <v>30.0</v>
      </c>
      <c r="F245" s="92">
        <v>15.0</v>
      </c>
      <c r="G245" s="92">
        <f t="shared" si="11"/>
        <v>1154.01</v>
      </c>
      <c r="H245" s="93">
        <f t="shared" si="12"/>
        <v>1.15401E8</v>
      </c>
    </row>
    <row r="246" spans="8:8" ht="15.75">
      <c r="A246" s="14" t="s">
        <v>256</v>
      </c>
      <c r="B246" s="104" t="s">
        <v>196</v>
      </c>
      <c r="C246" s="97">
        <v>0.01</v>
      </c>
      <c r="D246" s="97">
        <v>1109.0</v>
      </c>
      <c r="E246" s="92">
        <v>30.0</v>
      </c>
      <c r="F246" s="92">
        <v>15.0</v>
      </c>
      <c r="G246" s="92">
        <f t="shared" si="11"/>
        <v>1154.01</v>
      </c>
      <c r="H246" s="93">
        <f t="shared" si="12"/>
        <v>1.15401E8</v>
      </c>
    </row>
    <row r="247" spans="8:8" ht="15.75">
      <c r="A247" s="14" t="s">
        <v>257</v>
      </c>
      <c r="B247" s="104" t="s">
        <v>196</v>
      </c>
      <c r="C247" s="97">
        <v>0.01</v>
      </c>
      <c r="D247" s="97">
        <v>1092.0</v>
      </c>
      <c r="E247" s="92">
        <v>30.0</v>
      </c>
      <c r="F247" s="92">
        <v>15.0</v>
      </c>
      <c r="G247" s="92">
        <f t="shared" si="11"/>
        <v>1137.01</v>
      </c>
      <c r="H247" s="93">
        <f t="shared" si="12"/>
        <v>1.13701E8</v>
      </c>
    </row>
    <row r="248" spans="8:8" ht="15.75">
      <c r="A248" s="14" t="s">
        <v>258</v>
      </c>
      <c r="B248" s="104" t="s">
        <v>196</v>
      </c>
      <c r="C248" s="97">
        <v>0.01</v>
      </c>
      <c r="D248" s="97">
        <v>1109.0</v>
      </c>
      <c r="E248" s="92">
        <v>30.0</v>
      </c>
      <c r="F248" s="92">
        <v>15.0</v>
      </c>
      <c r="G248" s="92">
        <f t="shared" si="11"/>
        <v>1154.01</v>
      </c>
      <c r="H248" s="93">
        <f t="shared" si="12"/>
        <v>1.15401E8</v>
      </c>
    </row>
    <row r="249" spans="8:8" ht="15.75">
      <c r="A249" s="14" t="s">
        <v>259</v>
      </c>
      <c r="B249" s="104" t="s">
        <v>196</v>
      </c>
      <c r="C249" s="97">
        <v>0.01</v>
      </c>
      <c r="D249" s="97">
        <v>1109.0</v>
      </c>
      <c r="E249" s="92">
        <v>30.0</v>
      </c>
      <c r="F249" s="92">
        <v>15.0</v>
      </c>
      <c r="G249" s="92">
        <f t="shared" si="11"/>
        <v>1154.01</v>
      </c>
      <c r="H249" s="93">
        <f t="shared" si="12"/>
        <v>1.15401E8</v>
      </c>
    </row>
    <row r="250" spans="8:8" ht="15.75">
      <c r="A250" s="14" t="s">
        <v>260</v>
      </c>
      <c r="B250" s="104" t="s">
        <v>196</v>
      </c>
      <c r="C250" s="97">
        <v>0.01</v>
      </c>
      <c r="D250" s="97">
        <v>1092.0</v>
      </c>
      <c r="E250" s="92">
        <v>30.0</v>
      </c>
      <c r="F250" s="92">
        <v>15.0</v>
      </c>
      <c r="G250" s="92">
        <f t="shared" si="11"/>
        <v>1137.01</v>
      </c>
      <c r="H250" s="93">
        <f t="shared" si="12"/>
        <v>1.13701E8</v>
      </c>
    </row>
    <row r="251" spans="8:8" ht="15.75">
      <c r="A251" s="14" t="s">
        <v>261</v>
      </c>
      <c r="B251" s="104" t="s">
        <v>196</v>
      </c>
      <c r="C251" s="97">
        <v>0.01</v>
      </c>
      <c r="D251" s="97">
        <v>1096.0</v>
      </c>
      <c r="E251" s="92">
        <v>30.0</v>
      </c>
      <c r="F251" s="92">
        <v>15.0</v>
      </c>
      <c r="G251" s="92">
        <f t="shared" si="11"/>
        <v>1141.01</v>
      </c>
      <c r="H251" s="93">
        <f t="shared" si="12"/>
        <v>1.14101E8</v>
      </c>
    </row>
    <row r="252" spans="8:8" ht="15.75">
      <c r="A252" s="14" t="s">
        <v>262</v>
      </c>
      <c r="B252" s="104" t="s">
        <v>196</v>
      </c>
      <c r="C252" s="97">
        <v>0.01</v>
      </c>
      <c r="D252" s="97">
        <v>1456.0</v>
      </c>
      <c r="E252" s="92">
        <v>30.0</v>
      </c>
      <c r="F252" s="92">
        <v>15.0</v>
      </c>
      <c r="G252" s="92">
        <f t="shared" si="11"/>
        <v>1501.01</v>
      </c>
      <c r="H252" s="93">
        <f t="shared" si="12"/>
        <v>1.50101E8</v>
      </c>
    </row>
    <row r="253" spans="8:8" ht="15.75">
      <c r="A253" s="14" t="s">
        <v>263</v>
      </c>
      <c r="B253" s="104" t="s">
        <v>196</v>
      </c>
      <c r="C253" s="97">
        <v>0.01</v>
      </c>
      <c r="D253" s="97">
        <v>1109.0</v>
      </c>
      <c r="E253" s="92">
        <v>30.0</v>
      </c>
      <c r="F253" s="92">
        <v>15.0</v>
      </c>
      <c r="G253" s="92">
        <f t="shared" si="11"/>
        <v>1154.01</v>
      </c>
      <c r="H253" s="93">
        <f t="shared" si="12"/>
        <v>1.15401E8</v>
      </c>
    </row>
    <row r="254" spans="8:8" ht="15.75">
      <c r="A254" s="14" t="s">
        <v>264</v>
      </c>
      <c r="B254" s="104" t="s">
        <v>196</v>
      </c>
      <c r="C254" s="97">
        <v>0.01</v>
      </c>
      <c r="D254" s="97">
        <v>1096.0</v>
      </c>
      <c r="E254" s="92">
        <v>30.0</v>
      </c>
      <c r="F254" s="92">
        <v>15.0</v>
      </c>
      <c r="G254" s="92">
        <f t="shared" si="11"/>
        <v>1141.01</v>
      </c>
      <c r="H254" s="93">
        <f t="shared" si="12"/>
        <v>1.14101E8</v>
      </c>
    </row>
    <row r="255" spans="8:8" ht="15.75">
      <c r="A255" s="14" t="s">
        <v>265</v>
      </c>
      <c r="B255" s="104" t="s">
        <v>196</v>
      </c>
      <c r="C255" s="97">
        <v>0.01</v>
      </c>
      <c r="D255" s="97">
        <v>1109.0</v>
      </c>
      <c r="E255" s="92">
        <v>30.0</v>
      </c>
      <c r="F255" s="92">
        <v>15.0</v>
      </c>
      <c r="G255" s="92">
        <f t="shared" si="11"/>
        <v>1154.01</v>
      </c>
      <c r="H255" s="93">
        <f t="shared" si="12"/>
        <v>1.15401E8</v>
      </c>
    </row>
    <row r="256" spans="8:8" ht="15.75">
      <c r="A256" s="14" t="s">
        <v>266</v>
      </c>
      <c r="B256" s="104" t="s">
        <v>196</v>
      </c>
      <c r="C256" s="97">
        <v>0.01</v>
      </c>
      <c r="D256" s="97">
        <v>1109.0</v>
      </c>
      <c r="E256" s="92">
        <v>30.0</v>
      </c>
      <c r="F256" s="92">
        <v>15.0</v>
      </c>
      <c r="G256" s="92">
        <f t="shared" si="11"/>
        <v>1154.01</v>
      </c>
      <c r="H256" s="93">
        <f t="shared" si="12"/>
        <v>1.15401E8</v>
      </c>
    </row>
    <row r="257" spans="8:8" ht="15.75">
      <c r="A257" s="14" t="s">
        <v>267</v>
      </c>
      <c r="B257" s="104" t="s">
        <v>196</v>
      </c>
      <c r="C257" s="97">
        <v>0.01</v>
      </c>
      <c r="D257" s="97">
        <v>1109.0</v>
      </c>
      <c r="E257" s="92">
        <v>30.0</v>
      </c>
      <c r="F257" s="92">
        <v>15.0</v>
      </c>
      <c r="G257" s="92">
        <f t="shared" si="11"/>
        <v>1154.01</v>
      </c>
      <c r="H257" s="93">
        <f t="shared" si="12"/>
        <v>1.15401E8</v>
      </c>
    </row>
    <row r="258" spans="8:8" ht="15.75">
      <c r="A258" s="14" t="s">
        <v>268</v>
      </c>
      <c r="B258" s="104" t="s">
        <v>196</v>
      </c>
      <c r="C258" s="97">
        <v>0.01</v>
      </c>
      <c r="D258" s="97">
        <v>1109.0</v>
      </c>
      <c r="E258" s="92">
        <v>30.0</v>
      </c>
      <c r="F258" s="92">
        <v>15.0</v>
      </c>
      <c r="G258" s="92">
        <f t="shared" si="11"/>
        <v>1154.01</v>
      </c>
      <c r="H258" s="93">
        <f t="shared" si="12"/>
        <v>1.15401E8</v>
      </c>
    </row>
    <row r="259" spans="8:8" ht="15.75">
      <c r="A259" s="14" t="s">
        <v>269</v>
      </c>
      <c r="B259" s="104" t="s">
        <v>196</v>
      </c>
      <c r="C259" s="97">
        <v>0.01</v>
      </c>
      <c r="D259" s="97">
        <v>1093.0</v>
      </c>
      <c r="E259" s="92">
        <v>30.0</v>
      </c>
      <c r="F259" s="92">
        <v>15.0</v>
      </c>
      <c r="G259" s="92">
        <f t="shared" si="11"/>
        <v>1138.01</v>
      </c>
      <c r="H259" s="93">
        <f t="shared" si="12"/>
        <v>1.13801E8</v>
      </c>
    </row>
    <row r="260" spans="8:8" ht="15.75">
      <c r="A260" s="14" t="s">
        <v>270</v>
      </c>
      <c r="B260" s="104" t="s">
        <v>196</v>
      </c>
      <c r="C260" s="97">
        <v>0.01</v>
      </c>
      <c r="D260" s="97">
        <v>1109.0</v>
      </c>
      <c r="E260" s="92">
        <v>30.0</v>
      </c>
      <c r="F260" s="92">
        <v>15.0</v>
      </c>
      <c r="G260" s="92">
        <f t="shared" si="11"/>
        <v>1154.01</v>
      </c>
      <c r="H260" s="93">
        <f t="shared" si="12"/>
        <v>1.15401E8</v>
      </c>
    </row>
    <row r="261" spans="8:8" ht="15.75">
      <c r="A261" s="14" t="s">
        <v>271</v>
      </c>
      <c r="B261" s="104" t="s">
        <v>196</v>
      </c>
      <c r="C261" s="97">
        <v>0.01</v>
      </c>
      <c r="D261" s="97">
        <v>1109.0</v>
      </c>
      <c r="E261" s="92">
        <v>30.0</v>
      </c>
      <c r="F261" s="92">
        <v>15.0</v>
      </c>
      <c r="G261" s="92">
        <f t="shared" si="11"/>
        <v>1154.01</v>
      </c>
      <c r="H261" s="93">
        <f t="shared" si="12"/>
        <v>1.15401E8</v>
      </c>
    </row>
    <row r="262" spans="8:8" ht="15.75">
      <c r="A262" s="14" t="s">
        <v>272</v>
      </c>
      <c r="B262" s="104" t="s">
        <v>196</v>
      </c>
      <c r="C262" s="97">
        <v>0.01</v>
      </c>
      <c r="D262" s="97">
        <v>1109.0</v>
      </c>
      <c r="E262" s="92">
        <v>30.0</v>
      </c>
      <c r="F262" s="92">
        <v>15.0</v>
      </c>
      <c r="G262" s="92">
        <f t="shared" si="11"/>
        <v>1154.01</v>
      </c>
      <c r="H262" s="93">
        <f t="shared" si="12"/>
        <v>1.15401E8</v>
      </c>
    </row>
    <row r="263" spans="8:8" ht="15.75">
      <c r="A263" s="14" t="s">
        <v>273</v>
      </c>
      <c r="B263" s="104" t="s">
        <v>196</v>
      </c>
      <c r="C263" s="97">
        <v>0.01</v>
      </c>
      <c r="D263" s="97">
        <v>1096.0</v>
      </c>
      <c r="E263" s="92">
        <v>30.0</v>
      </c>
      <c r="F263" s="92">
        <v>15.0</v>
      </c>
      <c r="G263" s="92">
        <f t="shared" si="11"/>
        <v>1141.01</v>
      </c>
      <c r="H263" s="93">
        <f t="shared" si="12"/>
        <v>1.14101E8</v>
      </c>
    </row>
    <row r="264" spans="8:8" ht="15.75">
      <c r="A264" s="14" t="s">
        <v>274</v>
      </c>
      <c r="B264" s="104" t="s">
        <v>196</v>
      </c>
      <c r="C264" s="97">
        <v>0.01</v>
      </c>
      <c r="D264" s="97">
        <v>1109.0</v>
      </c>
      <c r="E264" s="92">
        <v>30.0</v>
      </c>
      <c r="F264" s="92">
        <v>15.0</v>
      </c>
      <c r="G264" s="92">
        <f t="shared" si="11"/>
        <v>1154.01</v>
      </c>
      <c r="H264" s="93">
        <f t="shared" si="12"/>
        <v>1.15401E8</v>
      </c>
    </row>
    <row r="265" spans="8:8" ht="15.75">
      <c r="A265" s="14" t="s">
        <v>275</v>
      </c>
      <c r="B265" s="104" t="s">
        <v>196</v>
      </c>
      <c r="C265" s="97">
        <v>0.01</v>
      </c>
      <c r="D265" s="97">
        <v>1109.0</v>
      </c>
      <c r="E265" s="92">
        <v>30.0</v>
      </c>
      <c r="F265" s="92">
        <v>15.0</v>
      </c>
      <c r="G265" s="92">
        <f t="shared" si="11"/>
        <v>1154.01</v>
      </c>
      <c r="H265" s="93">
        <f t="shared" si="12"/>
        <v>1.15401E8</v>
      </c>
    </row>
    <row r="266" spans="8:8" ht="15.75">
      <c r="A266" s="14" t="s">
        <v>276</v>
      </c>
      <c r="B266" s="104" t="s">
        <v>196</v>
      </c>
      <c r="C266" s="97">
        <v>0.01</v>
      </c>
      <c r="D266" s="97">
        <v>1096.0</v>
      </c>
      <c r="E266" s="92">
        <v>30.0</v>
      </c>
      <c r="F266" s="92">
        <v>15.0</v>
      </c>
      <c r="G266" s="92">
        <f t="shared" si="11"/>
        <v>1141.01</v>
      </c>
      <c r="H266" s="93">
        <f t="shared" si="12"/>
        <v>1.14101E8</v>
      </c>
    </row>
    <row r="267" spans="8:8" ht="15.75">
      <c r="A267" s="14" t="s">
        <v>277</v>
      </c>
      <c r="B267" s="104" t="s">
        <v>196</v>
      </c>
      <c r="C267" s="97">
        <v>0.01</v>
      </c>
      <c r="D267" s="97">
        <v>1109.0</v>
      </c>
      <c r="E267" s="92">
        <v>30.0</v>
      </c>
      <c r="F267" s="92">
        <v>15.0</v>
      </c>
      <c r="G267" s="92">
        <f t="shared" si="11"/>
        <v>1154.01</v>
      </c>
      <c r="H267" s="93">
        <f t="shared" si="12"/>
        <v>1.15401E8</v>
      </c>
    </row>
    <row r="268" spans="8:8" ht="15.75">
      <c r="A268" s="14" t="s">
        <v>278</v>
      </c>
      <c r="B268" s="104" t="s">
        <v>196</v>
      </c>
      <c r="C268" s="97">
        <v>0.01</v>
      </c>
      <c r="D268" s="97">
        <v>1864.0</v>
      </c>
      <c r="E268" s="92">
        <v>30.0</v>
      </c>
      <c r="F268" s="92">
        <v>15.0</v>
      </c>
      <c r="G268" s="92">
        <f t="shared" si="11"/>
        <v>1909.01</v>
      </c>
      <c r="H268" s="93">
        <f t="shared" si="12"/>
        <v>1.90901E8</v>
      </c>
    </row>
    <row r="269" spans="8:8" ht="15.75">
      <c r="A269" s="14" t="s">
        <v>279</v>
      </c>
      <c r="B269" s="104" t="s">
        <v>196</v>
      </c>
      <c r="C269" s="97">
        <v>0.01</v>
      </c>
      <c r="D269" s="97">
        <v>1877.0</v>
      </c>
      <c r="E269" s="92">
        <v>30.0</v>
      </c>
      <c r="F269" s="92">
        <v>15.0</v>
      </c>
      <c r="G269" s="92">
        <f t="shared" si="11"/>
        <v>1922.01</v>
      </c>
      <c r="H269" s="93">
        <f t="shared" si="12"/>
        <v>1.92201E8</v>
      </c>
    </row>
    <row r="270" spans="8:8" ht="15.75">
      <c r="A270" s="14" t="s">
        <v>280</v>
      </c>
      <c r="B270" s="104" t="s">
        <v>196</v>
      </c>
      <c r="C270" s="97">
        <v>279.0</v>
      </c>
      <c r="D270" s="97">
        <v>1102.0</v>
      </c>
      <c r="E270" s="92">
        <v>30.0</v>
      </c>
      <c r="F270" s="92">
        <v>15.0</v>
      </c>
      <c r="G270" s="92">
        <f t="shared" si="11"/>
        <v>1426.0</v>
      </c>
      <c r="H270" s="93">
        <f t="shared" si="12"/>
        <v>1.426E8</v>
      </c>
    </row>
    <row r="271" spans="8:8" ht="15.75">
      <c r="A271" s="14" t="s">
        <v>281</v>
      </c>
      <c r="B271" s="104" t="s">
        <v>282</v>
      </c>
      <c r="C271" s="97">
        <v>450.0</v>
      </c>
      <c r="D271" s="101">
        <v>0.0</v>
      </c>
      <c r="E271" s="75"/>
      <c r="F271" s="75"/>
      <c r="G271" s="92">
        <f t="shared" si="13" ref="G271:G280">(C271+D271+E271+F271)</f>
        <v>450.0</v>
      </c>
      <c r="H271" s="93">
        <f t="shared" si="12"/>
        <v>4.5E7</v>
      </c>
    </row>
    <row r="272" spans="8:8" ht="15.75">
      <c r="A272" s="14" t="s">
        <v>283</v>
      </c>
      <c r="B272" s="104" t="s">
        <v>282</v>
      </c>
      <c r="C272" s="97">
        <v>450.0</v>
      </c>
      <c r="D272" s="101">
        <v>0.0</v>
      </c>
      <c r="E272" s="75"/>
      <c r="F272" s="75"/>
      <c r="G272" s="92">
        <f t="shared" si="13"/>
        <v>450.0</v>
      </c>
      <c r="H272" s="93">
        <f t="shared" si="12"/>
        <v>4.5E7</v>
      </c>
    </row>
    <row r="273" spans="8:8" ht="15.75">
      <c r="A273" s="14" t="s">
        <v>284</v>
      </c>
      <c r="B273" s="105" t="s">
        <v>285</v>
      </c>
      <c r="C273" s="96">
        <v>20.0</v>
      </c>
      <c r="D273" s="101">
        <v>0.0</v>
      </c>
      <c r="E273" s="75"/>
      <c r="F273" s="75"/>
      <c r="G273" s="92">
        <f t="shared" si="13"/>
        <v>20.0</v>
      </c>
      <c r="H273" s="93">
        <f t="shared" si="12"/>
        <v>2000000.0</v>
      </c>
    </row>
    <row r="274" spans="8:8" ht="15.75">
      <c r="A274" s="14" t="s">
        <v>286</v>
      </c>
      <c r="B274" s="105" t="s">
        <v>285</v>
      </c>
      <c r="C274" s="96">
        <v>50.0</v>
      </c>
      <c r="D274" s="101">
        <v>0.0</v>
      </c>
      <c r="E274" s="75"/>
      <c r="F274" s="75"/>
      <c r="G274" s="92">
        <f t="shared" si="13"/>
        <v>50.0</v>
      </c>
      <c r="H274" s="93">
        <f t="shared" si="12"/>
        <v>5000000.0</v>
      </c>
    </row>
    <row r="275" spans="8:8" ht="15.75">
      <c r="A275" s="14" t="s">
        <v>4</v>
      </c>
      <c r="B275" s="105" t="s">
        <v>285</v>
      </c>
      <c r="C275" s="96">
        <v>30.0</v>
      </c>
      <c r="D275" s="101">
        <v>0.0</v>
      </c>
      <c r="E275" s="75"/>
      <c r="F275" s="75"/>
      <c r="G275" s="92">
        <f t="shared" si="13"/>
        <v>30.0</v>
      </c>
      <c r="H275" s="93">
        <f t="shared" si="12"/>
        <v>3000000.0</v>
      </c>
    </row>
    <row r="276" spans="8:8" ht="15.75">
      <c r="A276" s="14" t="s">
        <v>287</v>
      </c>
      <c r="B276" s="105" t="s">
        <v>285</v>
      </c>
      <c r="C276" s="96">
        <v>50.0</v>
      </c>
      <c r="D276" s="101">
        <v>0.0</v>
      </c>
      <c r="E276" s="75"/>
      <c r="F276" s="75"/>
      <c r="G276" s="92">
        <f t="shared" si="13"/>
        <v>50.0</v>
      </c>
      <c r="H276" s="93">
        <f t="shared" si="12"/>
        <v>5000000.0</v>
      </c>
    </row>
    <row r="277" spans="8:8" ht="15.75">
      <c r="A277" s="14" t="s">
        <v>5</v>
      </c>
      <c r="B277" s="105" t="s">
        <v>285</v>
      </c>
      <c r="C277" s="96">
        <v>15.0</v>
      </c>
      <c r="D277" s="101">
        <v>0.0</v>
      </c>
      <c r="E277" s="75"/>
      <c r="F277" s="75"/>
      <c r="G277" s="92">
        <f t="shared" si="13"/>
        <v>15.0</v>
      </c>
      <c r="H277" s="93">
        <f t="shared" si="12"/>
        <v>1500000.0</v>
      </c>
    </row>
    <row r="278" spans="8:8" ht="15.75">
      <c r="A278" s="14" t="s">
        <v>288</v>
      </c>
      <c r="B278" s="105" t="s">
        <v>285</v>
      </c>
      <c r="C278" s="96">
        <v>164.0</v>
      </c>
      <c r="D278" s="101">
        <v>0.0</v>
      </c>
      <c r="E278" s="75"/>
      <c r="F278" s="75"/>
      <c r="G278" s="92">
        <f t="shared" si="13"/>
        <v>164.0</v>
      </c>
      <c r="H278" s="93">
        <f t="shared" si="12"/>
        <v>1.64E7</v>
      </c>
    </row>
    <row r="279" spans="8:8" ht="15.75">
      <c r="A279" s="14" t="s">
        <v>289</v>
      </c>
      <c r="B279" s="105" t="s">
        <v>290</v>
      </c>
      <c r="C279" s="97">
        <v>0.01</v>
      </c>
      <c r="D279" s="97">
        <v>329.0</v>
      </c>
      <c r="E279" s="92">
        <v>30.0</v>
      </c>
      <c r="F279" s="92">
        <v>15.0</v>
      </c>
      <c r="G279" s="98">
        <f t="shared" si="13"/>
        <v>374.01</v>
      </c>
      <c r="H279" s="93">
        <f t="shared" si="12"/>
        <v>3.7401E7</v>
      </c>
    </row>
    <row r="280" spans="8:8" ht="15.75">
      <c r="A280" s="106" t="s">
        <v>291</v>
      </c>
      <c r="B280" s="107" t="s">
        <v>290</v>
      </c>
      <c r="C280" s="108">
        <v>125.0</v>
      </c>
      <c r="D280" s="108">
        <v>78.0</v>
      </c>
      <c r="E280" s="98">
        <v>30.0</v>
      </c>
      <c r="F280" s="98">
        <v>15.0</v>
      </c>
      <c r="G280" s="99">
        <f t="shared" si="13"/>
        <v>248.0</v>
      </c>
      <c r="H280" s="109">
        <f t="shared" si="12"/>
        <v>2.48E7</v>
      </c>
    </row>
  </sheetData>
  <pageMargins left="0.46" right="0.16" top="0.41" bottom="0.39" header="0.26" footer="0.16"/>
</worksheet>
</file>

<file path=xl/worksheets/sheet6.xml><?xml version="1.0" encoding="utf-8"?>
<worksheet xmlns:r="http://schemas.openxmlformats.org/officeDocument/2006/relationships" xmlns="http://schemas.openxmlformats.org/spreadsheetml/2006/main">
  <dimension ref="A1:I280"/>
  <sheetViews>
    <sheetView workbookViewId="0">
      <pane ySplit="1" topLeftCell="A74" state="frozen" activePane="bottomLeft"/>
      <selection pane="bottomLeft" activeCell="A89" sqref="A89"/>
    </sheetView>
  </sheetViews>
  <sheetFormatPr defaultRowHeight="15.0" defaultColWidth="10"/>
  <cols>
    <col min="1" max="1" customWidth="1" width="49.710938" style="73"/>
    <col min="2" max="2" customWidth="1" width="12.425781" style="0"/>
    <col min="3" max="3" hidden="1" customWidth="1" width="0.140625" style="74"/>
    <col min="4" max="4" hidden="1" customWidth="1" width="15.285156" style="74"/>
    <col min="5" max="5" hidden="1" customWidth="1" width="12.855469" style="74"/>
    <col min="6" max="6" hidden="1" customWidth="1" width="18.140625" style="74"/>
    <col min="7" max="7" customWidth="1" width="11.140625" style="75"/>
    <col min="8" max="8" customWidth="1" bestFit="1" width="15.285156" style="0"/>
    <col min="10" max="10" customWidth="1" width="14.285156" style="0"/>
  </cols>
  <sheetData>
    <row r="1" spans="8:8" ht="15.75">
      <c r="A1" s="110" t="s">
        <v>0</v>
      </c>
      <c r="B1" s="110" t="s">
        <v>1</v>
      </c>
      <c r="C1" s="78" t="s">
        <v>2</v>
      </c>
      <c r="D1" s="78" t="s">
        <v>3</v>
      </c>
      <c r="E1" s="78" t="s">
        <v>4</v>
      </c>
      <c r="F1" s="78" t="s">
        <v>5</v>
      </c>
      <c r="G1" s="79" t="s">
        <v>294</v>
      </c>
      <c r="H1" s="80" t="s">
        <v>295</v>
      </c>
    </row>
    <row r="2" spans="8:8" ht="15.75">
      <c r="A2" s="111" t="s">
        <v>7</v>
      </c>
      <c r="B2" s="112" t="s">
        <v>8</v>
      </c>
      <c r="C2" s="113">
        <v>0.01</v>
      </c>
      <c r="D2" s="113">
        <v>354.0</v>
      </c>
      <c r="E2" s="114">
        <v>8.63</v>
      </c>
      <c r="F2" s="114">
        <v>15.0</v>
      </c>
      <c r="G2" s="114">
        <f t="shared" si="0" ref="G2:G65">SUM(C2:F2)</f>
        <v>377.64</v>
      </c>
      <c r="H2" s="115">
        <f>G2*100000</f>
        <v>3.7764E7</v>
      </c>
    </row>
    <row r="3" spans="8:8" ht="16.5">
      <c r="A3" s="116" t="s">
        <v>9</v>
      </c>
      <c r="B3" s="117" t="s">
        <v>8</v>
      </c>
      <c r="C3" s="97">
        <v>0.01</v>
      </c>
      <c r="D3" s="97">
        <v>354.0</v>
      </c>
      <c r="E3" s="101">
        <v>8.63</v>
      </c>
      <c r="F3" s="101">
        <v>15.0</v>
      </c>
      <c r="G3" s="101">
        <f t="shared" si="0"/>
        <v>377.64</v>
      </c>
      <c r="H3" s="118">
        <f t="shared" si="1" ref="H3:H66">G3*100000</f>
        <v>3.7764E7</v>
      </c>
    </row>
    <row r="4" spans="8:8" ht="15.75">
      <c r="A4" s="116" t="s">
        <v>10</v>
      </c>
      <c r="B4" s="117" t="s">
        <v>8</v>
      </c>
      <c r="C4" s="97">
        <v>0.01</v>
      </c>
      <c r="D4" s="97">
        <v>354.0</v>
      </c>
      <c r="E4" s="92">
        <v>8.63</v>
      </c>
      <c r="F4" s="92">
        <v>15.0</v>
      </c>
      <c r="G4" s="114">
        <f t="shared" si="0"/>
        <v>377.64</v>
      </c>
      <c r="H4" s="93">
        <f t="shared" si="1"/>
        <v>3.7764E7</v>
      </c>
    </row>
    <row r="5" spans="8:8" ht="16.5">
      <c r="A5" s="116" t="s">
        <v>11</v>
      </c>
      <c r="B5" s="117" t="s">
        <v>8</v>
      </c>
      <c r="C5" s="100">
        <v>0.01</v>
      </c>
      <c r="D5" s="100">
        <v>299.0</v>
      </c>
      <c r="E5" s="92">
        <v>8.63</v>
      </c>
      <c r="F5" s="92">
        <v>15.0</v>
      </c>
      <c r="G5" s="101">
        <f t="shared" si="0"/>
        <v>322.64</v>
      </c>
      <c r="H5" s="93">
        <f t="shared" si="1"/>
        <v>3.2264E7</v>
      </c>
    </row>
    <row r="6" spans="8:8" ht="15.75">
      <c r="A6" s="111" t="s">
        <v>299</v>
      </c>
      <c r="B6" s="119" t="s">
        <v>13</v>
      </c>
      <c r="C6" s="113">
        <v>210.0</v>
      </c>
      <c r="D6" s="113">
        <v>126.0</v>
      </c>
      <c r="E6" s="114">
        <v>8.63</v>
      </c>
      <c r="F6" s="114">
        <v>15.0</v>
      </c>
      <c r="G6" s="114">
        <f t="shared" si="0"/>
        <v>359.63</v>
      </c>
      <c r="H6" s="115">
        <f t="shared" si="1"/>
        <v>3.5963E7</v>
      </c>
    </row>
    <row r="7" spans="8:8" ht="16.5">
      <c r="A7" s="120" t="s">
        <v>14</v>
      </c>
      <c r="B7" s="121" t="s">
        <v>13</v>
      </c>
      <c r="C7" s="122">
        <v>420.0</v>
      </c>
      <c r="D7" s="122">
        <v>156.0</v>
      </c>
      <c r="E7" s="123">
        <v>8.63</v>
      </c>
      <c r="F7" s="123">
        <v>15.0</v>
      </c>
      <c r="G7" s="101">
        <f t="shared" si="0"/>
        <v>599.63</v>
      </c>
      <c r="H7" s="124">
        <f t="shared" si="1"/>
        <v>5.9963E7</v>
      </c>
    </row>
    <row r="8" spans="8:8" ht="16.5">
      <c r="A8" s="116" t="s">
        <v>15</v>
      </c>
      <c r="B8" s="117" t="s">
        <v>13</v>
      </c>
      <c r="C8" s="97">
        <v>178.0</v>
      </c>
      <c r="D8" s="97">
        <v>126.0</v>
      </c>
      <c r="E8" s="101">
        <v>8.63</v>
      </c>
      <c r="F8" s="101">
        <v>15.0</v>
      </c>
      <c r="G8" s="114">
        <f t="shared" si="0"/>
        <v>327.63</v>
      </c>
      <c r="H8" s="118">
        <f t="shared" si="1"/>
        <v>3.2763E7</v>
      </c>
    </row>
    <row r="9" spans="8:8" ht="16.5">
      <c r="A9" s="111" t="s">
        <v>16</v>
      </c>
      <c r="B9" s="119" t="s">
        <v>13</v>
      </c>
      <c r="C9" s="113">
        <v>226.0</v>
      </c>
      <c r="D9" s="113">
        <v>126.0</v>
      </c>
      <c r="E9" s="114">
        <v>8.63</v>
      </c>
      <c r="F9" s="114">
        <v>15.0</v>
      </c>
      <c r="G9" s="101">
        <f t="shared" si="0"/>
        <v>375.63</v>
      </c>
      <c r="H9" s="115">
        <f t="shared" si="1"/>
        <v>3.7563E7</v>
      </c>
    </row>
    <row r="10" spans="8:8" ht="16.5">
      <c r="A10" s="116" t="s">
        <v>17</v>
      </c>
      <c r="B10" s="117" t="s">
        <v>13</v>
      </c>
      <c r="C10" s="97">
        <v>787.0</v>
      </c>
      <c r="D10" s="97">
        <v>288.0</v>
      </c>
      <c r="E10" s="101">
        <v>8.63</v>
      </c>
      <c r="F10" s="101">
        <v>15.0</v>
      </c>
      <c r="G10" s="114">
        <f t="shared" si="0"/>
        <v>1098.63</v>
      </c>
      <c r="H10" s="118">
        <f t="shared" si="1"/>
        <v>1.0986300000000001E8</v>
      </c>
    </row>
    <row r="11" spans="8:8" ht="16.5">
      <c r="A11" s="116" t="s">
        <v>18</v>
      </c>
      <c r="B11" s="117" t="s">
        <v>13</v>
      </c>
      <c r="C11" s="97">
        <v>417.0</v>
      </c>
      <c r="D11" s="97">
        <v>288.0</v>
      </c>
      <c r="E11" s="92">
        <v>8.63</v>
      </c>
      <c r="F11" s="92">
        <v>15.0</v>
      </c>
      <c r="G11" s="101">
        <f t="shared" si="0"/>
        <v>728.63</v>
      </c>
      <c r="H11" s="93">
        <f t="shared" si="1"/>
        <v>7.2863E7</v>
      </c>
    </row>
    <row r="12" spans="8:8" ht="15.75">
      <c r="A12" s="116" t="s">
        <v>19</v>
      </c>
      <c r="B12" s="117" t="s">
        <v>13</v>
      </c>
      <c r="C12" s="97">
        <v>201.0</v>
      </c>
      <c r="D12" s="97">
        <v>288.0</v>
      </c>
      <c r="E12" s="92">
        <v>8.63</v>
      </c>
      <c r="F12" s="92">
        <v>15.0</v>
      </c>
      <c r="G12" s="114">
        <f t="shared" si="0"/>
        <v>512.63</v>
      </c>
      <c r="H12" s="93">
        <f t="shared" si="1"/>
        <v>5.1263E7</v>
      </c>
    </row>
    <row r="13" spans="8:8" ht="16.5">
      <c r="A13" s="111" t="s">
        <v>20</v>
      </c>
      <c r="B13" s="119" t="s">
        <v>13</v>
      </c>
      <c r="C13" s="113">
        <v>219.0</v>
      </c>
      <c r="D13" s="113">
        <v>318.0</v>
      </c>
      <c r="E13" s="114">
        <v>8.63</v>
      </c>
      <c r="F13" s="114">
        <v>15.0</v>
      </c>
      <c r="G13" s="101">
        <f t="shared" si="0"/>
        <v>560.63</v>
      </c>
      <c r="H13" s="115">
        <f t="shared" si="1"/>
        <v>5.6063E7</v>
      </c>
    </row>
    <row r="14" spans="8:8" ht="16.5">
      <c r="A14" s="125" t="s">
        <v>21</v>
      </c>
      <c r="B14" s="126" t="s">
        <v>13</v>
      </c>
      <c r="C14" s="96">
        <v>219.0</v>
      </c>
      <c r="D14" s="96">
        <v>636.0</v>
      </c>
      <c r="E14" s="101">
        <v>8.63</v>
      </c>
      <c r="F14" s="101">
        <v>15.0</v>
      </c>
      <c r="G14" s="114">
        <f t="shared" si="0"/>
        <v>878.63</v>
      </c>
      <c r="H14" s="118">
        <f t="shared" si="1"/>
        <v>8.7863E7</v>
      </c>
    </row>
    <row r="15" spans="8:8" ht="16.5">
      <c r="A15" s="125" t="s">
        <v>22</v>
      </c>
      <c r="B15" s="126" t="s">
        <v>13</v>
      </c>
      <c r="C15" s="96">
        <v>219.0</v>
      </c>
      <c r="D15" s="96">
        <v>300.0</v>
      </c>
      <c r="E15" s="92">
        <v>8.63</v>
      </c>
      <c r="F15" s="92">
        <v>15.0</v>
      </c>
      <c r="G15" s="101">
        <f t="shared" si="0"/>
        <v>542.63</v>
      </c>
      <c r="H15" s="93">
        <f t="shared" si="1"/>
        <v>5.4263E7</v>
      </c>
    </row>
    <row r="16" spans="8:8" ht="15.75">
      <c r="A16" s="127" t="s">
        <v>297</v>
      </c>
      <c r="B16" s="128" t="s">
        <v>13</v>
      </c>
      <c r="C16" s="129">
        <v>219.0</v>
      </c>
      <c r="D16" s="129">
        <v>600.0</v>
      </c>
      <c r="E16" s="114">
        <v>8.63</v>
      </c>
      <c r="F16" s="114">
        <v>15.0</v>
      </c>
      <c r="G16" s="114">
        <f t="shared" si="0"/>
        <v>842.63</v>
      </c>
      <c r="H16" s="115">
        <f t="shared" si="1"/>
        <v>8.4263E7</v>
      </c>
    </row>
    <row r="17" spans="8:8" ht="16.5">
      <c r="A17" s="116" t="s">
        <v>24</v>
      </c>
      <c r="B17" s="117" t="s">
        <v>13</v>
      </c>
      <c r="C17" s="97">
        <v>195.0</v>
      </c>
      <c r="D17" s="97">
        <v>288.0</v>
      </c>
      <c r="E17" s="101">
        <v>8.63</v>
      </c>
      <c r="F17" s="101">
        <v>15.0</v>
      </c>
      <c r="G17" s="101">
        <f t="shared" si="0"/>
        <v>506.63</v>
      </c>
      <c r="H17" s="118">
        <f t="shared" si="1"/>
        <v>5.0663E7</v>
      </c>
    </row>
    <row r="18" spans="8:8" ht="15.75">
      <c r="A18" s="116" t="s">
        <v>25</v>
      </c>
      <c r="B18" s="117" t="s">
        <v>13</v>
      </c>
      <c r="C18" s="97">
        <v>182.0</v>
      </c>
      <c r="D18" s="97">
        <v>288.0</v>
      </c>
      <c r="E18" s="92">
        <v>8.63</v>
      </c>
      <c r="F18" s="92">
        <v>15.0</v>
      </c>
      <c r="G18" s="114">
        <f t="shared" si="0"/>
        <v>493.63</v>
      </c>
      <c r="H18" s="93">
        <f t="shared" si="1"/>
        <v>4.9363E7</v>
      </c>
    </row>
    <row r="19" spans="8:8" ht="16.5">
      <c r="A19" s="116" t="s">
        <v>26</v>
      </c>
      <c r="B19" s="117" t="s">
        <v>13</v>
      </c>
      <c r="C19" s="97">
        <v>268.0</v>
      </c>
      <c r="D19" s="97">
        <v>300.0</v>
      </c>
      <c r="E19" s="92">
        <v>8.63</v>
      </c>
      <c r="F19" s="92">
        <v>15.0</v>
      </c>
      <c r="G19" s="101">
        <f t="shared" si="0"/>
        <v>591.63</v>
      </c>
      <c r="H19" s="93">
        <f t="shared" si="1"/>
        <v>5.9163E7</v>
      </c>
    </row>
    <row r="20" spans="8:8" ht="15.75">
      <c r="A20" s="116" t="s">
        <v>27</v>
      </c>
      <c r="B20" s="117" t="s">
        <v>13</v>
      </c>
      <c r="C20" s="97">
        <v>195.0</v>
      </c>
      <c r="D20" s="97">
        <v>300.0</v>
      </c>
      <c r="E20" s="92">
        <v>8.63</v>
      </c>
      <c r="F20" s="92">
        <v>15.0</v>
      </c>
      <c r="G20" s="114">
        <f t="shared" si="0"/>
        <v>518.63</v>
      </c>
      <c r="H20" s="93">
        <f t="shared" si="1"/>
        <v>5.1863E7</v>
      </c>
    </row>
    <row r="21" spans="8:8" ht="16.5">
      <c r="A21" s="111" t="s">
        <v>28</v>
      </c>
      <c r="B21" s="119" t="s">
        <v>13</v>
      </c>
      <c r="C21" s="113">
        <v>268.0</v>
      </c>
      <c r="D21" s="113">
        <v>288.0</v>
      </c>
      <c r="E21" s="114">
        <v>8.63</v>
      </c>
      <c r="F21" s="114">
        <v>15.0</v>
      </c>
      <c r="G21" s="101">
        <f t="shared" si="0"/>
        <v>579.63</v>
      </c>
      <c r="H21" s="115">
        <f t="shared" si="1"/>
        <v>5.7963E7</v>
      </c>
    </row>
    <row r="22" spans="8:8" ht="16.5">
      <c r="A22" s="111" t="s">
        <v>29</v>
      </c>
      <c r="B22" s="119" t="s">
        <v>13</v>
      </c>
      <c r="C22" s="113">
        <v>243.0</v>
      </c>
      <c r="D22" s="113">
        <v>300.0</v>
      </c>
      <c r="E22" s="130">
        <v>8.63</v>
      </c>
      <c r="F22" s="130">
        <v>15.0</v>
      </c>
      <c r="G22" s="114">
        <f t="shared" si="0"/>
        <v>566.63</v>
      </c>
      <c r="H22" s="131">
        <f t="shared" si="1"/>
        <v>5.6663E7</v>
      </c>
    </row>
    <row r="23" spans="8:8" ht="16.5">
      <c r="A23" s="120" t="s">
        <v>30</v>
      </c>
      <c r="B23" s="121" t="s">
        <v>13</v>
      </c>
      <c r="C23" s="122">
        <v>182.0</v>
      </c>
      <c r="D23" s="122">
        <v>300.0</v>
      </c>
      <c r="E23" s="123">
        <v>8.63</v>
      </c>
      <c r="F23" s="123">
        <v>15.0</v>
      </c>
      <c r="G23" s="101">
        <f t="shared" si="0"/>
        <v>505.63</v>
      </c>
      <c r="H23" s="124">
        <f t="shared" si="1"/>
        <v>5.0563E7</v>
      </c>
    </row>
    <row r="24" spans="8:8" ht="16.5">
      <c r="A24" s="111" t="s">
        <v>31</v>
      </c>
      <c r="B24" s="119" t="s">
        <v>13</v>
      </c>
      <c r="C24" s="113">
        <v>182.0</v>
      </c>
      <c r="D24" s="113">
        <v>288.0</v>
      </c>
      <c r="E24" s="130">
        <v>8.63</v>
      </c>
      <c r="F24" s="130">
        <v>15.0</v>
      </c>
      <c r="G24" s="114">
        <f t="shared" si="0"/>
        <v>493.63</v>
      </c>
      <c r="H24" s="131">
        <f t="shared" si="1"/>
        <v>4.9363E7</v>
      </c>
    </row>
    <row r="25" spans="8:8" ht="16.5">
      <c r="A25" s="116" t="s">
        <v>32</v>
      </c>
      <c r="B25" s="117" t="s">
        <v>13</v>
      </c>
      <c r="C25" s="97">
        <v>329.0</v>
      </c>
      <c r="D25" s="97">
        <v>300.0</v>
      </c>
      <c r="E25" s="101">
        <v>8.63</v>
      </c>
      <c r="F25" s="101">
        <v>15.0</v>
      </c>
      <c r="G25" s="101">
        <f t="shared" si="0"/>
        <v>652.63</v>
      </c>
      <c r="H25" s="118">
        <f t="shared" si="1"/>
        <v>6.5263E7</v>
      </c>
    </row>
    <row r="26" spans="8:8" ht="15.75">
      <c r="A26" s="116" t="s">
        <v>33</v>
      </c>
      <c r="B26" s="117" t="s">
        <v>13</v>
      </c>
      <c r="C26" s="97">
        <v>329.0</v>
      </c>
      <c r="D26" s="97">
        <v>300.0</v>
      </c>
      <c r="E26" s="92">
        <v>8.63</v>
      </c>
      <c r="F26" s="92">
        <v>15.0</v>
      </c>
      <c r="G26" s="114">
        <f t="shared" si="0"/>
        <v>652.63</v>
      </c>
      <c r="H26" s="93">
        <f t="shared" si="1"/>
        <v>6.5263E7</v>
      </c>
    </row>
    <row r="27" spans="8:8" ht="16.5">
      <c r="A27" s="116" t="s">
        <v>34</v>
      </c>
      <c r="B27" s="117" t="s">
        <v>13</v>
      </c>
      <c r="C27" s="97">
        <v>243.0</v>
      </c>
      <c r="D27" s="97">
        <v>300.0</v>
      </c>
      <c r="E27" s="92">
        <v>8.63</v>
      </c>
      <c r="F27" s="92">
        <v>15.0</v>
      </c>
      <c r="G27" s="101">
        <f t="shared" si="0"/>
        <v>566.63</v>
      </c>
      <c r="H27" s="93">
        <f t="shared" si="1"/>
        <v>5.6663E7</v>
      </c>
    </row>
    <row r="28" spans="8:8" ht="15.75">
      <c r="A28" s="116" t="s">
        <v>35</v>
      </c>
      <c r="B28" s="117" t="s">
        <v>13</v>
      </c>
      <c r="C28" s="97">
        <v>327.0</v>
      </c>
      <c r="D28" s="97">
        <v>288.0</v>
      </c>
      <c r="E28" s="92">
        <v>8.63</v>
      </c>
      <c r="F28" s="92">
        <v>15.0</v>
      </c>
      <c r="G28" s="114">
        <f t="shared" si="0"/>
        <v>638.63</v>
      </c>
      <c r="H28" s="93">
        <f t="shared" si="1"/>
        <v>6.3863E7</v>
      </c>
    </row>
    <row r="29" spans="8:8" ht="16.5">
      <c r="A29" s="116" t="s">
        <v>36</v>
      </c>
      <c r="B29" s="117" t="s">
        <v>13</v>
      </c>
      <c r="C29" s="97">
        <v>247.0</v>
      </c>
      <c r="D29" s="97">
        <v>300.0</v>
      </c>
      <c r="E29" s="92">
        <v>8.63</v>
      </c>
      <c r="F29" s="92">
        <v>15.0</v>
      </c>
      <c r="G29" s="101">
        <f t="shared" si="0"/>
        <v>570.63</v>
      </c>
      <c r="H29" s="93">
        <f t="shared" si="1"/>
        <v>5.7063E7</v>
      </c>
    </row>
    <row r="30" spans="8:8" ht="15.75">
      <c r="A30" s="111" t="s">
        <v>37</v>
      </c>
      <c r="B30" s="119" t="s">
        <v>13</v>
      </c>
      <c r="C30" s="113">
        <v>125.0</v>
      </c>
      <c r="D30" s="113">
        <v>288.0</v>
      </c>
      <c r="E30" s="114">
        <v>8.63</v>
      </c>
      <c r="F30" s="114">
        <v>15.0</v>
      </c>
      <c r="G30" s="114">
        <f t="shared" si="0"/>
        <v>436.63</v>
      </c>
      <c r="H30" s="115">
        <f t="shared" si="1"/>
        <v>4.3663E7</v>
      </c>
    </row>
    <row r="31" spans="8:8" ht="16.5">
      <c r="A31" s="116" t="s">
        <v>38</v>
      </c>
      <c r="B31" s="117" t="s">
        <v>13</v>
      </c>
      <c r="C31" s="97">
        <v>134.0</v>
      </c>
      <c r="D31" s="97">
        <v>288.0</v>
      </c>
      <c r="E31" s="101">
        <v>8.63</v>
      </c>
      <c r="F31" s="101">
        <v>15.0</v>
      </c>
      <c r="G31" s="101">
        <f t="shared" si="0"/>
        <v>445.63</v>
      </c>
      <c r="H31" s="118">
        <f t="shared" si="1"/>
        <v>4.4563E7</v>
      </c>
    </row>
    <row r="32" spans="8:8" ht="15.75">
      <c r="A32" s="111" t="s">
        <v>39</v>
      </c>
      <c r="B32" s="119" t="s">
        <v>13</v>
      </c>
      <c r="C32" s="113">
        <v>152.0</v>
      </c>
      <c r="D32" s="113">
        <v>300.0</v>
      </c>
      <c r="E32" s="114">
        <v>8.63</v>
      </c>
      <c r="F32" s="114">
        <v>15.0</v>
      </c>
      <c r="G32" s="114">
        <f t="shared" si="0"/>
        <v>475.63</v>
      </c>
      <c r="H32" s="115">
        <f t="shared" si="1"/>
        <v>4.7563E7</v>
      </c>
    </row>
    <row r="33" spans="8:8" ht="16.5">
      <c r="A33" s="116" t="s">
        <v>40</v>
      </c>
      <c r="B33" s="117" t="s">
        <v>13</v>
      </c>
      <c r="C33" s="97">
        <v>243.0</v>
      </c>
      <c r="D33" s="97">
        <v>288.0</v>
      </c>
      <c r="E33" s="101">
        <v>8.63</v>
      </c>
      <c r="F33" s="101">
        <v>15.0</v>
      </c>
      <c r="G33" s="101">
        <f t="shared" si="0"/>
        <v>554.63</v>
      </c>
      <c r="H33" s="118">
        <f t="shared" si="1"/>
        <v>5.5463E7</v>
      </c>
    </row>
    <row r="34" spans="8:8" ht="15.75">
      <c r="A34" s="111" t="s">
        <v>296</v>
      </c>
      <c r="B34" s="119" t="s">
        <v>13</v>
      </c>
      <c r="C34" s="113">
        <v>109.0</v>
      </c>
      <c r="D34" s="113">
        <v>288.0</v>
      </c>
      <c r="E34" s="114">
        <v>8.63</v>
      </c>
      <c r="F34" s="114">
        <v>15.0</v>
      </c>
      <c r="G34" s="114">
        <f t="shared" si="0"/>
        <v>420.63</v>
      </c>
      <c r="H34" s="115">
        <f t="shared" si="1"/>
        <v>4.2063E7</v>
      </c>
    </row>
    <row r="35" spans="8:8" ht="16.5">
      <c r="A35" s="111" t="s">
        <v>42</v>
      </c>
      <c r="B35" s="119" t="s">
        <v>13</v>
      </c>
      <c r="C35" s="113">
        <v>109.0</v>
      </c>
      <c r="D35" s="113">
        <v>288.0</v>
      </c>
      <c r="E35" s="130">
        <v>8.63</v>
      </c>
      <c r="F35" s="130">
        <v>15.0</v>
      </c>
      <c r="G35" s="101">
        <f t="shared" si="0"/>
        <v>420.63</v>
      </c>
      <c r="H35" s="131">
        <f t="shared" si="1"/>
        <v>4.2063E7</v>
      </c>
    </row>
    <row r="36" spans="8:8" ht="16.5">
      <c r="A36" s="116" t="s">
        <v>43</v>
      </c>
      <c r="B36" s="117" t="s">
        <v>13</v>
      </c>
      <c r="C36" s="97">
        <v>247.0</v>
      </c>
      <c r="D36" s="97">
        <v>288.0</v>
      </c>
      <c r="E36" s="101">
        <v>8.63</v>
      </c>
      <c r="F36" s="101">
        <v>15.0</v>
      </c>
      <c r="G36" s="114">
        <f t="shared" si="0"/>
        <v>558.63</v>
      </c>
      <c r="H36" s="118">
        <f t="shared" si="1"/>
        <v>5.5863E7</v>
      </c>
    </row>
    <row r="37" spans="8:8" ht="16.5">
      <c r="A37" s="111" t="s">
        <v>44</v>
      </c>
      <c r="B37" s="119" t="s">
        <v>13</v>
      </c>
      <c r="C37" s="113">
        <v>134.0</v>
      </c>
      <c r="D37" s="113">
        <v>288.0</v>
      </c>
      <c r="E37" s="114">
        <v>8.63</v>
      </c>
      <c r="F37" s="114">
        <v>15.0</v>
      </c>
      <c r="G37" s="101">
        <f t="shared" si="0"/>
        <v>445.63</v>
      </c>
      <c r="H37" s="115">
        <f t="shared" si="1"/>
        <v>4.4563E7</v>
      </c>
    </row>
    <row r="38" spans="8:8" ht="16.5">
      <c r="A38" s="116" t="s">
        <v>45</v>
      </c>
      <c r="B38" s="117" t="s">
        <v>13</v>
      </c>
      <c r="C38" s="97">
        <v>511.0</v>
      </c>
      <c r="D38" s="97">
        <v>300.0</v>
      </c>
      <c r="E38" s="101">
        <v>8.63</v>
      </c>
      <c r="F38" s="101">
        <v>15.0</v>
      </c>
      <c r="G38" s="114">
        <f t="shared" si="0"/>
        <v>834.63</v>
      </c>
      <c r="H38" s="118">
        <f t="shared" si="1"/>
        <v>8.3463E7</v>
      </c>
    </row>
    <row r="39" spans="8:8" ht="16.5">
      <c r="A39" s="116" t="s">
        <v>46</v>
      </c>
      <c r="B39" s="117" t="s">
        <v>13</v>
      </c>
      <c r="C39" s="97">
        <v>511.0</v>
      </c>
      <c r="D39" s="97">
        <v>300.0</v>
      </c>
      <c r="E39" s="92">
        <v>8.63</v>
      </c>
      <c r="F39" s="92">
        <v>15.0</v>
      </c>
      <c r="G39" s="101">
        <f t="shared" si="0"/>
        <v>834.63</v>
      </c>
      <c r="H39" s="93">
        <f t="shared" si="1"/>
        <v>8.3463E7</v>
      </c>
    </row>
    <row r="40" spans="8:8" ht="15.75">
      <c r="A40" s="111" t="s">
        <v>47</v>
      </c>
      <c r="B40" s="119" t="s">
        <v>13</v>
      </c>
      <c r="C40" s="113">
        <v>719.0</v>
      </c>
      <c r="D40" s="113">
        <v>300.0</v>
      </c>
      <c r="E40" s="114">
        <v>8.63</v>
      </c>
      <c r="F40" s="114">
        <v>15.0</v>
      </c>
      <c r="G40" s="114">
        <f t="shared" si="0"/>
        <v>1042.63</v>
      </c>
      <c r="H40" s="115">
        <f t="shared" si="1"/>
        <v>1.0426300000000001E8</v>
      </c>
    </row>
    <row r="41" spans="8:8" ht="16.5">
      <c r="A41" s="116" t="s">
        <v>48</v>
      </c>
      <c r="B41" s="117" t="s">
        <v>13</v>
      </c>
      <c r="C41" s="97">
        <v>292.0</v>
      </c>
      <c r="D41" s="97">
        <v>300.0</v>
      </c>
      <c r="E41" s="101">
        <v>8.63</v>
      </c>
      <c r="F41" s="101">
        <v>15.0</v>
      </c>
      <c r="G41" s="101">
        <f t="shared" si="0"/>
        <v>615.63</v>
      </c>
      <c r="H41" s="118">
        <f t="shared" si="1"/>
        <v>6.1563E7</v>
      </c>
    </row>
    <row r="42" spans="8:8" ht="15.75">
      <c r="A42" s="111" t="s">
        <v>49</v>
      </c>
      <c r="B42" s="119" t="s">
        <v>13</v>
      </c>
      <c r="C42" s="113">
        <v>109.0</v>
      </c>
      <c r="D42" s="113">
        <v>288.0</v>
      </c>
      <c r="E42" s="114">
        <v>8.63</v>
      </c>
      <c r="F42" s="114">
        <v>15.0</v>
      </c>
      <c r="G42" s="114">
        <f t="shared" si="0"/>
        <v>420.63</v>
      </c>
      <c r="H42" s="115">
        <f t="shared" si="1"/>
        <v>4.2063E7</v>
      </c>
    </row>
    <row r="43" spans="8:8" ht="16.5">
      <c r="A43" s="111" t="s">
        <v>50</v>
      </c>
      <c r="B43" s="119" t="s">
        <v>13</v>
      </c>
      <c r="C43" s="113">
        <v>109.0</v>
      </c>
      <c r="D43" s="113">
        <v>288.0</v>
      </c>
      <c r="E43" s="130">
        <v>8.63</v>
      </c>
      <c r="F43" s="130">
        <v>15.0</v>
      </c>
      <c r="G43" s="101">
        <f t="shared" si="0"/>
        <v>420.63</v>
      </c>
      <c r="H43" s="131">
        <f t="shared" si="1"/>
        <v>4.2063E7</v>
      </c>
    </row>
    <row r="44" spans="8:8" ht="16.5">
      <c r="A44" s="120" t="s">
        <v>51</v>
      </c>
      <c r="B44" s="121" t="s">
        <v>13</v>
      </c>
      <c r="C44" s="122">
        <v>109.0</v>
      </c>
      <c r="D44" s="122">
        <v>288.0</v>
      </c>
      <c r="E44" s="123">
        <v>8.63</v>
      </c>
      <c r="F44" s="123">
        <v>15.0</v>
      </c>
      <c r="G44" s="114">
        <f t="shared" si="0"/>
        <v>420.63</v>
      </c>
      <c r="H44" s="124">
        <f t="shared" si="1"/>
        <v>4.2063E7</v>
      </c>
    </row>
    <row r="45" spans="8:8" ht="16.5">
      <c r="A45" s="111" t="s">
        <v>52</v>
      </c>
      <c r="B45" s="119" t="s">
        <v>13</v>
      </c>
      <c r="C45" s="113">
        <v>109.0</v>
      </c>
      <c r="D45" s="113">
        <v>288.0</v>
      </c>
      <c r="E45" s="130">
        <v>8.63</v>
      </c>
      <c r="F45" s="130">
        <v>15.0</v>
      </c>
      <c r="G45" s="101">
        <f t="shared" si="0"/>
        <v>420.63</v>
      </c>
      <c r="H45" s="131">
        <f t="shared" si="1"/>
        <v>4.2063E7</v>
      </c>
    </row>
    <row r="46" spans="8:8" ht="16.5">
      <c r="A46" s="120" t="s">
        <v>53</v>
      </c>
      <c r="B46" s="121" t="s">
        <v>13</v>
      </c>
      <c r="C46" s="122">
        <v>149.0</v>
      </c>
      <c r="D46" s="122">
        <v>288.0</v>
      </c>
      <c r="E46" s="123">
        <v>8.63</v>
      </c>
      <c r="F46" s="123">
        <v>15.0</v>
      </c>
      <c r="G46" s="114">
        <f t="shared" si="0"/>
        <v>460.63</v>
      </c>
      <c r="H46" s="124">
        <f t="shared" si="1"/>
        <v>4.6063E7</v>
      </c>
    </row>
    <row r="47" spans="8:8" ht="19.5" customHeight="1">
      <c r="A47" s="116" t="s">
        <v>54</v>
      </c>
      <c r="B47" s="117" t="s">
        <v>13</v>
      </c>
      <c r="C47" s="97">
        <v>238.0</v>
      </c>
      <c r="D47" s="97">
        <v>288.0</v>
      </c>
      <c r="E47" s="101">
        <v>8.63</v>
      </c>
      <c r="F47" s="101">
        <v>15.0</v>
      </c>
      <c r="G47" s="101">
        <f t="shared" si="0"/>
        <v>549.63</v>
      </c>
      <c r="H47" s="118">
        <f t="shared" si="1"/>
        <v>5.4963E7</v>
      </c>
    </row>
    <row r="48" spans="8:8" ht="15.75">
      <c r="A48" s="111" t="s">
        <v>55</v>
      </c>
      <c r="B48" s="119" t="s">
        <v>13</v>
      </c>
      <c r="C48" s="113">
        <v>126.0</v>
      </c>
      <c r="D48" s="113">
        <v>288.0</v>
      </c>
      <c r="E48" s="114">
        <v>8.63</v>
      </c>
      <c r="F48" s="114">
        <v>15.0</v>
      </c>
      <c r="G48" s="114">
        <f t="shared" si="0"/>
        <v>437.63</v>
      </c>
      <c r="H48" s="115">
        <f t="shared" si="1"/>
        <v>4.3763E7</v>
      </c>
    </row>
    <row r="49" spans="8:8" ht="16.5">
      <c r="A49" s="116" t="s">
        <v>56</v>
      </c>
      <c r="B49" s="117" t="s">
        <v>13</v>
      </c>
      <c r="C49" s="97">
        <v>225.0</v>
      </c>
      <c r="D49" s="97">
        <v>330.0</v>
      </c>
      <c r="E49" s="101">
        <v>8.63</v>
      </c>
      <c r="F49" s="101">
        <v>15.0</v>
      </c>
      <c r="G49" s="101">
        <f t="shared" si="0"/>
        <v>578.63</v>
      </c>
      <c r="H49" s="118">
        <f t="shared" si="1"/>
        <v>5.7863E7</v>
      </c>
    </row>
    <row r="50" spans="8:8" ht="15.75">
      <c r="A50" s="111" t="s">
        <v>57</v>
      </c>
      <c r="B50" s="119" t="s">
        <v>13</v>
      </c>
      <c r="C50" s="113">
        <v>0.01</v>
      </c>
      <c r="D50" s="113">
        <v>360.0</v>
      </c>
      <c r="E50" s="114">
        <v>8.63</v>
      </c>
      <c r="F50" s="114">
        <v>15.0</v>
      </c>
      <c r="G50" s="114">
        <f t="shared" si="0"/>
        <v>383.64</v>
      </c>
      <c r="H50" s="115">
        <f t="shared" si="1"/>
        <v>3.8364E7</v>
      </c>
    </row>
    <row r="51" spans="8:8" ht="16.5">
      <c r="A51" s="116" t="s">
        <v>58</v>
      </c>
      <c r="B51" s="117" t="s">
        <v>13</v>
      </c>
      <c r="C51" s="97">
        <v>0.01</v>
      </c>
      <c r="D51" s="97">
        <v>360.0</v>
      </c>
      <c r="E51" s="101">
        <v>8.63</v>
      </c>
      <c r="F51" s="101">
        <v>15.0</v>
      </c>
      <c r="G51" s="101">
        <f t="shared" si="0"/>
        <v>383.64</v>
      </c>
      <c r="H51" s="118">
        <f t="shared" si="1"/>
        <v>3.8364E7</v>
      </c>
    </row>
    <row r="52" spans="8:8" ht="15.75">
      <c r="A52" s="116" t="s">
        <v>59</v>
      </c>
      <c r="B52" s="117" t="s">
        <v>60</v>
      </c>
      <c r="C52" s="97">
        <v>0.01</v>
      </c>
      <c r="D52" s="97">
        <v>360.0</v>
      </c>
      <c r="E52" s="92">
        <v>8.63</v>
      </c>
      <c r="F52" s="92">
        <v>15.0</v>
      </c>
      <c r="G52" s="114">
        <f t="shared" si="0"/>
        <v>383.64</v>
      </c>
      <c r="H52" s="93">
        <f t="shared" si="1"/>
        <v>3.8364E7</v>
      </c>
    </row>
    <row r="53" spans="8:8" ht="16.5">
      <c r="A53" s="116" t="s">
        <v>61</v>
      </c>
      <c r="B53" s="117" t="s">
        <v>60</v>
      </c>
      <c r="C53" s="97">
        <v>75.0</v>
      </c>
      <c r="D53" s="97">
        <v>630.0</v>
      </c>
      <c r="E53" s="92">
        <v>8.63</v>
      </c>
      <c r="F53" s="92">
        <v>15.0</v>
      </c>
      <c r="G53" s="101">
        <f t="shared" si="0"/>
        <v>728.63</v>
      </c>
      <c r="H53" s="93">
        <f t="shared" si="1"/>
        <v>7.2863E7</v>
      </c>
    </row>
    <row r="54" spans="8:8" ht="15.75">
      <c r="A54" s="116" t="s">
        <v>62</v>
      </c>
      <c r="B54" s="117" t="s">
        <v>60</v>
      </c>
      <c r="C54" s="97">
        <v>0.01</v>
      </c>
      <c r="D54" s="97">
        <v>360.0</v>
      </c>
      <c r="E54" s="92">
        <v>8.63</v>
      </c>
      <c r="F54" s="92">
        <v>15.0</v>
      </c>
      <c r="G54" s="114">
        <f t="shared" si="0"/>
        <v>383.64</v>
      </c>
      <c r="H54" s="93">
        <f t="shared" si="1"/>
        <v>3.8364E7</v>
      </c>
    </row>
    <row r="55" spans="8:8" ht="16.5">
      <c r="A55" s="116" t="s">
        <v>63</v>
      </c>
      <c r="B55" s="117" t="s">
        <v>60</v>
      </c>
      <c r="C55" s="97">
        <v>0.01</v>
      </c>
      <c r="D55" s="97">
        <v>360.0</v>
      </c>
      <c r="E55" s="92">
        <v>8.63</v>
      </c>
      <c r="F55" s="92">
        <v>15.0</v>
      </c>
      <c r="G55" s="101">
        <f t="shared" si="0"/>
        <v>383.64</v>
      </c>
      <c r="H55" s="93">
        <f t="shared" si="1"/>
        <v>3.8364E7</v>
      </c>
    </row>
    <row r="56" spans="8:8" ht="15.75">
      <c r="A56" s="111" t="s">
        <v>64</v>
      </c>
      <c r="B56" s="119" t="s">
        <v>65</v>
      </c>
      <c r="C56" s="113">
        <v>0.01</v>
      </c>
      <c r="D56" s="113">
        <v>265.0</v>
      </c>
      <c r="E56" s="114">
        <v>8.63</v>
      </c>
      <c r="F56" s="114">
        <v>15.0</v>
      </c>
      <c r="G56" s="114">
        <f t="shared" si="0"/>
        <v>288.64</v>
      </c>
      <c r="H56" s="115">
        <f t="shared" si="1"/>
        <v>2.8864E7</v>
      </c>
    </row>
    <row r="57" spans="8:8" ht="16.5">
      <c r="A57" s="116" t="s">
        <v>66</v>
      </c>
      <c r="B57" s="117" t="s">
        <v>65</v>
      </c>
      <c r="C57" s="97">
        <v>0.01</v>
      </c>
      <c r="D57" s="97">
        <v>282.0</v>
      </c>
      <c r="E57" s="101">
        <v>8.63</v>
      </c>
      <c r="F57" s="101">
        <v>15.0</v>
      </c>
      <c r="G57" s="101">
        <f t="shared" si="0"/>
        <v>305.64</v>
      </c>
      <c r="H57" s="118">
        <f t="shared" si="1"/>
        <v>3.0564E7</v>
      </c>
    </row>
    <row r="58" spans="8:8" ht="15.75">
      <c r="A58" s="111" t="s">
        <v>67</v>
      </c>
      <c r="B58" s="119" t="s">
        <v>65</v>
      </c>
      <c r="C58" s="113">
        <v>0.01</v>
      </c>
      <c r="D58" s="113">
        <v>265.0</v>
      </c>
      <c r="E58" s="114">
        <v>8.63</v>
      </c>
      <c r="F58" s="114">
        <v>15.0</v>
      </c>
      <c r="G58" s="114">
        <f t="shared" si="0"/>
        <v>288.64</v>
      </c>
      <c r="H58" s="115">
        <f t="shared" si="1"/>
        <v>2.8864E7</v>
      </c>
    </row>
    <row r="59" spans="8:8" ht="16.5">
      <c r="A59" s="116" t="s">
        <v>68</v>
      </c>
      <c r="B59" s="117" t="s">
        <v>65</v>
      </c>
      <c r="C59" s="97">
        <v>0.01</v>
      </c>
      <c r="D59" s="97">
        <v>283.0</v>
      </c>
      <c r="E59" s="101">
        <v>8.63</v>
      </c>
      <c r="F59" s="101">
        <v>15.0</v>
      </c>
      <c r="G59" s="101">
        <f t="shared" si="0"/>
        <v>306.64</v>
      </c>
      <c r="H59" s="118">
        <f t="shared" si="1"/>
        <v>3.0664E7</v>
      </c>
    </row>
    <row r="60" spans="8:8" ht="15.75">
      <c r="A60" s="116" t="s">
        <v>69</v>
      </c>
      <c r="B60" s="117" t="s">
        <v>65</v>
      </c>
      <c r="C60" s="97">
        <v>0.01</v>
      </c>
      <c r="D60" s="97">
        <v>344.0</v>
      </c>
      <c r="E60" s="92">
        <v>8.63</v>
      </c>
      <c r="F60" s="92">
        <v>15.0</v>
      </c>
      <c r="G60" s="114">
        <f t="shared" si="0"/>
        <v>367.64</v>
      </c>
      <c r="H60" s="93">
        <f t="shared" si="1"/>
        <v>3.6764E7</v>
      </c>
    </row>
    <row r="61" spans="8:8" ht="16.5">
      <c r="A61" s="111" t="s">
        <v>70</v>
      </c>
      <c r="B61" s="119" t="s">
        <v>65</v>
      </c>
      <c r="C61" s="113">
        <v>0.01</v>
      </c>
      <c r="D61" s="113">
        <v>265.0</v>
      </c>
      <c r="E61" s="114">
        <v>8.63</v>
      </c>
      <c r="F61" s="114">
        <v>15.0</v>
      </c>
      <c r="G61" s="101">
        <f t="shared" si="0"/>
        <v>288.64</v>
      </c>
      <c r="H61" s="115">
        <f t="shared" si="1"/>
        <v>2.8864E7</v>
      </c>
    </row>
    <row r="62" spans="8:8" ht="16.5">
      <c r="A62" s="125" t="s">
        <v>71</v>
      </c>
      <c r="B62" s="126" t="s">
        <v>65</v>
      </c>
      <c r="C62" s="96">
        <v>0.01</v>
      </c>
      <c r="D62" s="96">
        <v>312.0</v>
      </c>
      <c r="E62" s="101">
        <v>8.63</v>
      </c>
      <c r="F62" s="101">
        <v>15.0</v>
      </c>
      <c r="G62" s="114">
        <f t="shared" si="0"/>
        <v>335.64</v>
      </c>
      <c r="H62" s="118">
        <f t="shared" si="1"/>
        <v>3.3564E7</v>
      </c>
    </row>
    <row r="63" spans="8:8" ht="16.5">
      <c r="A63" s="125" t="s">
        <v>72</v>
      </c>
      <c r="B63" s="126" t="s">
        <v>65</v>
      </c>
      <c r="C63" s="96">
        <v>0.01</v>
      </c>
      <c r="D63" s="96">
        <v>286.0</v>
      </c>
      <c r="E63" s="92">
        <v>8.63</v>
      </c>
      <c r="F63" s="92">
        <v>15.0</v>
      </c>
      <c r="G63" s="101">
        <f t="shared" si="0"/>
        <v>309.64</v>
      </c>
      <c r="H63" s="93">
        <f t="shared" si="1"/>
        <v>3.0964E7</v>
      </c>
    </row>
    <row r="64" spans="8:8" ht="15.75">
      <c r="A64" s="111" t="s">
        <v>73</v>
      </c>
      <c r="B64" s="119" t="s">
        <v>65</v>
      </c>
      <c r="C64" s="113">
        <v>0.01</v>
      </c>
      <c r="D64" s="113">
        <v>250.0</v>
      </c>
      <c r="E64" s="114">
        <v>8.63</v>
      </c>
      <c r="F64" s="114">
        <v>15.0</v>
      </c>
      <c r="G64" s="114">
        <f t="shared" si="0"/>
        <v>273.64</v>
      </c>
      <c r="H64" s="115">
        <f t="shared" si="1"/>
        <v>2.7364E7</v>
      </c>
    </row>
    <row r="65" spans="8:8" ht="16.5">
      <c r="A65" s="116" t="s">
        <v>74</v>
      </c>
      <c r="B65" s="117" t="s">
        <v>65</v>
      </c>
      <c r="C65" s="97">
        <v>0.01</v>
      </c>
      <c r="D65" s="97">
        <v>274.0</v>
      </c>
      <c r="E65" s="101">
        <v>8.63</v>
      </c>
      <c r="F65" s="101">
        <v>15.0</v>
      </c>
      <c r="G65" s="101">
        <f t="shared" si="0"/>
        <v>297.64</v>
      </c>
      <c r="H65" s="118">
        <f t="shared" si="1"/>
        <v>2.9764E7</v>
      </c>
    </row>
    <row r="66" spans="8:8" ht="15.75">
      <c r="A66" s="116" t="s">
        <v>75</v>
      </c>
      <c r="B66" s="117" t="s">
        <v>65</v>
      </c>
      <c r="C66" s="97">
        <v>0.01</v>
      </c>
      <c r="D66" s="97">
        <v>435.0</v>
      </c>
      <c r="E66" s="92">
        <v>8.63</v>
      </c>
      <c r="F66" s="92">
        <v>15.0</v>
      </c>
      <c r="G66" s="114">
        <f t="shared" si="2" ref="G66:G129">SUM(C66:F66)</f>
        <v>458.64</v>
      </c>
      <c r="H66" s="93">
        <f t="shared" si="1"/>
        <v>4.5864E7</v>
      </c>
    </row>
    <row r="67" spans="8:8" ht="16.5">
      <c r="A67" s="111" t="s">
        <v>76</v>
      </c>
      <c r="B67" s="119" t="s">
        <v>65</v>
      </c>
      <c r="C67" s="113">
        <v>0.01</v>
      </c>
      <c r="D67" s="113">
        <v>265.0</v>
      </c>
      <c r="E67" s="114">
        <v>8.63</v>
      </c>
      <c r="F67" s="114">
        <v>15.0</v>
      </c>
      <c r="G67" s="101">
        <f t="shared" si="2"/>
        <v>288.64</v>
      </c>
      <c r="H67" s="115">
        <f t="shared" si="3" ref="H67:H109">G67*100000</f>
        <v>2.8864E7</v>
      </c>
    </row>
    <row r="68" spans="8:8" ht="16.5">
      <c r="A68" s="116" t="s">
        <v>77</v>
      </c>
      <c r="B68" s="117" t="s">
        <v>65</v>
      </c>
      <c r="C68" s="97">
        <v>0.01</v>
      </c>
      <c r="D68" s="97">
        <v>274.0</v>
      </c>
      <c r="E68" s="101">
        <v>8.63</v>
      </c>
      <c r="F68" s="101">
        <v>15.0</v>
      </c>
      <c r="G68" s="114">
        <f t="shared" si="2"/>
        <v>297.64</v>
      </c>
      <c r="H68" s="118">
        <f t="shared" si="3"/>
        <v>2.9764E7</v>
      </c>
    </row>
    <row r="69" spans="8:8" ht="16.5">
      <c r="A69" s="116" t="s">
        <v>78</v>
      </c>
      <c r="B69" s="117" t="s">
        <v>65</v>
      </c>
      <c r="C69" s="97">
        <v>0.01</v>
      </c>
      <c r="D69" s="97">
        <v>327.0</v>
      </c>
      <c r="E69" s="92">
        <v>8.63</v>
      </c>
      <c r="F69" s="92">
        <v>15.0</v>
      </c>
      <c r="G69" s="101">
        <f t="shared" si="2"/>
        <v>350.64</v>
      </c>
      <c r="H69" s="93">
        <f t="shared" si="3"/>
        <v>3.5064E7</v>
      </c>
    </row>
    <row r="70" spans="8:8" ht="15.75">
      <c r="A70" s="116" t="s">
        <v>79</v>
      </c>
      <c r="B70" s="117" t="s">
        <v>65</v>
      </c>
      <c r="C70" s="97">
        <v>0.01</v>
      </c>
      <c r="D70" s="97">
        <v>344.0</v>
      </c>
      <c r="E70" s="92">
        <v>8.63</v>
      </c>
      <c r="F70" s="92">
        <v>15.0</v>
      </c>
      <c r="G70" s="114">
        <f t="shared" si="2"/>
        <v>367.64</v>
      </c>
      <c r="H70" s="93">
        <f t="shared" si="3"/>
        <v>3.6764E7</v>
      </c>
    </row>
    <row r="71" spans="8:8" ht="16.5">
      <c r="A71" s="111" t="s">
        <v>80</v>
      </c>
      <c r="B71" s="119" t="s">
        <v>65</v>
      </c>
      <c r="C71" s="113">
        <v>0.01</v>
      </c>
      <c r="D71" s="113">
        <v>250.0</v>
      </c>
      <c r="E71" s="114">
        <v>8.63</v>
      </c>
      <c r="F71" s="114">
        <v>15.0</v>
      </c>
      <c r="G71" s="101">
        <f t="shared" si="2"/>
        <v>273.64</v>
      </c>
      <c r="H71" s="115">
        <f t="shared" si="3"/>
        <v>2.7364E7</v>
      </c>
    </row>
    <row r="72" spans="8:8" ht="16.5">
      <c r="A72" s="116" t="s">
        <v>81</v>
      </c>
      <c r="B72" s="117" t="s">
        <v>65</v>
      </c>
      <c r="C72" s="97">
        <v>0.01</v>
      </c>
      <c r="D72" s="97">
        <v>274.0</v>
      </c>
      <c r="E72" s="101">
        <v>8.63</v>
      </c>
      <c r="F72" s="101">
        <v>15.0</v>
      </c>
      <c r="G72" s="114">
        <f t="shared" si="2"/>
        <v>297.64</v>
      </c>
      <c r="H72" s="118">
        <f t="shared" si="3"/>
        <v>2.9764E7</v>
      </c>
    </row>
    <row r="73" spans="8:8" ht="16.5">
      <c r="A73" s="111" t="s">
        <v>82</v>
      </c>
      <c r="B73" s="119" t="s">
        <v>65</v>
      </c>
      <c r="C73" s="113">
        <v>0.01</v>
      </c>
      <c r="D73" s="113">
        <v>401.0</v>
      </c>
      <c r="E73" s="114">
        <v>8.63</v>
      </c>
      <c r="F73" s="114">
        <v>15.0</v>
      </c>
      <c r="G73" s="101">
        <f t="shared" si="2"/>
        <v>424.64</v>
      </c>
      <c r="H73" s="115">
        <f t="shared" si="3"/>
        <v>4.2464E7</v>
      </c>
    </row>
    <row r="74" spans="8:8" ht="16.5">
      <c r="A74" s="116" t="s">
        <v>83</v>
      </c>
      <c r="B74" s="117" t="s">
        <v>65</v>
      </c>
      <c r="C74" s="97">
        <v>0.01</v>
      </c>
      <c r="D74" s="97">
        <v>426.0</v>
      </c>
      <c r="E74" s="101">
        <v>8.63</v>
      </c>
      <c r="F74" s="101">
        <v>15.0</v>
      </c>
      <c r="G74" s="114">
        <f t="shared" si="2"/>
        <v>449.64</v>
      </c>
      <c r="H74" s="118">
        <f t="shared" si="3"/>
        <v>4.4964E7</v>
      </c>
    </row>
    <row r="75" spans="8:8" ht="16.5">
      <c r="A75" s="111" t="s">
        <v>84</v>
      </c>
      <c r="B75" s="119" t="s">
        <v>65</v>
      </c>
      <c r="C75" s="113">
        <v>0.01</v>
      </c>
      <c r="D75" s="113">
        <v>274.0</v>
      </c>
      <c r="E75" s="114">
        <v>8.63</v>
      </c>
      <c r="F75" s="114">
        <v>15.0</v>
      </c>
      <c r="G75" s="101">
        <f t="shared" si="2"/>
        <v>297.64</v>
      </c>
      <c r="H75" s="115">
        <f t="shared" si="3"/>
        <v>2.9764E7</v>
      </c>
    </row>
    <row r="76" spans="8:8" ht="16.5">
      <c r="A76" s="116" t="s">
        <v>85</v>
      </c>
      <c r="B76" s="117" t="s">
        <v>65</v>
      </c>
      <c r="C76" s="97">
        <v>0.01</v>
      </c>
      <c r="D76" s="97">
        <v>426.0</v>
      </c>
      <c r="E76" s="101">
        <v>8.63</v>
      </c>
      <c r="F76" s="101">
        <v>15.0</v>
      </c>
      <c r="G76" s="114">
        <f t="shared" si="2"/>
        <v>449.64</v>
      </c>
      <c r="H76" s="118">
        <f t="shared" si="3"/>
        <v>4.4964E7</v>
      </c>
    </row>
    <row r="77" spans="8:8" ht="16.5">
      <c r="A77" s="111" t="s">
        <v>86</v>
      </c>
      <c r="B77" s="119" t="s">
        <v>65</v>
      </c>
      <c r="C77" s="113">
        <v>0.01</v>
      </c>
      <c r="D77" s="113">
        <v>274.0</v>
      </c>
      <c r="E77" s="114">
        <v>8.63</v>
      </c>
      <c r="F77" s="114">
        <v>15.0</v>
      </c>
      <c r="G77" s="101">
        <f t="shared" si="2"/>
        <v>297.64</v>
      </c>
      <c r="H77" s="115">
        <f t="shared" si="3"/>
        <v>2.9764E7</v>
      </c>
    </row>
    <row r="78" spans="8:8" ht="16.5">
      <c r="A78" s="116" t="s">
        <v>87</v>
      </c>
      <c r="B78" s="117" t="s">
        <v>65</v>
      </c>
      <c r="C78" s="97">
        <v>0.01</v>
      </c>
      <c r="D78" s="97">
        <v>307.0</v>
      </c>
      <c r="E78" s="101">
        <v>8.63</v>
      </c>
      <c r="F78" s="101">
        <v>15.0</v>
      </c>
      <c r="G78" s="114">
        <f t="shared" si="2"/>
        <v>330.64</v>
      </c>
      <c r="H78" s="118">
        <f t="shared" si="3"/>
        <v>3.3064E7</v>
      </c>
    </row>
    <row r="79" spans="8:8" ht="16.5">
      <c r="A79" s="116" t="s">
        <v>88</v>
      </c>
      <c r="B79" s="117" t="s">
        <v>65</v>
      </c>
      <c r="C79" s="97">
        <v>0.01</v>
      </c>
      <c r="D79" s="97">
        <v>344.0</v>
      </c>
      <c r="E79" s="92">
        <v>8.63</v>
      </c>
      <c r="F79" s="92">
        <v>15.0</v>
      </c>
      <c r="G79" s="101">
        <f t="shared" si="2"/>
        <v>367.64</v>
      </c>
      <c r="H79" s="93">
        <f t="shared" si="3"/>
        <v>3.6764E7</v>
      </c>
    </row>
    <row r="80" spans="8:8" ht="15.75">
      <c r="A80" s="116" t="s">
        <v>89</v>
      </c>
      <c r="B80" s="117" t="s">
        <v>65</v>
      </c>
      <c r="C80" s="97">
        <v>0.01</v>
      </c>
      <c r="D80" s="97">
        <v>390.0</v>
      </c>
      <c r="E80" s="92">
        <v>8.63</v>
      </c>
      <c r="F80" s="92">
        <v>15.0</v>
      </c>
      <c r="G80" s="114">
        <f t="shared" si="2"/>
        <v>413.64</v>
      </c>
      <c r="H80" s="93">
        <f t="shared" si="3"/>
        <v>4.1364E7</v>
      </c>
    </row>
    <row r="81" spans="8:8" ht="16.5">
      <c r="A81" s="116" t="s">
        <v>90</v>
      </c>
      <c r="B81" s="117" t="s">
        <v>65</v>
      </c>
      <c r="C81" s="97">
        <v>0.01</v>
      </c>
      <c r="D81" s="97">
        <v>400.0</v>
      </c>
      <c r="E81" s="92">
        <v>8.63</v>
      </c>
      <c r="F81" s="92">
        <v>15.0</v>
      </c>
      <c r="G81" s="101">
        <f t="shared" si="2"/>
        <v>423.64</v>
      </c>
      <c r="H81" s="93">
        <f t="shared" si="3"/>
        <v>4.2364E7</v>
      </c>
    </row>
    <row r="82" spans="8:8" ht="15.75">
      <c r="A82" s="116" t="s">
        <v>91</v>
      </c>
      <c r="B82" s="117" t="s">
        <v>65</v>
      </c>
      <c r="C82" s="97">
        <v>0.01</v>
      </c>
      <c r="D82" s="97">
        <v>444.0</v>
      </c>
      <c r="E82" s="92">
        <v>8.63</v>
      </c>
      <c r="F82" s="92">
        <v>15.0</v>
      </c>
      <c r="G82" s="114">
        <f t="shared" si="2"/>
        <v>467.64</v>
      </c>
      <c r="H82" s="93">
        <f t="shared" si="3"/>
        <v>4.6764E7</v>
      </c>
    </row>
    <row r="83" spans="8:8" ht="16.5">
      <c r="A83" s="111" t="s">
        <v>92</v>
      </c>
      <c r="B83" s="119" t="s">
        <v>65</v>
      </c>
      <c r="C83" s="113">
        <v>0.01</v>
      </c>
      <c r="D83" s="113">
        <v>265.0</v>
      </c>
      <c r="E83" s="114">
        <v>8.63</v>
      </c>
      <c r="F83" s="114">
        <v>15.0</v>
      </c>
      <c r="G83" s="101">
        <f t="shared" si="2"/>
        <v>288.64</v>
      </c>
      <c r="H83" s="115">
        <f t="shared" si="3"/>
        <v>2.8864E7</v>
      </c>
    </row>
    <row r="84" spans="8:8" ht="16.5">
      <c r="A84" s="116" t="s">
        <v>93</v>
      </c>
      <c r="B84" s="117" t="s">
        <v>65</v>
      </c>
      <c r="C84" s="97">
        <v>0.01</v>
      </c>
      <c r="D84" s="97">
        <v>282.0</v>
      </c>
      <c r="E84" s="101">
        <v>8.63</v>
      </c>
      <c r="F84" s="101">
        <v>15.0</v>
      </c>
      <c r="G84" s="114">
        <f t="shared" si="2"/>
        <v>305.64</v>
      </c>
      <c r="H84" s="118">
        <f t="shared" si="3"/>
        <v>3.0564E7</v>
      </c>
    </row>
    <row r="85" spans="8:8" ht="16.5">
      <c r="A85" s="116" t="s">
        <v>94</v>
      </c>
      <c r="B85" s="117" t="s">
        <v>65</v>
      </c>
      <c r="C85" s="97">
        <v>0.01</v>
      </c>
      <c r="D85" s="97">
        <v>338.0</v>
      </c>
      <c r="E85" s="92">
        <v>8.63</v>
      </c>
      <c r="F85" s="92">
        <v>15.0</v>
      </c>
      <c r="G85" s="101">
        <f t="shared" si="2"/>
        <v>361.64</v>
      </c>
      <c r="H85" s="93">
        <f t="shared" si="3"/>
        <v>3.6164E7</v>
      </c>
    </row>
    <row r="86" spans="8:8" ht="15.75">
      <c r="A86" s="111" t="s">
        <v>95</v>
      </c>
      <c r="B86" s="119" t="s">
        <v>65</v>
      </c>
      <c r="C86" s="113">
        <v>0.01</v>
      </c>
      <c r="D86" s="113">
        <v>296.0</v>
      </c>
      <c r="E86" s="114">
        <v>8.63</v>
      </c>
      <c r="F86" s="114">
        <v>15.0</v>
      </c>
      <c r="G86" s="114">
        <f t="shared" si="2"/>
        <v>319.64</v>
      </c>
      <c r="H86" s="115">
        <f t="shared" si="3"/>
        <v>3.1964E7</v>
      </c>
    </row>
    <row r="87" spans="8:8" ht="16.5">
      <c r="A87" s="116" t="s">
        <v>96</v>
      </c>
      <c r="B87" s="117" t="s">
        <v>65</v>
      </c>
      <c r="C87" s="97">
        <v>0.01</v>
      </c>
      <c r="D87" s="97">
        <v>344.0</v>
      </c>
      <c r="E87" s="101">
        <v>8.63</v>
      </c>
      <c r="F87" s="101">
        <v>15.0</v>
      </c>
      <c r="G87" s="101">
        <f t="shared" si="2"/>
        <v>367.64</v>
      </c>
      <c r="H87" s="118">
        <f t="shared" si="3"/>
        <v>3.6764E7</v>
      </c>
    </row>
    <row r="88" spans="8:8" ht="15.75">
      <c r="A88" s="111" t="s">
        <v>97</v>
      </c>
      <c r="B88" s="119" t="s">
        <v>65</v>
      </c>
      <c r="C88" s="113">
        <v>0.01</v>
      </c>
      <c r="D88" s="113">
        <v>263.0</v>
      </c>
      <c r="E88" s="114">
        <v>8.63</v>
      </c>
      <c r="F88" s="114">
        <v>15.0</v>
      </c>
      <c r="G88" s="114">
        <f t="shared" si="2"/>
        <v>286.64</v>
      </c>
      <c r="H88" s="115">
        <f t="shared" si="3"/>
        <v>2.8664E7</v>
      </c>
    </row>
    <row r="89" spans="8:8" ht="16.5">
      <c r="A89" s="116" t="s">
        <v>98</v>
      </c>
      <c r="B89" s="117" t="s">
        <v>65</v>
      </c>
      <c r="C89" s="97">
        <v>0.01</v>
      </c>
      <c r="D89" s="97">
        <v>282.0</v>
      </c>
      <c r="E89" s="101">
        <v>8.63</v>
      </c>
      <c r="F89" s="101">
        <v>15.0</v>
      </c>
      <c r="G89" s="101">
        <f t="shared" si="2"/>
        <v>305.64</v>
      </c>
      <c r="H89" s="118">
        <f t="shared" si="3"/>
        <v>3.0564E7</v>
      </c>
    </row>
    <row r="90" spans="8:8" ht="15.75">
      <c r="A90" s="116" t="s">
        <v>99</v>
      </c>
      <c r="B90" s="117" t="s">
        <v>65</v>
      </c>
      <c r="C90" s="97">
        <v>0.01</v>
      </c>
      <c r="D90" s="97">
        <v>338.0</v>
      </c>
      <c r="E90" s="92">
        <v>8.63</v>
      </c>
      <c r="F90" s="92">
        <v>15.0</v>
      </c>
      <c r="G90" s="114">
        <f t="shared" si="2"/>
        <v>361.64</v>
      </c>
      <c r="H90" s="93">
        <f t="shared" si="3"/>
        <v>3.6164E7</v>
      </c>
    </row>
    <row r="91" spans="8:8" ht="16.5">
      <c r="A91" s="116" t="s">
        <v>100</v>
      </c>
      <c r="B91" s="117" t="s">
        <v>65</v>
      </c>
      <c r="C91" s="97">
        <v>0.01</v>
      </c>
      <c r="D91" s="97">
        <v>419.0</v>
      </c>
      <c r="E91" s="92">
        <v>8.63</v>
      </c>
      <c r="F91" s="92">
        <v>15.0</v>
      </c>
      <c r="G91" s="101">
        <f t="shared" si="2"/>
        <v>442.64</v>
      </c>
      <c r="H91" s="93">
        <f t="shared" si="3"/>
        <v>4.4264E7</v>
      </c>
    </row>
    <row r="92" spans="8:8" ht="15.75">
      <c r="A92" s="116" t="s">
        <v>101</v>
      </c>
      <c r="B92" s="117" t="s">
        <v>65</v>
      </c>
      <c r="C92" s="97">
        <v>0.01</v>
      </c>
      <c r="D92" s="97">
        <v>430.0</v>
      </c>
      <c r="E92" s="92">
        <v>8.63</v>
      </c>
      <c r="F92" s="92">
        <v>15.0</v>
      </c>
      <c r="G92" s="114">
        <f t="shared" si="2"/>
        <v>453.64</v>
      </c>
      <c r="H92" s="93">
        <f t="shared" si="3"/>
        <v>4.5364E7</v>
      </c>
    </row>
    <row r="93" spans="8:8" ht="16.5">
      <c r="A93" s="111" t="s">
        <v>102</v>
      </c>
      <c r="B93" s="119" t="s">
        <v>65</v>
      </c>
      <c r="C93" s="113">
        <v>0.01</v>
      </c>
      <c r="D93" s="113">
        <v>279.0</v>
      </c>
      <c r="E93" s="114">
        <v>8.63</v>
      </c>
      <c r="F93" s="114">
        <v>15.0</v>
      </c>
      <c r="G93" s="101">
        <f t="shared" si="2"/>
        <v>302.64</v>
      </c>
      <c r="H93" s="115">
        <f t="shared" si="3"/>
        <v>3.0264E7</v>
      </c>
    </row>
    <row r="94" spans="8:8" ht="16.5">
      <c r="A94" s="111" t="s">
        <v>103</v>
      </c>
      <c r="B94" s="119" t="s">
        <v>65</v>
      </c>
      <c r="C94" s="113">
        <v>0.01</v>
      </c>
      <c r="D94" s="113">
        <v>265.0</v>
      </c>
      <c r="E94" s="130">
        <v>8.63</v>
      </c>
      <c r="F94" s="130">
        <v>15.0</v>
      </c>
      <c r="G94" s="114">
        <f t="shared" si="2"/>
        <v>288.64</v>
      </c>
      <c r="H94" s="131">
        <f t="shared" si="3"/>
        <v>2.8864E7</v>
      </c>
    </row>
    <row r="95" spans="8:8" ht="16.5">
      <c r="A95" s="116" t="s">
        <v>104</v>
      </c>
      <c r="B95" s="117" t="s">
        <v>65</v>
      </c>
      <c r="C95" s="97">
        <v>0.01</v>
      </c>
      <c r="D95" s="97">
        <v>282.0</v>
      </c>
      <c r="E95" s="101">
        <v>8.63</v>
      </c>
      <c r="F95" s="101">
        <v>15.0</v>
      </c>
      <c r="G95" s="101">
        <f t="shared" si="2"/>
        <v>305.64</v>
      </c>
      <c r="H95" s="118">
        <f t="shared" si="3"/>
        <v>3.0564E7</v>
      </c>
    </row>
    <row r="96" spans="8:8" ht="15.75">
      <c r="A96" s="116" t="s">
        <v>105</v>
      </c>
      <c r="B96" s="117" t="s">
        <v>65</v>
      </c>
      <c r="C96" s="97">
        <v>0.01</v>
      </c>
      <c r="D96" s="97">
        <v>316.0</v>
      </c>
      <c r="E96" s="92">
        <v>8.63</v>
      </c>
      <c r="F96" s="92">
        <v>15.0</v>
      </c>
      <c r="G96" s="114">
        <f t="shared" si="2"/>
        <v>339.64</v>
      </c>
      <c r="H96" s="93">
        <f t="shared" si="3"/>
        <v>3.3964E7</v>
      </c>
    </row>
    <row r="97" spans="8:8" ht="16.5">
      <c r="A97" s="111" t="s">
        <v>106</v>
      </c>
      <c r="B97" s="119" t="s">
        <v>65</v>
      </c>
      <c r="C97" s="113">
        <v>0.01</v>
      </c>
      <c r="D97" s="113">
        <v>265.0</v>
      </c>
      <c r="E97" s="114">
        <v>8.63</v>
      </c>
      <c r="F97" s="114">
        <v>15.0</v>
      </c>
      <c r="G97" s="101">
        <f t="shared" si="2"/>
        <v>288.64</v>
      </c>
      <c r="H97" s="115">
        <f t="shared" si="3"/>
        <v>2.8864E7</v>
      </c>
    </row>
    <row r="98" spans="8:8" ht="16.5">
      <c r="A98" s="116" t="s">
        <v>107</v>
      </c>
      <c r="B98" s="117" t="s">
        <v>65</v>
      </c>
      <c r="C98" s="97">
        <v>0.01</v>
      </c>
      <c r="D98" s="97">
        <v>282.0</v>
      </c>
      <c r="E98" s="101">
        <v>8.63</v>
      </c>
      <c r="F98" s="101">
        <v>15.0</v>
      </c>
      <c r="G98" s="114">
        <f t="shared" si="2"/>
        <v>305.64</v>
      </c>
      <c r="H98" s="118">
        <f t="shared" si="3"/>
        <v>3.0564E7</v>
      </c>
    </row>
    <row r="99" spans="8:8" ht="16.5">
      <c r="A99" s="111" t="s">
        <v>108</v>
      </c>
      <c r="B99" s="119" t="s">
        <v>65</v>
      </c>
      <c r="C99" s="113">
        <v>0.01</v>
      </c>
      <c r="D99" s="113">
        <v>279.0</v>
      </c>
      <c r="E99" s="114">
        <v>8.63</v>
      </c>
      <c r="F99" s="114">
        <v>15.0</v>
      </c>
      <c r="G99" s="101">
        <f t="shared" si="2"/>
        <v>302.64</v>
      </c>
      <c r="H99" s="115">
        <f t="shared" si="3"/>
        <v>3.0264E7</v>
      </c>
    </row>
    <row r="100" spans="8:8" ht="16.5">
      <c r="A100" s="116" t="s">
        <v>109</v>
      </c>
      <c r="B100" s="117" t="s">
        <v>65</v>
      </c>
      <c r="C100" s="97">
        <v>0.01</v>
      </c>
      <c r="D100" s="97">
        <v>326.0</v>
      </c>
      <c r="E100" s="101">
        <v>8.63</v>
      </c>
      <c r="F100" s="101">
        <v>15.0</v>
      </c>
      <c r="G100" s="114">
        <f t="shared" si="2"/>
        <v>349.64</v>
      </c>
      <c r="H100" s="118">
        <f t="shared" si="3"/>
        <v>3.4964E7</v>
      </c>
    </row>
    <row r="101" spans="8:8" ht="16.5">
      <c r="A101" s="111" t="s">
        <v>110</v>
      </c>
      <c r="B101" s="119" t="s">
        <v>65</v>
      </c>
      <c r="C101" s="113">
        <v>150.0</v>
      </c>
      <c r="D101" s="113">
        <v>259.0</v>
      </c>
      <c r="E101" s="114">
        <v>8.63</v>
      </c>
      <c r="F101" s="114">
        <v>15.0</v>
      </c>
      <c r="G101" s="101">
        <f t="shared" si="2"/>
        <v>432.63</v>
      </c>
      <c r="H101" s="115">
        <f t="shared" si="3"/>
        <v>4.3263E7</v>
      </c>
    </row>
    <row r="102" spans="8:8" ht="16.5">
      <c r="A102" s="116" t="s">
        <v>111</v>
      </c>
      <c r="B102" s="117" t="s">
        <v>65</v>
      </c>
      <c r="C102" s="97">
        <v>0.01</v>
      </c>
      <c r="D102" s="97">
        <v>250.0</v>
      </c>
      <c r="E102" s="101">
        <v>8.63</v>
      </c>
      <c r="F102" s="101">
        <v>15.0</v>
      </c>
      <c r="G102" s="114">
        <f t="shared" si="2"/>
        <v>273.64</v>
      </c>
      <c r="H102" s="118">
        <f t="shared" si="3"/>
        <v>2.7364E7</v>
      </c>
    </row>
    <row r="103" spans="8:8" ht="16.5">
      <c r="A103" s="116" t="s">
        <v>112</v>
      </c>
      <c r="B103" s="117" t="s">
        <v>65</v>
      </c>
      <c r="C103" s="97">
        <v>0.01</v>
      </c>
      <c r="D103" s="97">
        <v>286.0</v>
      </c>
      <c r="E103" s="92">
        <v>8.63</v>
      </c>
      <c r="F103" s="92">
        <v>15.0</v>
      </c>
      <c r="G103" s="101">
        <f t="shared" si="2"/>
        <v>309.64</v>
      </c>
      <c r="H103" s="93">
        <f t="shared" si="3"/>
        <v>3.0964E7</v>
      </c>
    </row>
    <row r="104" spans="8:8" ht="15.75">
      <c r="A104" s="116" t="s">
        <v>113</v>
      </c>
      <c r="B104" s="117" t="s">
        <v>65</v>
      </c>
      <c r="C104" s="97">
        <v>0.01</v>
      </c>
      <c r="D104" s="97">
        <v>305.0</v>
      </c>
      <c r="E104" s="92">
        <v>8.63</v>
      </c>
      <c r="F104" s="92">
        <v>15.0</v>
      </c>
      <c r="G104" s="114">
        <f t="shared" si="2"/>
        <v>328.64</v>
      </c>
      <c r="H104" s="93">
        <f t="shared" si="3"/>
        <v>3.2864E7</v>
      </c>
    </row>
    <row r="105" spans="8:8" ht="16.5">
      <c r="A105" s="111" t="s">
        <v>114</v>
      </c>
      <c r="B105" s="119" t="s">
        <v>65</v>
      </c>
      <c r="C105" s="113">
        <v>0.01</v>
      </c>
      <c r="D105" s="113">
        <v>269.0</v>
      </c>
      <c r="E105" s="114">
        <v>8.63</v>
      </c>
      <c r="F105" s="114">
        <v>15.0</v>
      </c>
      <c r="G105" s="101">
        <f t="shared" si="2"/>
        <v>292.64</v>
      </c>
      <c r="H105" s="115">
        <f t="shared" si="3"/>
        <v>2.9264E7</v>
      </c>
    </row>
    <row r="106" spans="8:8" ht="16.5">
      <c r="A106" s="116" t="s">
        <v>115</v>
      </c>
      <c r="B106" s="117" t="s">
        <v>65</v>
      </c>
      <c r="C106" s="97">
        <v>0.01</v>
      </c>
      <c r="D106" s="97">
        <v>281.0</v>
      </c>
      <c r="E106" s="101">
        <v>8.63</v>
      </c>
      <c r="F106" s="101">
        <v>15.0</v>
      </c>
      <c r="G106" s="114">
        <f t="shared" si="2"/>
        <v>304.64</v>
      </c>
      <c r="H106" s="118">
        <f t="shared" si="3"/>
        <v>3.0464E7</v>
      </c>
    </row>
    <row r="107" spans="8:8" ht="16.5">
      <c r="A107" s="116" t="s">
        <v>116</v>
      </c>
      <c r="B107" s="117" t="s">
        <v>65</v>
      </c>
      <c r="C107" s="97">
        <v>0.01</v>
      </c>
      <c r="D107" s="97">
        <v>314.0</v>
      </c>
      <c r="E107" s="92">
        <v>8.63</v>
      </c>
      <c r="F107" s="92">
        <v>15.0</v>
      </c>
      <c r="G107" s="101">
        <f t="shared" si="2"/>
        <v>337.64</v>
      </c>
      <c r="H107" s="93">
        <f t="shared" si="3"/>
        <v>3.3764E7</v>
      </c>
    </row>
    <row r="108" spans="8:8" ht="15.75">
      <c r="A108" s="116" t="s">
        <v>117</v>
      </c>
      <c r="B108" s="117" t="s">
        <v>65</v>
      </c>
      <c r="C108" s="97">
        <v>0.01</v>
      </c>
      <c r="D108" s="97">
        <v>276.0</v>
      </c>
      <c r="E108" s="92">
        <v>8.63</v>
      </c>
      <c r="F108" s="92">
        <v>15.0</v>
      </c>
      <c r="G108" s="114">
        <f t="shared" si="2"/>
        <v>299.64</v>
      </c>
      <c r="H108" s="93">
        <f t="shared" si="3"/>
        <v>2.9964E7</v>
      </c>
    </row>
    <row r="109" spans="8:8" ht="16.5">
      <c r="A109" s="111" t="s">
        <v>118</v>
      </c>
      <c r="B109" s="119" t="s">
        <v>65</v>
      </c>
      <c r="C109" s="113">
        <v>0.01</v>
      </c>
      <c r="D109" s="113">
        <v>244.0</v>
      </c>
      <c r="E109" s="114">
        <v>8.63</v>
      </c>
      <c r="F109" s="114">
        <v>15.0</v>
      </c>
      <c r="G109" s="101">
        <f t="shared" si="2"/>
        <v>267.64</v>
      </c>
      <c r="H109" s="115">
        <f t="shared" si="3"/>
        <v>2.6764E7</v>
      </c>
    </row>
    <row r="110" spans="8:8" ht="16.5">
      <c r="A110" s="116" t="s">
        <v>119</v>
      </c>
      <c r="B110" s="117" t="s">
        <v>65</v>
      </c>
      <c r="C110" s="97">
        <v>0.01</v>
      </c>
      <c r="D110" s="97">
        <v>281.0</v>
      </c>
      <c r="E110" s="101">
        <v>8.63</v>
      </c>
      <c r="F110" s="101">
        <v>15.0</v>
      </c>
      <c r="G110" s="114">
        <f t="shared" si="2"/>
        <v>304.64</v>
      </c>
      <c r="H110" s="118">
        <f t="shared" si="4" ref="H110:H134">G110*100000</f>
        <v>3.0464E7</v>
      </c>
    </row>
    <row r="111" spans="8:8" ht="16.5">
      <c r="A111" s="116" t="s">
        <v>120</v>
      </c>
      <c r="B111" s="117" t="s">
        <v>65</v>
      </c>
      <c r="C111" s="97">
        <v>0.01</v>
      </c>
      <c r="D111" s="97">
        <v>394.0</v>
      </c>
      <c r="E111" s="92">
        <v>8.63</v>
      </c>
      <c r="F111" s="92">
        <v>15.0</v>
      </c>
      <c r="G111" s="101">
        <f t="shared" si="2"/>
        <v>417.64</v>
      </c>
      <c r="H111" s="93">
        <f t="shared" si="4"/>
        <v>4.1764E7</v>
      </c>
    </row>
    <row r="112" spans="8:8" ht="15.75">
      <c r="A112" s="116" t="s">
        <v>121</v>
      </c>
      <c r="B112" s="117" t="s">
        <v>65</v>
      </c>
      <c r="C112" s="97">
        <v>0.01</v>
      </c>
      <c r="D112" s="97">
        <v>434.0</v>
      </c>
      <c r="E112" s="92">
        <v>8.63</v>
      </c>
      <c r="F112" s="92">
        <v>15.0</v>
      </c>
      <c r="G112" s="114">
        <f t="shared" si="2"/>
        <v>457.64</v>
      </c>
      <c r="H112" s="93">
        <f t="shared" si="4"/>
        <v>4.5764E7</v>
      </c>
    </row>
    <row r="113" spans="8:8" ht="16.5">
      <c r="A113" s="111" t="s">
        <v>122</v>
      </c>
      <c r="B113" s="119" t="s">
        <v>65</v>
      </c>
      <c r="C113" s="113">
        <v>0.01</v>
      </c>
      <c r="D113" s="113">
        <v>259.0</v>
      </c>
      <c r="E113" s="114">
        <v>8.63</v>
      </c>
      <c r="F113" s="114">
        <v>15.0</v>
      </c>
      <c r="G113" s="101">
        <f t="shared" si="2"/>
        <v>282.64</v>
      </c>
      <c r="H113" s="115">
        <f t="shared" si="4"/>
        <v>2.8264E7</v>
      </c>
    </row>
    <row r="114" spans="8:8" ht="16.5">
      <c r="A114" s="116" t="s">
        <v>123</v>
      </c>
      <c r="B114" s="117" t="s">
        <v>65</v>
      </c>
      <c r="C114" s="97">
        <v>0.01</v>
      </c>
      <c r="D114" s="97">
        <v>289.0</v>
      </c>
      <c r="E114" s="101">
        <v>8.63</v>
      </c>
      <c r="F114" s="101">
        <v>15.0</v>
      </c>
      <c r="G114" s="114">
        <f t="shared" si="2"/>
        <v>312.64</v>
      </c>
      <c r="H114" s="118">
        <f t="shared" si="4"/>
        <v>3.1264E7</v>
      </c>
    </row>
    <row r="115" spans="8:8" ht="16.5">
      <c r="A115" s="116" t="s">
        <v>124</v>
      </c>
      <c r="B115" s="117" t="s">
        <v>65</v>
      </c>
      <c r="C115" s="97">
        <v>0.01</v>
      </c>
      <c r="D115" s="97">
        <v>323.0</v>
      </c>
      <c r="E115" s="92">
        <v>8.63</v>
      </c>
      <c r="F115" s="92">
        <v>15.0</v>
      </c>
      <c r="G115" s="101">
        <f t="shared" si="2"/>
        <v>346.64</v>
      </c>
      <c r="H115" s="93">
        <f t="shared" si="4"/>
        <v>3.4664E7</v>
      </c>
    </row>
    <row r="116" spans="8:8" ht="15.75">
      <c r="A116" s="116" t="s">
        <v>125</v>
      </c>
      <c r="B116" s="117" t="s">
        <v>65</v>
      </c>
      <c r="C116" s="97">
        <v>0.01</v>
      </c>
      <c r="D116" s="97">
        <v>337.0</v>
      </c>
      <c r="E116" s="92">
        <v>8.63</v>
      </c>
      <c r="F116" s="92">
        <v>15.0</v>
      </c>
      <c r="G116" s="114">
        <f t="shared" si="2"/>
        <v>360.64</v>
      </c>
      <c r="H116" s="93">
        <f t="shared" si="4"/>
        <v>3.6064E7</v>
      </c>
    </row>
    <row r="117" spans="8:8" ht="16.5">
      <c r="A117" s="116" t="s">
        <v>126</v>
      </c>
      <c r="B117" s="117" t="s">
        <v>65</v>
      </c>
      <c r="C117" s="97">
        <v>0.01</v>
      </c>
      <c r="D117" s="97">
        <v>449.0</v>
      </c>
      <c r="E117" s="92">
        <v>8.63</v>
      </c>
      <c r="F117" s="92">
        <v>15.0</v>
      </c>
      <c r="G117" s="101">
        <f t="shared" si="2"/>
        <v>472.64</v>
      </c>
      <c r="H117" s="93">
        <f t="shared" si="4"/>
        <v>4.7264E7</v>
      </c>
    </row>
    <row r="118" spans="8:8" ht="15.75">
      <c r="A118" s="111" t="s">
        <v>127</v>
      </c>
      <c r="B118" s="119" t="s">
        <v>65</v>
      </c>
      <c r="C118" s="113">
        <v>0.01</v>
      </c>
      <c r="D118" s="113">
        <v>408.0</v>
      </c>
      <c r="E118" s="114">
        <v>8.63</v>
      </c>
      <c r="F118" s="114">
        <v>15.0</v>
      </c>
      <c r="G118" s="114">
        <f t="shared" si="2"/>
        <v>431.64</v>
      </c>
      <c r="H118" s="93">
        <f t="shared" si="4"/>
        <v>4.3164E7</v>
      </c>
    </row>
    <row r="119" spans="8:8" ht="16.5">
      <c r="A119" s="116" t="s">
        <v>128</v>
      </c>
      <c r="B119" s="117" t="s">
        <v>65</v>
      </c>
      <c r="C119" s="97">
        <v>0.01</v>
      </c>
      <c r="D119" s="97">
        <v>434.0</v>
      </c>
      <c r="E119" s="101">
        <v>8.63</v>
      </c>
      <c r="F119" s="101">
        <v>15.0</v>
      </c>
      <c r="G119" s="101">
        <f t="shared" si="2"/>
        <v>457.64</v>
      </c>
      <c r="H119" s="93">
        <f t="shared" si="4"/>
        <v>4.5764E7</v>
      </c>
    </row>
    <row r="120" spans="8:8" ht="15.75">
      <c r="A120" s="116" t="s">
        <v>129</v>
      </c>
      <c r="B120" s="117" t="s">
        <v>65</v>
      </c>
      <c r="C120" s="97">
        <v>0.01</v>
      </c>
      <c r="D120" s="97">
        <v>450.0</v>
      </c>
      <c r="E120" s="92">
        <v>8.63</v>
      </c>
      <c r="F120" s="92">
        <v>15.0</v>
      </c>
      <c r="G120" s="114">
        <f t="shared" si="2"/>
        <v>473.64</v>
      </c>
      <c r="H120" s="115">
        <f t="shared" si="4"/>
        <v>4.7364E7</v>
      </c>
    </row>
    <row r="121" spans="8:8" ht="16.5">
      <c r="A121" s="116" t="s">
        <v>130</v>
      </c>
      <c r="B121" s="117" t="s">
        <v>65</v>
      </c>
      <c r="C121" s="97">
        <v>0.01</v>
      </c>
      <c r="D121" s="97">
        <v>495.0</v>
      </c>
      <c r="E121" s="92">
        <v>8.63</v>
      </c>
      <c r="F121" s="92">
        <v>15.0</v>
      </c>
      <c r="G121" s="101">
        <f t="shared" si="2"/>
        <v>518.64</v>
      </c>
      <c r="H121" s="118">
        <f t="shared" si="4"/>
        <v>5.1864E7</v>
      </c>
    </row>
    <row r="122" spans="8:8" ht="15.75">
      <c r="A122" s="116" t="s">
        <v>131</v>
      </c>
      <c r="B122" s="117" t="s">
        <v>65</v>
      </c>
      <c r="C122" s="97">
        <v>0.01</v>
      </c>
      <c r="D122" s="97">
        <v>511.0</v>
      </c>
      <c r="E122" s="92">
        <v>8.63</v>
      </c>
      <c r="F122" s="92">
        <v>15.0</v>
      </c>
      <c r="G122" s="114">
        <f t="shared" si="2"/>
        <v>534.64</v>
      </c>
      <c r="H122" s="93">
        <f t="shared" si="4"/>
        <v>5.3464E7</v>
      </c>
    </row>
    <row r="123" spans="8:8" ht="16.5">
      <c r="A123" s="111" t="s">
        <v>132</v>
      </c>
      <c r="B123" s="119" t="s">
        <v>65</v>
      </c>
      <c r="C123" s="113">
        <v>0.01</v>
      </c>
      <c r="D123" s="113">
        <v>258.0</v>
      </c>
      <c r="E123" s="114">
        <v>8.63</v>
      </c>
      <c r="F123" s="114">
        <v>15.0</v>
      </c>
      <c r="G123" s="101">
        <f t="shared" si="2"/>
        <v>281.64</v>
      </c>
      <c r="H123" s="93">
        <f t="shared" si="4"/>
        <v>2.8164E7</v>
      </c>
    </row>
    <row r="124" spans="8:8" ht="16.5">
      <c r="A124" s="116" t="s">
        <v>133</v>
      </c>
      <c r="B124" s="117" t="s">
        <v>65</v>
      </c>
      <c r="C124" s="97">
        <v>0.01</v>
      </c>
      <c r="D124" s="97">
        <v>281.0</v>
      </c>
      <c r="E124" s="101">
        <v>8.63</v>
      </c>
      <c r="F124" s="101">
        <v>15.0</v>
      </c>
      <c r="G124" s="114">
        <f t="shared" si="2"/>
        <v>304.64</v>
      </c>
      <c r="H124" s="93">
        <f t="shared" si="4"/>
        <v>3.0464E7</v>
      </c>
    </row>
    <row r="125" spans="8:8" ht="16.5">
      <c r="A125" s="116" t="s">
        <v>134</v>
      </c>
      <c r="B125" s="117" t="s">
        <v>65</v>
      </c>
      <c r="C125" s="97">
        <v>0.01</v>
      </c>
      <c r="D125" s="97">
        <v>303.0</v>
      </c>
      <c r="E125" s="92">
        <v>8.63</v>
      </c>
      <c r="F125" s="92">
        <v>15.0</v>
      </c>
      <c r="G125" s="101">
        <f t="shared" si="2"/>
        <v>326.64</v>
      </c>
      <c r="H125" s="115">
        <f t="shared" si="4"/>
        <v>3.2664E7</v>
      </c>
    </row>
    <row r="126" spans="8:8" ht="16.5">
      <c r="A126" s="111" t="s">
        <v>135</v>
      </c>
      <c r="B126" s="119" t="s">
        <v>65</v>
      </c>
      <c r="C126" s="113">
        <v>0.01</v>
      </c>
      <c r="D126" s="113">
        <v>269.0</v>
      </c>
      <c r="E126" s="114">
        <v>8.63</v>
      </c>
      <c r="F126" s="114">
        <v>15.0</v>
      </c>
      <c r="G126" s="114">
        <f t="shared" si="2"/>
        <v>292.64</v>
      </c>
      <c r="H126" s="118">
        <f t="shared" si="4"/>
        <v>2.9264E7</v>
      </c>
    </row>
    <row r="127" spans="8:8" ht="16.5">
      <c r="A127" s="116" t="s">
        <v>136</v>
      </c>
      <c r="B127" s="117" t="s">
        <v>65</v>
      </c>
      <c r="C127" s="97">
        <v>0.01</v>
      </c>
      <c r="D127" s="97">
        <v>281.0</v>
      </c>
      <c r="E127" s="101">
        <v>8.63</v>
      </c>
      <c r="F127" s="101">
        <v>15.0</v>
      </c>
      <c r="G127" s="101">
        <f t="shared" si="2"/>
        <v>304.64</v>
      </c>
      <c r="H127" s="93">
        <f t="shared" si="4"/>
        <v>3.0464E7</v>
      </c>
    </row>
    <row r="128" spans="8:8" ht="15.75">
      <c r="A128" s="116" t="s">
        <v>137</v>
      </c>
      <c r="B128" s="117" t="s">
        <v>65</v>
      </c>
      <c r="C128" s="97">
        <v>0.01</v>
      </c>
      <c r="D128" s="97">
        <v>400.0</v>
      </c>
      <c r="E128" s="92">
        <v>8.63</v>
      </c>
      <c r="F128" s="92">
        <v>15.0</v>
      </c>
      <c r="G128" s="114">
        <f t="shared" si="2"/>
        <v>423.64</v>
      </c>
      <c r="H128" s="115">
        <f t="shared" si="4"/>
        <v>4.2364E7</v>
      </c>
    </row>
    <row r="129" spans="8:8" ht="16.5">
      <c r="A129" s="116" t="s">
        <v>138</v>
      </c>
      <c r="B129" s="117" t="s">
        <v>65</v>
      </c>
      <c r="C129" s="97">
        <v>0.01</v>
      </c>
      <c r="D129" s="97">
        <v>423.0</v>
      </c>
      <c r="E129" s="92">
        <v>8.63</v>
      </c>
      <c r="F129" s="92">
        <v>15.0</v>
      </c>
      <c r="G129" s="101">
        <f t="shared" si="2"/>
        <v>446.64</v>
      </c>
      <c r="H129" s="118">
        <f t="shared" si="4"/>
        <v>4.4664E7</v>
      </c>
    </row>
    <row r="130" spans="8:8" ht="15.75">
      <c r="A130" s="111" t="s">
        <v>139</v>
      </c>
      <c r="B130" s="119" t="s">
        <v>65</v>
      </c>
      <c r="C130" s="113">
        <v>0.01</v>
      </c>
      <c r="D130" s="113">
        <v>250.0</v>
      </c>
      <c r="E130" s="114">
        <v>8.63</v>
      </c>
      <c r="F130" s="114">
        <v>15.0</v>
      </c>
      <c r="G130" s="114">
        <f t="shared" si="5" ref="G130:G193">SUM(C130:F130)</f>
        <v>273.64</v>
      </c>
      <c r="H130" s="93">
        <f t="shared" si="4"/>
        <v>2.7364E7</v>
      </c>
    </row>
    <row r="131" spans="8:8" ht="16.5">
      <c r="A131" s="116" t="s">
        <v>140</v>
      </c>
      <c r="B131" s="117" t="s">
        <v>65</v>
      </c>
      <c r="C131" s="97">
        <v>0.01</v>
      </c>
      <c r="D131" s="97">
        <v>274.0</v>
      </c>
      <c r="E131" s="101">
        <v>8.63</v>
      </c>
      <c r="F131" s="101">
        <v>15.0</v>
      </c>
      <c r="G131" s="101">
        <f t="shared" si="5"/>
        <v>297.64</v>
      </c>
      <c r="H131" s="93">
        <f t="shared" si="4"/>
        <v>2.9764E7</v>
      </c>
    </row>
    <row r="132" spans="8:8" ht="15.75">
      <c r="A132" s="116" t="s">
        <v>141</v>
      </c>
      <c r="B132" s="117" t="s">
        <v>65</v>
      </c>
      <c r="C132" s="97">
        <v>0.01</v>
      </c>
      <c r="D132" s="97">
        <v>326.0</v>
      </c>
      <c r="E132" s="92">
        <v>8.63</v>
      </c>
      <c r="F132" s="92">
        <v>15.0</v>
      </c>
      <c r="G132" s="114">
        <f t="shared" si="5"/>
        <v>349.64</v>
      </c>
      <c r="H132" s="115">
        <f t="shared" si="4"/>
        <v>3.4964E7</v>
      </c>
    </row>
    <row r="133" spans="8:8" ht="16.5">
      <c r="A133" s="111" t="s">
        <v>142</v>
      </c>
      <c r="B133" s="119" t="s">
        <v>65</v>
      </c>
      <c r="C133" s="113">
        <v>0.01</v>
      </c>
      <c r="D133" s="113">
        <v>405.0</v>
      </c>
      <c r="E133" s="114">
        <v>8.63</v>
      </c>
      <c r="F133" s="114">
        <v>15.0</v>
      </c>
      <c r="G133" s="101">
        <f t="shared" si="5"/>
        <v>428.64</v>
      </c>
      <c r="H133" s="118">
        <f t="shared" si="4"/>
        <v>4.2864E7</v>
      </c>
    </row>
    <row r="134" spans="8:8" ht="16.5">
      <c r="A134" s="116" t="s">
        <v>143</v>
      </c>
      <c r="B134" s="117" t="s">
        <v>65</v>
      </c>
      <c r="C134" s="97">
        <v>0.01</v>
      </c>
      <c r="D134" s="97">
        <v>448.0</v>
      </c>
      <c r="E134" s="101">
        <v>8.63</v>
      </c>
      <c r="F134" s="101">
        <v>15.0</v>
      </c>
      <c r="G134" s="114">
        <f t="shared" si="5"/>
        <v>471.64</v>
      </c>
      <c r="H134" s="93">
        <f t="shared" si="4"/>
        <v>4.7164E7</v>
      </c>
    </row>
    <row r="135" spans="8:8" ht="16.5">
      <c r="A135" s="116" t="s">
        <v>144</v>
      </c>
      <c r="B135" s="117" t="s">
        <v>65</v>
      </c>
      <c r="C135" s="97">
        <v>0.01</v>
      </c>
      <c r="D135" s="97">
        <v>454.0</v>
      </c>
      <c r="E135" s="92">
        <v>8.63</v>
      </c>
      <c r="F135" s="92">
        <v>15.0</v>
      </c>
      <c r="G135" s="101">
        <f t="shared" si="5"/>
        <v>477.64</v>
      </c>
      <c r="H135" s="118">
        <f t="shared" si="6" ref="H135:H198">G135*100000</f>
        <v>4.7764E7</v>
      </c>
    </row>
    <row r="136" spans="8:8" ht="15.75">
      <c r="A136" s="111" t="s">
        <v>145</v>
      </c>
      <c r="B136" s="119" t="s">
        <v>65</v>
      </c>
      <c r="C136" s="113">
        <v>0.01</v>
      </c>
      <c r="D136" s="113">
        <v>250.0</v>
      </c>
      <c r="E136" s="114">
        <v>8.63</v>
      </c>
      <c r="F136" s="114">
        <v>15.0</v>
      </c>
      <c r="G136" s="114">
        <f t="shared" si="5"/>
        <v>273.64</v>
      </c>
      <c r="H136" s="93">
        <f t="shared" si="6"/>
        <v>2.7364E7</v>
      </c>
    </row>
    <row r="137" spans="8:8" ht="16.5">
      <c r="A137" s="116" t="s">
        <v>146</v>
      </c>
      <c r="B137" s="117" t="s">
        <v>65</v>
      </c>
      <c r="C137" s="97">
        <v>0.01</v>
      </c>
      <c r="D137" s="97">
        <v>274.0</v>
      </c>
      <c r="E137" s="101">
        <v>8.63</v>
      </c>
      <c r="F137" s="101">
        <v>15.0</v>
      </c>
      <c r="G137" s="101">
        <f t="shared" si="5"/>
        <v>297.64</v>
      </c>
      <c r="H137" s="118">
        <f t="shared" si="6"/>
        <v>2.9764E7</v>
      </c>
    </row>
    <row r="138" spans="8:8" ht="15.75">
      <c r="A138" s="116" t="s">
        <v>147</v>
      </c>
      <c r="B138" s="117" t="s">
        <v>65</v>
      </c>
      <c r="C138" s="97">
        <v>0.01</v>
      </c>
      <c r="D138" s="97">
        <v>326.0</v>
      </c>
      <c r="E138" s="92">
        <v>8.63</v>
      </c>
      <c r="F138" s="92">
        <v>15.0</v>
      </c>
      <c r="G138" s="114">
        <f t="shared" si="5"/>
        <v>349.64</v>
      </c>
      <c r="H138" s="93">
        <f t="shared" si="6"/>
        <v>3.4964E7</v>
      </c>
    </row>
    <row r="139" spans="8:8" ht="16.5">
      <c r="A139" s="111" t="s">
        <v>148</v>
      </c>
      <c r="B139" s="119" t="s">
        <v>65</v>
      </c>
      <c r="C139" s="113">
        <v>0.01</v>
      </c>
      <c r="D139" s="113">
        <v>274.0</v>
      </c>
      <c r="E139" s="114">
        <v>8.63</v>
      </c>
      <c r="F139" s="114">
        <v>15.0</v>
      </c>
      <c r="G139" s="101">
        <f t="shared" si="5"/>
        <v>297.64</v>
      </c>
      <c r="H139" s="118">
        <f t="shared" si="6"/>
        <v>2.9764E7</v>
      </c>
    </row>
    <row r="140" spans="8:8" ht="16.5">
      <c r="A140" s="116" t="s">
        <v>149</v>
      </c>
      <c r="B140" s="117" t="s">
        <v>65</v>
      </c>
      <c r="C140" s="97">
        <v>0.01</v>
      </c>
      <c r="D140" s="97">
        <v>326.0</v>
      </c>
      <c r="E140" s="101">
        <v>8.63</v>
      </c>
      <c r="F140" s="101">
        <v>15.0</v>
      </c>
      <c r="G140" s="114">
        <f t="shared" si="5"/>
        <v>349.64</v>
      </c>
      <c r="H140" s="93">
        <f t="shared" si="6"/>
        <v>3.4964E7</v>
      </c>
    </row>
    <row r="141" spans="8:8" ht="16.5">
      <c r="A141" s="116" t="s">
        <v>150</v>
      </c>
      <c r="B141" s="117" t="s">
        <v>65</v>
      </c>
      <c r="C141" s="97">
        <v>0.01</v>
      </c>
      <c r="D141" s="97">
        <v>541.0</v>
      </c>
      <c r="E141" s="92">
        <v>8.63</v>
      </c>
      <c r="F141" s="92">
        <v>15.0</v>
      </c>
      <c r="G141" s="101">
        <f t="shared" si="5"/>
        <v>564.64</v>
      </c>
      <c r="H141" s="118">
        <f t="shared" si="6"/>
        <v>5.6464E7</v>
      </c>
    </row>
    <row r="142" spans="8:8" ht="15.75">
      <c r="A142" s="116" t="s">
        <v>151</v>
      </c>
      <c r="B142" s="117" t="s">
        <v>65</v>
      </c>
      <c r="C142" s="97">
        <v>0.01</v>
      </c>
      <c r="D142" s="97">
        <v>449.0</v>
      </c>
      <c r="E142" s="92">
        <v>8.63</v>
      </c>
      <c r="F142" s="92">
        <v>15.0</v>
      </c>
      <c r="G142" s="114">
        <f t="shared" si="5"/>
        <v>472.64</v>
      </c>
      <c r="H142" s="93">
        <f t="shared" si="6"/>
        <v>4.7264E7</v>
      </c>
    </row>
    <row r="143" spans="8:8" ht="16.5">
      <c r="A143" s="116" t="s">
        <v>152</v>
      </c>
      <c r="B143" s="117" t="s">
        <v>65</v>
      </c>
      <c r="C143" s="97">
        <v>0.01</v>
      </c>
      <c r="D143" s="97">
        <v>462.0</v>
      </c>
      <c r="E143" s="92">
        <v>8.63</v>
      </c>
      <c r="F143" s="92">
        <v>15.0</v>
      </c>
      <c r="G143" s="101">
        <f t="shared" si="5"/>
        <v>485.64</v>
      </c>
      <c r="H143" s="118">
        <f t="shared" si="6"/>
        <v>4.8564E7</v>
      </c>
    </row>
    <row r="144" spans="8:8" ht="15.75">
      <c r="A144" s="116" t="s">
        <v>153</v>
      </c>
      <c r="B144" s="117" t="s">
        <v>65</v>
      </c>
      <c r="C144" s="97">
        <v>0.01</v>
      </c>
      <c r="D144" s="97">
        <v>1300.0</v>
      </c>
      <c r="E144" s="92">
        <v>8.63</v>
      </c>
      <c r="F144" s="92">
        <v>15.0</v>
      </c>
      <c r="G144" s="114">
        <f t="shared" si="5"/>
        <v>1323.64</v>
      </c>
      <c r="H144" s="93">
        <f t="shared" si="6"/>
        <v>1.3236400000000001E8</v>
      </c>
    </row>
    <row r="145" spans="8:8" ht="16.5">
      <c r="A145" s="111" t="s">
        <v>154</v>
      </c>
      <c r="B145" s="119" t="s">
        <v>65</v>
      </c>
      <c r="C145" s="113">
        <v>0.01</v>
      </c>
      <c r="D145" s="113">
        <v>250.0</v>
      </c>
      <c r="E145" s="114">
        <v>8.63</v>
      </c>
      <c r="F145" s="114">
        <v>15.0</v>
      </c>
      <c r="G145" s="101">
        <f t="shared" si="5"/>
        <v>273.64</v>
      </c>
      <c r="H145" s="118">
        <f t="shared" si="6"/>
        <v>2.7364E7</v>
      </c>
    </row>
    <row r="146" spans="8:8" ht="16.5">
      <c r="A146" s="116" t="s">
        <v>155</v>
      </c>
      <c r="B146" s="117" t="s">
        <v>65</v>
      </c>
      <c r="C146" s="97">
        <v>0.01</v>
      </c>
      <c r="D146" s="97">
        <v>265.0</v>
      </c>
      <c r="E146" s="101">
        <v>8.63</v>
      </c>
      <c r="F146" s="101">
        <v>15.0</v>
      </c>
      <c r="G146" s="114">
        <f t="shared" si="5"/>
        <v>288.64</v>
      </c>
      <c r="H146" s="93">
        <f t="shared" si="6"/>
        <v>2.8864E7</v>
      </c>
    </row>
    <row r="147" spans="8:8" ht="16.5">
      <c r="A147" s="116" t="s">
        <v>156</v>
      </c>
      <c r="B147" s="117" t="s">
        <v>65</v>
      </c>
      <c r="C147" s="97">
        <v>0.01</v>
      </c>
      <c r="D147" s="97">
        <v>282.0</v>
      </c>
      <c r="E147" s="92">
        <v>8.63</v>
      </c>
      <c r="F147" s="92">
        <v>15.0</v>
      </c>
      <c r="G147" s="101">
        <f t="shared" si="5"/>
        <v>305.64</v>
      </c>
      <c r="H147" s="118">
        <f t="shared" si="6"/>
        <v>3.0564E7</v>
      </c>
    </row>
    <row r="148" spans="8:8" ht="15.75">
      <c r="A148" s="111" t="s">
        <v>157</v>
      </c>
      <c r="B148" s="119" t="s">
        <v>65</v>
      </c>
      <c r="C148" s="113">
        <v>0.01</v>
      </c>
      <c r="D148" s="113">
        <v>265.0</v>
      </c>
      <c r="E148" s="114">
        <v>8.63</v>
      </c>
      <c r="F148" s="114">
        <v>15.0</v>
      </c>
      <c r="G148" s="114">
        <f t="shared" si="5"/>
        <v>288.64</v>
      </c>
      <c r="H148" s="93">
        <f t="shared" si="6"/>
        <v>2.8864E7</v>
      </c>
    </row>
    <row r="149" spans="8:8" ht="16.5">
      <c r="A149" s="116" t="s">
        <v>158</v>
      </c>
      <c r="B149" s="117" t="s">
        <v>65</v>
      </c>
      <c r="C149" s="97">
        <v>0.01</v>
      </c>
      <c r="D149" s="97">
        <v>282.0</v>
      </c>
      <c r="E149" s="101">
        <v>8.63</v>
      </c>
      <c r="F149" s="101">
        <v>15.0</v>
      </c>
      <c r="G149" s="101">
        <f t="shared" si="5"/>
        <v>305.64</v>
      </c>
      <c r="H149" s="118">
        <f t="shared" si="6"/>
        <v>3.0564E7</v>
      </c>
    </row>
    <row r="150" spans="8:8" ht="15.75">
      <c r="A150" s="116" t="s">
        <v>159</v>
      </c>
      <c r="B150" s="117" t="s">
        <v>65</v>
      </c>
      <c r="C150" s="97">
        <v>0.01</v>
      </c>
      <c r="D150" s="97">
        <v>305.0</v>
      </c>
      <c r="E150" s="92">
        <v>8.63</v>
      </c>
      <c r="F150" s="92">
        <v>15.0</v>
      </c>
      <c r="G150" s="114">
        <f t="shared" si="5"/>
        <v>328.64</v>
      </c>
      <c r="H150" s="93">
        <f t="shared" si="6"/>
        <v>3.2864E7</v>
      </c>
    </row>
    <row r="151" spans="8:8" ht="16.5">
      <c r="A151" s="111" t="s">
        <v>160</v>
      </c>
      <c r="B151" s="119" t="s">
        <v>65</v>
      </c>
      <c r="C151" s="113">
        <v>0.01</v>
      </c>
      <c r="D151" s="113">
        <v>274.0</v>
      </c>
      <c r="E151" s="114">
        <v>8.63</v>
      </c>
      <c r="F151" s="114">
        <v>15.0</v>
      </c>
      <c r="G151" s="101">
        <f t="shared" si="5"/>
        <v>297.64</v>
      </c>
      <c r="H151" s="118">
        <f t="shared" si="6"/>
        <v>2.9764E7</v>
      </c>
    </row>
    <row r="152" spans="8:8" ht="16.5">
      <c r="A152" s="116" t="s">
        <v>161</v>
      </c>
      <c r="B152" s="117" t="s">
        <v>65</v>
      </c>
      <c r="C152" s="97">
        <v>0.01</v>
      </c>
      <c r="D152" s="97">
        <v>326.0</v>
      </c>
      <c r="E152" s="101">
        <v>8.63</v>
      </c>
      <c r="F152" s="101">
        <v>15.0</v>
      </c>
      <c r="G152" s="114">
        <f t="shared" si="5"/>
        <v>349.64</v>
      </c>
      <c r="H152" s="93">
        <f t="shared" si="6"/>
        <v>3.4964E7</v>
      </c>
    </row>
    <row r="153" spans="8:8" ht="16.5">
      <c r="A153" s="111" t="s">
        <v>162</v>
      </c>
      <c r="B153" s="119" t="s">
        <v>65</v>
      </c>
      <c r="C153" s="113">
        <v>0.01</v>
      </c>
      <c r="D153" s="113">
        <v>426.0</v>
      </c>
      <c r="E153" s="114">
        <v>8.63</v>
      </c>
      <c r="F153" s="114">
        <v>15.0</v>
      </c>
      <c r="G153" s="101">
        <f t="shared" si="5"/>
        <v>449.64</v>
      </c>
      <c r="H153" s="118">
        <f t="shared" si="6"/>
        <v>4.4964E7</v>
      </c>
    </row>
    <row r="154" spans="8:8" ht="16.5">
      <c r="A154" s="116" t="s">
        <v>163</v>
      </c>
      <c r="B154" s="117" t="s">
        <v>65</v>
      </c>
      <c r="C154" s="97">
        <v>0.01</v>
      </c>
      <c r="D154" s="97">
        <v>470.0</v>
      </c>
      <c r="E154" s="101">
        <v>8.63</v>
      </c>
      <c r="F154" s="101">
        <v>15.0</v>
      </c>
      <c r="G154" s="114">
        <f t="shared" si="5"/>
        <v>493.64</v>
      </c>
      <c r="H154" s="93">
        <f t="shared" si="6"/>
        <v>4.9364E7</v>
      </c>
    </row>
    <row r="155" spans="8:8" ht="16.5">
      <c r="A155" s="111" t="s">
        <v>164</v>
      </c>
      <c r="B155" s="119" t="s">
        <v>65</v>
      </c>
      <c r="C155" s="113">
        <v>0.01</v>
      </c>
      <c r="D155" s="113">
        <v>244.0</v>
      </c>
      <c r="E155" s="114">
        <v>8.63</v>
      </c>
      <c r="F155" s="114">
        <v>15.0</v>
      </c>
      <c r="G155" s="101">
        <f t="shared" si="5"/>
        <v>267.64</v>
      </c>
      <c r="H155" s="118">
        <f t="shared" si="6"/>
        <v>2.6764E7</v>
      </c>
    </row>
    <row r="156" spans="8:8" ht="16.5">
      <c r="A156" s="116" t="s">
        <v>165</v>
      </c>
      <c r="B156" s="117" t="s">
        <v>65</v>
      </c>
      <c r="C156" s="97">
        <v>0.01</v>
      </c>
      <c r="D156" s="97">
        <v>274.0</v>
      </c>
      <c r="E156" s="101">
        <v>8.63</v>
      </c>
      <c r="F156" s="101">
        <v>15.0</v>
      </c>
      <c r="G156" s="114">
        <f t="shared" si="5"/>
        <v>297.64</v>
      </c>
      <c r="H156" s="93">
        <f t="shared" si="6"/>
        <v>2.9764E7</v>
      </c>
    </row>
    <row r="157" spans="8:8" ht="16.5">
      <c r="A157" s="111" t="s">
        <v>166</v>
      </c>
      <c r="B157" s="119" t="s">
        <v>65</v>
      </c>
      <c r="C157" s="113">
        <v>0.01</v>
      </c>
      <c r="D157" s="113">
        <v>250.0</v>
      </c>
      <c r="E157" s="114">
        <v>8.63</v>
      </c>
      <c r="F157" s="114">
        <v>15.0</v>
      </c>
      <c r="G157" s="101">
        <f t="shared" si="5"/>
        <v>273.64</v>
      </c>
      <c r="H157" s="118">
        <f t="shared" si="6"/>
        <v>2.7364E7</v>
      </c>
    </row>
    <row r="158" spans="8:8" ht="16.5">
      <c r="A158" s="116" t="s">
        <v>167</v>
      </c>
      <c r="B158" s="117" t="s">
        <v>65</v>
      </c>
      <c r="C158" s="97">
        <v>0.01</v>
      </c>
      <c r="D158" s="97">
        <v>275.0</v>
      </c>
      <c r="E158" s="101">
        <v>8.63</v>
      </c>
      <c r="F158" s="101">
        <v>15.0</v>
      </c>
      <c r="G158" s="114">
        <f t="shared" si="5"/>
        <v>298.64</v>
      </c>
      <c r="H158" s="93">
        <f t="shared" si="6"/>
        <v>2.9864E7</v>
      </c>
    </row>
    <row r="159" spans="8:8" ht="16.5">
      <c r="A159" s="116" t="s">
        <v>168</v>
      </c>
      <c r="B159" s="117" t="s">
        <v>65</v>
      </c>
      <c r="C159" s="97">
        <v>0.01</v>
      </c>
      <c r="D159" s="97">
        <v>251.0</v>
      </c>
      <c r="E159" s="92">
        <v>8.63</v>
      </c>
      <c r="F159" s="92">
        <v>15.0</v>
      </c>
      <c r="G159" s="101">
        <f t="shared" si="5"/>
        <v>274.64</v>
      </c>
      <c r="H159" s="118">
        <f t="shared" si="6"/>
        <v>2.7464E7</v>
      </c>
    </row>
    <row r="160" spans="8:8" ht="15.75">
      <c r="A160" s="116" t="s">
        <v>169</v>
      </c>
      <c r="B160" s="117" t="s">
        <v>65</v>
      </c>
      <c r="C160" s="97">
        <v>0.01</v>
      </c>
      <c r="D160" s="97">
        <v>443.0</v>
      </c>
      <c r="E160" s="92">
        <v>8.63</v>
      </c>
      <c r="F160" s="92">
        <v>15.0</v>
      </c>
      <c r="G160" s="114">
        <f t="shared" si="5"/>
        <v>466.64</v>
      </c>
      <c r="H160" s="93">
        <f t="shared" si="6"/>
        <v>4.6664E7</v>
      </c>
    </row>
    <row r="161" spans="8:8" ht="16.5">
      <c r="A161" s="111" t="s">
        <v>170</v>
      </c>
      <c r="B161" s="119" t="s">
        <v>65</v>
      </c>
      <c r="C161" s="113">
        <v>0.01</v>
      </c>
      <c r="D161" s="113">
        <v>250.0</v>
      </c>
      <c r="E161" s="114">
        <v>8.63</v>
      </c>
      <c r="F161" s="114">
        <v>15.0</v>
      </c>
      <c r="G161" s="101">
        <f t="shared" si="5"/>
        <v>273.64</v>
      </c>
      <c r="H161" s="118">
        <f t="shared" si="6"/>
        <v>2.7364E7</v>
      </c>
    </row>
    <row r="162" spans="8:8" ht="16.5">
      <c r="A162" s="116" t="s">
        <v>171</v>
      </c>
      <c r="B162" s="117" t="s">
        <v>65</v>
      </c>
      <c r="C162" s="97">
        <v>0.01</v>
      </c>
      <c r="D162" s="97">
        <v>297.0</v>
      </c>
      <c r="E162" s="101">
        <v>8.63</v>
      </c>
      <c r="F162" s="101">
        <v>15.0</v>
      </c>
      <c r="G162" s="114">
        <f t="shared" si="5"/>
        <v>320.64</v>
      </c>
      <c r="H162" s="93">
        <f t="shared" si="6"/>
        <v>3.2064E7</v>
      </c>
    </row>
    <row r="163" spans="8:8" ht="16.5">
      <c r="A163" s="116" t="s">
        <v>172</v>
      </c>
      <c r="B163" s="117" t="s">
        <v>65</v>
      </c>
      <c r="C163" s="97">
        <v>0.01</v>
      </c>
      <c r="D163" s="97">
        <v>318.0</v>
      </c>
      <c r="E163" s="92">
        <v>8.63</v>
      </c>
      <c r="F163" s="92">
        <v>15.0</v>
      </c>
      <c r="G163" s="101">
        <f t="shared" si="5"/>
        <v>341.64</v>
      </c>
      <c r="H163" s="118">
        <f t="shared" si="6"/>
        <v>3.4164E7</v>
      </c>
    </row>
    <row r="164" spans="8:8" ht="15.75">
      <c r="A164" s="111" t="s">
        <v>173</v>
      </c>
      <c r="B164" s="119" t="s">
        <v>65</v>
      </c>
      <c r="C164" s="113">
        <v>0.01</v>
      </c>
      <c r="D164" s="113">
        <v>401.0</v>
      </c>
      <c r="E164" s="114">
        <v>8.63</v>
      </c>
      <c r="F164" s="114">
        <v>15.0</v>
      </c>
      <c r="G164" s="114">
        <f t="shared" si="5"/>
        <v>424.64</v>
      </c>
      <c r="H164" s="93">
        <f t="shared" si="6"/>
        <v>4.2464E7</v>
      </c>
    </row>
    <row r="165" spans="8:8" ht="16.5">
      <c r="A165" s="116" t="s">
        <v>174</v>
      </c>
      <c r="B165" s="117" t="s">
        <v>65</v>
      </c>
      <c r="C165" s="97">
        <v>0.01</v>
      </c>
      <c r="D165" s="97">
        <v>443.0</v>
      </c>
      <c r="E165" s="101">
        <v>8.63</v>
      </c>
      <c r="F165" s="101">
        <v>15.0</v>
      </c>
      <c r="G165" s="101">
        <f t="shared" si="5"/>
        <v>466.64</v>
      </c>
      <c r="H165" s="118">
        <f t="shared" si="6"/>
        <v>4.6664E7</v>
      </c>
    </row>
    <row r="166" spans="8:8" ht="15.75">
      <c r="A166" s="116" t="s">
        <v>175</v>
      </c>
      <c r="B166" s="117" t="s">
        <v>65</v>
      </c>
      <c r="C166" s="97">
        <v>0.01</v>
      </c>
      <c r="D166" s="97">
        <v>454.0</v>
      </c>
      <c r="E166" s="92">
        <v>8.63</v>
      </c>
      <c r="F166" s="92">
        <v>15.0</v>
      </c>
      <c r="G166" s="114">
        <f t="shared" si="5"/>
        <v>477.64</v>
      </c>
      <c r="H166" s="93">
        <f t="shared" si="6"/>
        <v>4.7764E7</v>
      </c>
    </row>
    <row r="167" spans="8:8" ht="16.5">
      <c r="A167" s="111" t="s">
        <v>176</v>
      </c>
      <c r="B167" s="119" t="s">
        <v>65</v>
      </c>
      <c r="C167" s="113">
        <v>0.01</v>
      </c>
      <c r="D167" s="113">
        <v>247.0</v>
      </c>
      <c r="E167" s="114">
        <v>8.63</v>
      </c>
      <c r="F167" s="114">
        <v>15.0</v>
      </c>
      <c r="G167" s="101">
        <f t="shared" si="5"/>
        <v>270.64</v>
      </c>
      <c r="H167" s="118">
        <f t="shared" si="6"/>
        <v>2.7064E7</v>
      </c>
    </row>
    <row r="168" spans="8:8" ht="16.5">
      <c r="A168" s="116" t="s">
        <v>177</v>
      </c>
      <c r="B168" s="117" t="s">
        <v>65</v>
      </c>
      <c r="C168" s="97">
        <v>0.01</v>
      </c>
      <c r="D168" s="97">
        <v>307.0</v>
      </c>
      <c r="E168" s="101">
        <v>8.63</v>
      </c>
      <c r="F168" s="101">
        <v>15.0</v>
      </c>
      <c r="G168" s="114">
        <f t="shared" si="5"/>
        <v>330.64</v>
      </c>
      <c r="H168" s="93">
        <f t="shared" si="6"/>
        <v>3.3064E7</v>
      </c>
    </row>
    <row r="169" spans="8:8" ht="16.5">
      <c r="A169" s="116" t="s">
        <v>178</v>
      </c>
      <c r="B169" s="117" t="s">
        <v>65</v>
      </c>
      <c r="C169" s="97">
        <v>180.0</v>
      </c>
      <c r="D169" s="97">
        <v>469.0</v>
      </c>
      <c r="E169" s="92">
        <v>8.63</v>
      </c>
      <c r="F169" s="92">
        <v>15.0</v>
      </c>
      <c r="G169" s="101">
        <f t="shared" si="5"/>
        <v>672.63</v>
      </c>
      <c r="H169" s="118">
        <f t="shared" si="6"/>
        <v>6.7263E7</v>
      </c>
    </row>
    <row r="170" spans="8:8" ht="15.75">
      <c r="A170" s="116" t="s">
        <v>179</v>
      </c>
      <c r="B170" s="117" t="s">
        <v>65</v>
      </c>
      <c r="C170" s="97">
        <v>0.01</v>
      </c>
      <c r="D170" s="97">
        <v>601.0</v>
      </c>
      <c r="E170" s="92">
        <v>8.63</v>
      </c>
      <c r="F170" s="92">
        <v>15.0</v>
      </c>
      <c r="G170" s="114">
        <f t="shared" si="5"/>
        <v>624.64</v>
      </c>
      <c r="H170" s="93">
        <f t="shared" si="6"/>
        <v>6.2464E7</v>
      </c>
    </row>
    <row r="171" spans="8:8" ht="16.5">
      <c r="A171" s="111" t="s">
        <v>180</v>
      </c>
      <c r="B171" s="119" t="s">
        <v>65</v>
      </c>
      <c r="C171" s="113">
        <v>0.01</v>
      </c>
      <c r="D171" s="113">
        <v>274.0</v>
      </c>
      <c r="E171" s="114">
        <v>8.63</v>
      </c>
      <c r="F171" s="114">
        <v>15.0</v>
      </c>
      <c r="G171" s="101">
        <f t="shared" si="5"/>
        <v>297.64</v>
      </c>
      <c r="H171" s="118">
        <f t="shared" si="6"/>
        <v>2.9764E7</v>
      </c>
    </row>
    <row r="172" spans="8:8" ht="16.5">
      <c r="A172" s="116" t="s">
        <v>181</v>
      </c>
      <c r="B172" s="117" t="s">
        <v>65</v>
      </c>
      <c r="C172" s="97">
        <v>0.01</v>
      </c>
      <c r="D172" s="97">
        <v>426.0</v>
      </c>
      <c r="E172" s="101">
        <v>8.63</v>
      </c>
      <c r="F172" s="101">
        <v>15.0</v>
      </c>
      <c r="G172" s="114">
        <f t="shared" si="5"/>
        <v>449.64</v>
      </c>
      <c r="H172" s="93">
        <f t="shared" si="6"/>
        <v>4.4964E7</v>
      </c>
    </row>
    <row r="173" spans="8:8" ht="16.5">
      <c r="A173" s="111" t="s">
        <v>182</v>
      </c>
      <c r="B173" s="119" t="s">
        <v>65</v>
      </c>
      <c r="C173" s="113">
        <v>0.01</v>
      </c>
      <c r="D173" s="113">
        <v>250.0</v>
      </c>
      <c r="E173" s="114">
        <v>8.63</v>
      </c>
      <c r="F173" s="114">
        <v>15.0</v>
      </c>
      <c r="G173" s="101">
        <f t="shared" si="5"/>
        <v>273.64</v>
      </c>
      <c r="H173" s="118">
        <f t="shared" si="6"/>
        <v>2.7364E7</v>
      </c>
    </row>
    <row r="174" spans="8:8" ht="16.5">
      <c r="A174" s="116" t="s">
        <v>183</v>
      </c>
      <c r="B174" s="117" t="s">
        <v>65</v>
      </c>
      <c r="C174" s="97">
        <v>0.01</v>
      </c>
      <c r="D174" s="97">
        <v>274.0</v>
      </c>
      <c r="E174" s="101">
        <v>8.63</v>
      </c>
      <c r="F174" s="101">
        <v>15.0</v>
      </c>
      <c r="G174" s="114">
        <f t="shared" si="5"/>
        <v>297.64</v>
      </c>
      <c r="H174" s="93">
        <f t="shared" si="6"/>
        <v>2.9764E7</v>
      </c>
    </row>
    <row r="175" spans="8:8" ht="16.5">
      <c r="A175" s="116" t="s">
        <v>184</v>
      </c>
      <c r="B175" s="117" t="s">
        <v>65</v>
      </c>
      <c r="C175" s="97">
        <v>0.01</v>
      </c>
      <c r="D175" s="97">
        <v>327.0</v>
      </c>
      <c r="E175" s="92">
        <v>8.63</v>
      </c>
      <c r="F175" s="92">
        <v>15.0</v>
      </c>
      <c r="G175" s="101">
        <f t="shared" si="5"/>
        <v>350.64</v>
      </c>
      <c r="H175" s="118">
        <f t="shared" si="6"/>
        <v>3.5064E7</v>
      </c>
    </row>
    <row r="176" spans="8:8" ht="15.75">
      <c r="A176" s="116" t="s">
        <v>185</v>
      </c>
      <c r="B176" s="117" t="s">
        <v>65</v>
      </c>
      <c r="C176" s="97">
        <v>0.01</v>
      </c>
      <c r="D176" s="97">
        <v>405.0</v>
      </c>
      <c r="E176" s="92">
        <v>8.63</v>
      </c>
      <c r="F176" s="92">
        <v>15.0</v>
      </c>
      <c r="G176" s="114">
        <f t="shared" si="5"/>
        <v>428.64</v>
      </c>
      <c r="H176" s="93">
        <f t="shared" si="6"/>
        <v>4.2864E7</v>
      </c>
    </row>
    <row r="177" spans="8:8" ht="16.5">
      <c r="A177" s="116" t="s">
        <v>186</v>
      </c>
      <c r="B177" s="117" t="s">
        <v>65</v>
      </c>
      <c r="C177" s="97">
        <v>0.01</v>
      </c>
      <c r="D177" s="97">
        <v>423.0</v>
      </c>
      <c r="E177" s="92">
        <v>8.63</v>
      </c>
      <c r="F177" s="92">
        <v>15.0</v>
      </c>
      <c r="G177" s="101">
        <f t="shared" si="5"/>
        <v>446.64</v>
      </c>
      <c r="H177" s="118">
        <f t="shared" si="6"/>
        <v>4.4664E7</v>
      </c>
    </row>
    <row r="178" spans="8:8" ht="15.75">
      <c r="A178" s="116" t="s">
        <v>187</v>
      </c>
      <c r="B178" s="117" t="s">
        <v>65</v>
      </c>
      <c r="C178" s="97">
        <v>0.01</v>
      </c>
      <c r="D178" s="97">
        <v>459.0</v>
      </c>
      <c r="E178" s="92">
        <v>8.63</v>
      </c>
      <c r="F178" s="92">
        <v>15.0</v>
      </c>
      <c r="G178" s="114">
        <f t="shared" si="5"/>
        <v>482.64</v>
      </c>
      <c r="H178" s="93">
        <f t="shared" si="6"/>
        <v>4.8264E7</v>
      </c>
    </row>
    <row r="179" spans="8:8" ht="16.5">
      <c r="A179" s="111" t="s">
        <v>188</v>
      </c>
      <c r="B179" s="119" t="s">
        <v>65</v>
      </c>
      <c r="C179" s="113">
        <v>0.01</v>
      </c>
      <c r="D179" s="113">
        <v>265.0</v>
      </c>
      <c r="E179" s="114">
        <v>8.63</v>
      </c>
      <c r="F179" s="114">
        <v>15.0</v>
      </c>
      <c r="G179" s="101">
        <f t="shared" si="5"/>
        <v>288.64</v>
      </c>
      <c r="H179" s="118">
        <f t="shared" si="6"/>
        <v>2.8864E7</v>
      </c>
    </row>
    <row r="180" spans="8:8" ht="16.5">
      <c r="A180" s="116" t="s">
        <v>189</v>
      </c>
      <c r="B180" s="117" t="s">
        <v>65</v>
      </c>
      <c r="C180" s="97">
        <v>0.01</v>
      </c>
      <c r="D180" s="97">
        <v>282.0</v>
      </c>
      <c r="E180" s="101">
        <v>8.63</v>
      </c>
      <c r="F180" s="101">
        <v>15.0</v>
      </c>
      <c r="G180" s="114">
        <f t="shared" si="5"/>
        <v>305.64</v>
      </c>
      <c r="H180" s="93">
        <f t="shared" si="6"/>
        <v>3.0564E7</v>
      </c>
    </row>
    <row r="181" spans="8:8" ht="16.5">
      <c r="A181" s="111" t="s">
        <v>190</v>
      </c>
      <c r="B181" s="119" t="s">
        <v>65</v>
      </c>
      <c r="C181" s="113">
        <v>0.01</v>
      </c>
      <c r="D181" s="113">
        <v>265.0</v>
      </c>
      <c r="E181" s="114">
        <v>8.63</v>
      </c>
      <c r="F181" s="114">
        <v>15.0</v>
      </c>
      <c r="G181" s="101">
        <f t="shared" si="5"/>
        <v>288.64</v>
      </c>
      <c r="H181" s="118">
        <f t="shared" si="6"/>
        <v>2.8864E7</v>
      </c>
    </row>
    <row r="182" spans="8:8" ht="16.5">
      <c r="A182" s="116" t="s">
        <v>191</v>
      </c>
      <c r="B182" s="117" t="s">
        <v>65</v>
      </c>
      <c r="C182" s="97">
        <v>0.01</v>
      </c>
      <c r="D182" s="97">
        <v>282.0</v>
      </c>
      <c r="E182" s="101">
        <v>8.63</v>
      </c>
      <c r="F182" s="101">
        <v>15.0</v>
      </c>
      <c r="G182" s="114">
        <f t="shared" si="5"/>
        <v>305.64</v>
      </c>
      <c r="H182" s="93">
        <f t="shared" si="6"/>
        <v>3.0564E7</v>
      </c>
    </row>
    <row r="183" spans="8:8" ht="16.5">
      <c r="A183" s="116" t="s">
        <v>192</v>
      </c>
      <c r="B183" s="117" t="s">
        <v>65</v>
      </c>
      <c r="C183" s="97">
        <v>0.01</v>
      </c>
      <c r="D183" s="97">
        <v>305.0</v>
      </c>
      <c r="E183" s="92">
        <v>8.63</v>
      </c>
      <c r="F183" s="92">
        <v>15.0</v>
      </c>
      <c r="G183" s="101">
        <f t="shared" si="5"/>
        <v>328.64</v>
      </c>
      <c r="H183" s="118">
        <f t="shared" si="6"/>
        <v>3.2864E7</v>
      </c>
    </row>
    <row r="184" spans="8:8" ht="15.75">
      <c r="A184" s="116" t="s">
        <v>193</v>
      </c>
      <c r="B184" s="117" t="s">
        <v>65</v>
      </c>
      <c r="C184" s="97">
        <v>0.01</v>
      </c>
      <c r="D184" s="97">
        <v>265.0</v>
      </c>
      <c r="E184" s="92">
        <v>8.63</v>
      </c>
      <c r="F184" s="92">
        <v>15.0</v>
      </c>
      <c r="G184" s="114">
        <f t="shared" si="5"/>
        <v>288.64</v>
      </c>
      <c r="H184" s="93">
        <f t="shared" si="6"/>
        <v>2.8864E7</v>
      </c>
    </row>
    <row r="185" spans="8:8" ht="16.5">
      <c r="A185" s="116" t="s">
        <v>194</v>
      </c>
      <c r="B185" s="117" t="s">
        <v>65</v>
      </c>
      <c r="C185" s="97">
        <v>0.01</v>
      </c>
      <c r="D185" s="97">
        <v>282.0</v>
      </c>
      <c r="E185" s="92">
        <v>8.63</v>
      </c>
      <c r="F185" s="92">
        <v>15.0</v>
      </c>
      <c r="G185" s="101">
        <f t="shared" si="5"/>
        <v>305.64</v>
      </c>
      <c r="H185" s="118">
        <f t="shared" si="6"/>
        <v>3.0564E7</v>
      </c>
    </row>
    <row r="186" spans="8:8" ht="15.75">
      <c r="A186" s="116" t="s">
        <v>195</v>
      </c>
      <c r="B186" s="117" t="s">
        <v>196</v>
      </c>
      <c r="C186" s="97">
        <v>132.0</v>
      </c>
      <c r="D186" s="97">
        <v>906.0</v>
      </c>
      <c r="E186" s="92">
        <v>8.63</v>
      </c>
      <c r="F186" s="92">
        <v>15.0</v>
      </c>
      <c r="G186" s="114">
        <f t="shared" si="5"/>
        <v>1061.63</v>
      </c>
      <c r="H186" s="93">
        <f t="shared" si="6"/>
        <v>1.0616300000000001E8</v>
      </c>
    </row>
    <row r="187" spans="8:8" ht="16.5">
      <c r="A187" s="116" t="s">
        <v>197</v>
      </c>
      <c r="B187" s="117" t="s">
        <v>196</v>
      </c>
      <c r="C187" s="97">
        <v>0.01</v>
      </c>
      <c r="D187" s="97">
        <v>1103.0</v>
      </c>
      <c r="E187" s="92">
        <v>8.63</v>
      </c>
      <c r="F187" s="92">
        <v>15.0</v>
      </c>
      <c r="G187" s="101">
        <f t="shared" si="5"/>
        <v>1126.64</v>
      </c>
      <c r="H187" s="118">
        <f t="shared" si="6"/>
        <v>1.1266400000000001E8</v>
      </c>
    </row>
    <row r="188" spans="8:8" ht="15.75">
      <c r="A188" s="116" t="s">
        <v>199</v>
      </c>
      <c r="B188" s="117" t="s">
        <v>196</v>
      </c>
      <c r="C188" s="97">
        <v>0.01</v>
      </c>
      <c r="D188" s="97">
        <v>1082.0</v>
      </c>
      <c r="E188" s="92">
        <v>8.63</v>
      </c>
      <c r="F188" s="92">
        <v>15.0</v>
      </c>
      <c r="G188" s="114">
        <f t="shared" si="5"/>
        <v>1105.64</v>
      </c>
      <c r="H188" s="93">
        <f t="shared" si="6"/>
        <v>1.1056400000000001E8</v>
      </c>
    </row>
    <row r="189" spans="8:8" ht="16.5">
      <c r="A189" s="127" t="s">
        <v>298</v>
      </c>
      <c r="B189" s="128" t="s">
        <v>196</v>
      </c>
      <c r="C189" s="129">
        <v>0.01</v>
      </c>
      <c r="D189" s="129">
        <v>2931.0</v>
      </c>
      <c r="E189" s="114">
        <v>8.63</v>
      </c>
      <c r="F189" s="114">
        <v>15.0</v>
      </c>
      <c r="G189" s="101">
        <f t="shared" si="5"/>
        <v>2954.6400000000003</v>
      </c>
      <c r="H189" s="118">
        <f t="shared" si="6"/>
        <v>2.9546400000000006E8</v>
      </c>
    </row>
    <row r="190" spans="8:8" ht="16.5">
      <c r="A190" s="116" t="s">
        <v>201</v>
      </c>
      <c r="B190" s="117" t="s">
        <v>196</v>
      </c>
      <c r="C190" s="97">
        <v>0.01</v>
      </c>
      <c r="D190" s="97">
        <v>1101.0</v>
      </c>
      <c r="E190" s="101">
        <v>8.63</v>
      </c>
      <c r="F190" s="101">
        <v>15.0</v>
      </c>
      <c r="G190" s="114">
        <f t="shared" si="5"/>
        <v>1124.64</v>
      </c>
      <c r="H190" s="93">
        <f t="shared" si="6"/>
        <v>1.1246400000000001E8</v>
      </c>
    </row>
    <row r="191" spans="8:8" ht="16.5">
      <c r="A191" s="116" t="s">
        <v>202</v>
      </c>
      <c r="B191" s="117" t="s">
        <v>196</v>
      </c>
      <c r="C191" s="97">
        <v>0.01</v>
      </c>
      <c r="D191" s="97">
        <v>1084.0</v>
      </c>
      <c r="E191" s="92">
        <v>8.63</v>
      </c>
      <c r="F191" s="92">
        <v>15.0</v>
      </c>
      <c r="G191" s="101">
        <f t="shared" si="5"/>
        <v>1107.64</v>
      </c>
      <c r="H191" s="118">
        <f t="shared" si="6"/>
        <v>1.1076400000000001E8</v>
      </c>
    </row>
    <row r="192" spans="8:8" ht="15.75">
      <c r="A192" s="116" t="s">
        <v>203</v>
      </c>
      <c r="B192" s="117" t="s">
        <v>196</v>
      </c>
      <c r="C192" s="97">
        <v>0.01</v>
      </c>
      <c r="D192" s="97">
        <v>1084.0</v>
      </c>
      <c r="E192" s="92">
        <v>8.63</v>
      </c>
      <c r="F192" s="92">
        <v>15.0</v>
      </c>
      <c r="G192" s="114">
        <f t="shared" si="5"/>
        <v>1107.64</v>
      </c>
      <c r="H192" s="93">
        <f t="shared" si="6"/>
        <v>1.1076400000000001E8</v>
      </c>
    </row>
    <row r="193" spans="8:8" ht="16.5">
      <c r="A193" s="116" t="s">
        <v>204</v>
      </c>
      <c r="B193" s="117" t="s">
        <v>196</v>
      </c>
      <c r="C193" s="97">
        <v>0.01</v>
      </c>
      <c r="D193" s="97">
        <v>1084.0</v>
      </c>
      <c r="E193" s="92">
        <v>8.63</v>
      </c>
      <c r="F193" s="92">
        <v>15.0</v>
      </c>
      <c r="G193" s="101">
        <f t="shared" si="5"/>
        <v>1107.64</v>
      </c>
      <c r="H193" s="118">
        <f t="shared" si="6"/>
        <v>1.1076400000000001E8</v>
      </c>
    </row>
    <row r="194" spans="8:8" ht="15.75">
      <c r="A194" s="116" t="s">
        <v>205</v>
      </c>
      <c r="B194" s="117" t="s">
        <v>196</v>
      </c>
      <c r="C194" s="97">
        <v>0.01</v>
      </c>
      <c r="D194" s="97">
        <v>1084.0</v>
      </c>
      <c r="E194" s="92">
        <v>8.63</v>
      </c>
      <c r="F194" s="92">
        <v>15.0</v>
      </c>
      <c r="G194" s="114">
        <f t="shared" si="7" ref="G194:G257">SUM(C194:F194)</f>
        <v>1107.64</v>
      </c>
      <c r="H194" s="93">
        <f t="shared" si="6"/>
        <v>1.1076400000000001E8</v>
      </c>
    </row>
    <row r="195" spans="8:8" ht="16.5">
      <c r="A195" s="111" t="s">
        <v>206</v>
      </c>
      <c r="B195" s="119" t="s">
        <v>196</v>
      </c>
      <c r="C195" s="113">
        <v>0.01</v>
      </c>
      <c r="D195" s="113">
        <v>1105.0</v>
      </c>
      <c r="E195" s="114">
        <v>8.63</v>
      </c>
      <c r="F195" s="114">
        <v>15.0</v>
      </c>
      <c r="G195" s="101">
        <f t="shared" si="7"/>
        <v>1128.64</v>
      </c>
      <c r="H195" s="118">
        <f t="shared" si="6"/>
        <v>1.1286400000000001E8</v>
      </c>
    </row>
    <row r="196" spans="8:8" ht="16.5">
      <c r="A196" s="116" t="s">
        <v>207</v>
      </c>
      <c r="B196" s="117" t="s">
        <v>196</v>
      </c>
      <c r="C196" s="97">
        <v>0.01</v>
      </c>
      <c r="D196" s="97">
        <v>1109.0</v>
      </c>
      <c r="E196" s="101">
        <v>8.63</v>
      </c>
      <c r="F196" s="101">
        <v>15.0</v>
      </c>
      <c r="G196" s="114">
        <f t="shared" si="7"/>
        <v>1132.64</v>
      </c>
      <c r="H196" s="93">
        <f t="shared" si="6"/>
        <v>1.1326400000000001E8</v>
      </c>
    </row>
    <row r="197" spans="8:8" ht="16.5">
      <c r="A197" s="116" t="s">
        <v>208</v>
      </c>
      <c r="B197" s="117" t="s">
        <v>196</v>
      </c>
      <c r="C197" s="97">
        <v>0.01</v>
      </c>
      <c r="D197" s="97">
        <v>1109.0</v>
      </c>
      <c r="E197" s="92">
        <v>8.63</v>
      </c>
      <c r="F197" s="92">
        <v>15.0</v>
      </c>
      <c r="G197" s="101">
        <f t="shared" si="7"/>
        <v>1132.64</v>
      </c>
      <c r="H197" s="118">
        <f t="shared" si="6"/>
        <v>1.1326400000000001E8</v>
      </c>
    </row>
    <row r="198" spans="8:8" ht="15.75">
      <c r="A198" s="116" t="s">
        <v>209</v>
      </c>
      <c r="B198" s="117" t="s">
        <v>196</v>
      </c>
      <c r="C198" s="97">
        <v>0.01</v>
      </c>
      <c r="D198" s="97">
        <v>1099.0</v>
      </c>
      <c r="E198" s="92">
        <v>8.63</v>
      </c>
      <c r="F198" s="92">
        <v>15.0</v>
      </c>
      <c r="G198" s="114">
        <f t="shared" si="7"/>
        <v>1122.64</v>
      </c>
      <c r="H198" s="93">
        <f t="shared" si="6"/>
        <v>1.1226400000000001E8</v>
      </c>
    </row>
    <row r="199" spans="8:8" ht="16.5">
      <c r="A199" s="116" t="s">
        <v>210</v>
      </c>
      <c r="B199" s="117" t="s">
        <v>196</v>
      </c>
      <c r="C199" s="97">
        <v>0.01</v>
      </c>
      <c r="D199" s="97">
        <v>1109.0</v>
      </c>
      <c r="E199" s="92">
        <v>8.63</v>
      </c>
      <c r="F199" s="92">
        <v>15.0</v>
      </c>
      <c r="G199" s="101">
        <f t="shared" si="7"/>
        <v>1132.64</v>
      </c>
      <c r="H199" s="118">
        <f t="shared" si="8" ref="H199:H262">G199*100000</f>
        <v>1.1326400000000001E8</v>
      </c>
    </row>
    <row r="200" spans="8:8" ht="15.75">
      <c r="A200" s="111" t="s">
        <v>211</v>
      </c>
      <c r="B200" s="119" t="s">
        <v>196</v>
      </c>
      <c r="C200" s="113">
        <v>0.01</v>
      </c>
      <c r="D200" s="113">
        <v>1109.0</v>
      </c>
      <c r="E200" s="114">
        <v>8.63</v>
      </c>
      <c r="F200" s="114">
        <v>15.0</v>
      </c>
      <c r="G200" s="114">
        <f t="shared" si="7"/>
        <v>1132.64</v>
      </c>
      <c r="H200" s="93">
        <f t="shared" si="8"/>
        <v>1.1326400000000001E8</v>
      </c>
    </row>
    <row r="201" spans="8:8" ht="16.5">
      <c r="A201" s="116" t="s">
        <v>212</v>
      </c>
      <c r="B201" s="117" t="s">
        <v>196</v>
      </c>
      <c r="C201" s="97">
        <v>0.01</v>
      </c>
      <c r="D201" s="97">
        <v>1109.0</v>
      </c>
      <c r="E201" s="101">
        <v>8.63</v>
      </c>
      <c r="F201" s="101">
        <v>15.0</v>
      </c>
      <c r="G201" s="101">
        <f t="shared" si="7"/>
        <v>1132.64</v>
      </c>
      <c r="H201" s="118">
        <f t="shared" si="8"/>
        <v>1.1326400000000001E8</v>
      </c>
    </row>
    <row r="202" spans="8:8" ht="15.75">
      <c r="A202" s="111" t="s">
        <v>213</v>
      </c>
      <c r="B202" s="119" t="s">
        <v>196</v>
      </c>
      <c r="C202" s="113">
        <v>0.01</v>
      </c>
      <c r="D202" s="113">
        <v>1108.0</v>
      </c>
      <c r="E202" s="114">
        <v>8.63</v>
      </c>
      <c r="F202" s="114">
        <v>15.0</v>
      </c>
      <c r="G202" s="114">
        <f t="shared" si="7"/>
        <v>1131.64</v>
      </c>
      <c r="H202" s="93">
        <f t="shared" si="8"/>
        <v>1.1316400000000001E8</v>
      </c>
    </row>
    <row r="203" spans="8:8" ht="16.5">
      <c r="A203" s="116" t="s">
        <v>214</v>
      </c>
      <c r="B203" s="117" t="s">
        <v>196</v>
      </c>
      <c r="C203" s="97">
        <v>0.01</v>
      </c>
      <c r="D203" s="97">
        <v>1109.0</v>
      </c>
      <c r="E203" s="101">
        <v>8.63</v>
      </c>
      <c r="F203" s="101">
        <v>15.0</v>
      </c>
      <c r="G203" s="101">
        <f t="shared" si="7"/>
        <v>1132.64</v>
      </c>
      <c r="H203" s="118">
        <f t="shared" si="8"/>
        <v>1.1326400000000001E8</v>
      </c>
    </row>
    <row r="204" spans="8:8" ht="15.75">
      <c r="A204" s="111" t="s">
        <v>215</v>
      </c>
      <c r="B204" s="119" t="s">
        <v>196</v>
      </c>
      <c r="C204" s="113">
        <v>0.02</v>
      </c>
      <c r="D204" s="113">
        <v>1107.0</v>
      </c>
      <c r="E204" s="114">
        <v>8.63</v>
      </c>
      <c r="F204" s="114">
        <v>15.0</v>
      </c>
      <c r="G204" s="114">
        <f t="shared" si="7"/>
        <v>1130.65</v>
      </c>
      <c r="H204" s="93">
        <f t="shared" si="8"/>
        <v>1.1306500000000001E8</v>
      </c>
    </row>
    <row r="205" spans="8:8" ht="16.5">
      <c r="A205" s="116" t="s">
        <v>216</v>
      </c>
      <c r="B205" s="117" t="s">
        <v>196</v>
      </c>
      <c r="C205" s="97">
        <v>0.01</v>
      </c>
      <c r="D205" s="97">
        <v>1107.0</v>
      </c>
      <c r="E205" s="101">
        <v>8.63</v>
      </c>
      <c r="F205" s="101">
        <v>15.0</v>
      </c>
      <c r="G205" s="101">
        <f t="shared" si="7"/>
        <v>1130.64</v>
      </c>
      <c r="H205" s="118">
        <f t="shared" si="8"/>
        <v>1.1306400000000001E8</v>
      </c>
    </row>
    <row r="206" spans="8:8" ht="15.75">
      <c r="A206" s="111" t="s">
        <v>217</v>
      </c>
      <c r="B206" s="119" t="s">
        <v>196</v>
      </c>
      <c r="C206" s="113">
        <v>0.01</v>
      </c>
      <c r="D206" s="113">
        <v>1109.0</v>
      </c>
      <c r="E206" s="114">
        <v>8.63</v>
      </c>
      <c r="F206" s="114">
        <v>15.0</v>
      </c>
      <c r="G206" s="114">
        <f t="shared" si="7"/>
        <v>1132.64</v>
      </c>
      <c r="H206" s="93">
        <f t="shared" si="8"/>
        <v>1.1326400000000001E8</v>
      </c>
    </row>
    <row r="207" spans="8:8" ht="16.5">
      <c r="A207" s="116" t="s">
        <v>218</v>
      </c>
      <c r="B207" s="117" t="s">
        <v>196</v>
      </c>
      <c r="C207" s="97">
        <v>0.01</v>
      </c>
      <c r="D207" s="97">
        <v>1109.0</v>
      </c>
      <c r="E207" s="101">
        <v>8.63</v>
      </c>
      <c r="F207" s="101">
        <v>15.0</v>
      </c>
      <c r="G207" s="101">
        <f t="shared" si="7"/>
        <v>1132.64</v>
      </c>
      <c r="H207" s="118">
        <f t="shared" si="8"/>
        <v>1.1326400000000001E8</v>
      </c>
    </row>
    <row r="208" spans="8:8" ht="15.75">
      <c r="A208" s="116" t="s">
        <v>219</v>
      </c>
      <c r="B208" s="117" t="s">
        <v>196</v>
      </c>
      <c r="C208" s="97">
        <v>0.01</v>
      </c>
      <c r="D208" s="97">
        <v>1096.0</v>
      </c>
      <c r="E208" s="92">
        <v>8.63</v>
      </c>
      <c r="F208" s="92">
        <v>15.0</v>
      </c>
      <c r="G208" s="114">
        <f t="shared" si="7"/>
        <v>1119.64</v>
      </c>
      <c r="H208" s="93">
        <f t="shared" si="8"/>
        <v>1.1196400000000001E8</v>
      </c>
    </row>
    <row r="209" spans="8:8" ht="16.5">
      <c r="A209" s="111" t="s">
        <v>220</v>
      </c>
      <c r="B209" s="119" t="s">
        <v>196</v>
      </c>
      <c r="C209" s="113">
        <v>0.01</v>
      </c>
      <c r="D209" s="113">
        <v>1096.0</v>
      </c>
      <c r="E209" s="114">
        <v>8.63</v>
      </c>
      <c r="F209" s="114">
        <v>15.0</v>
      </c>
      <c r="G209" s="101">
        <f t="shared" si="7"/>
        <v>1119.64</v>
      </c>
      <c r="H209" s="118">
        <f t="shared" si="8"/>
        <v>1.1196400000000001E8</v>
      </c>
    </row>
    <row r="210" spans="8:8" ht="16.5">
      <c r="A210" s="116" t="s">
        <v>221</v>
      </c>
      <c r="B210" s="117" t="s">
        <v>196</v>
      </c>
      <c r="C210" s="97">
        <v>0.01</v>
      </c>
      <c r="D210" s="97">
        <v>1104.0</v>
      </c>
      <c r="E210" s="101">
        <v>8.63</v>
      </c>
      <c r="F210" s="101">
        <v>15.0</v>
      </c>
      <c r="G210" s="114">
        <f t="shared" si="7"/>
        <v>1127.64</v>
      </c>
      <c r="H210" s="93">
        <f t="shared" si="8"/>
        <v>1.1276400000000001E8</v>
      </c>
    </row>
    <row r="211" spans="8:8" ht="16.5">
      <c r="A211" s="111" t="s">
        <v>222</v>
      </c>
      <c r="B211" s="119" t="s">
        <v>196</v>
      </c>
      <c r="C211" s="113">
        <v>0.01</v>
      </c>
      <c r="D211" s="113">
        <v>1093.0</v>
      </c>
      <c r="E211" s="114">
        <v>8.63</v>
      </c>
      <c r="F211" s="114">
        <v>15.0</v>
      </c>
      <c r="G211" s="101">
        <f t="shared" si="7"/>
        <v>1116.64</v>
      </c>
      <c r="H211" s="118">
        <f t="shared" si="8"/>
        <v>1.1166400000000001E8</v>
      </c>
    </row>
    <row r="212" spans="8:8" ht="16.5">
      <c r="A212" s="116" t="s">
        <v>223</v>
      </c>
      <c r="B212" s="117" t="s">
        <v>196</v>
      </c>
      <c r="C212" s="97">
        <v>0.01</v>
      </c>
      <c r="D212" s="97">
        <v>1096.0</v>
      </c>
      <c r="E212" s="101">
        <v>8.63</v>
      </c>
      <c r="F212" s="101">
        <v>15.0</v>
      </c>
      <c r="G212" s="114">
        <f t="shared" si="7"/>
        <v>1119.64</v>
      </c>
      <c r="H212" s="93">
        <f t="shared" si="8"/>
        <v>1.1196400000000001E8</v>
      </c>
    </row>
    <row r="213" spans="8:8" ht="16.5">
      <c r="A213" s="116" t="s">
        <v>224</v>
      </c>
      <c r="B213" s="117" t="s">
        <v>196</v>
      </c>
      <c r="C213" s="97">
        <v>0.01</v>
      </c>
      <c r="D213" s="97">
        <v>1109.0</v>
      </c>
      <c r="E213" s="92">
        <v>8.63</v>
      </c>
      <c r="F213" s="92">
        <v>15.0</v>
      </c>
      <c r="G213" s="101">
        <f t="shared" si="7"/>
        <v>1132.64</v>
      </c>
      <c r="H213" s="118">
        <f t="shared" si="8"/>
        <v>1.1326400000000001E8</v>
      </c>
    </row>
    <row r="214" spans="8:8" ht="15.75">
      <c r="A214" s="116" t="s">
        <v>225</v>
      </c>
      <c r="B214" s="117" t="s">
        <v>196</v>
      </c>
      <c r="C214" s="97">
        <v>0.01</v>
      </c>
      <c r="D214" s="97">
        <v>1109.0</v>
      </c>
      <c r="E214" s="92">
        <v>8.63</v>
      </c>
      <c r="F214" s="92">
        <v>15.0</v>
      </c>
      <c r="G214" s="114">
        <f t="shared" si="7"/>
        <v>1132.64</v>
      </c>
      <c r="H214" s="93">
        <f t="shared" si="8"/>
        <v>1.1326400000000001E8</v>
      </c>
    </row>
    <row r="215" spans="8:8" ht="16.5">
      <c r="A215" s="116" t="s">
        <v>226</v>
      </c>
      <c r="B215" s="117" t="s">
        <v>196</v>
      </c>
      <c r="C215" s="97">
        <v>0.01</v>
      </c>
      <c r="D215" s="97">
        <v>1447.0</v>
      </c>
      <c r="E215" s="92">
        <v>8.63</v>
      </c>
      <c r="F215" s="92">
        <v>15.0</v>
      </c>
      <c r="G215" s="101">
        <f t="shared" si="7"/>
        <v>1470.64</v>
      </c>
      <c r="H215" s="118">
        <f t="shared" si="8"/>
        <v>1.47064E8</v>
      </c>
    </row>
    <row r="216" spans="8:8" ht="15.75">
      <c r="A216" s="116" t="s">
        <v>227</v>
      </c>
      <c r="B216" s="117" t="s">
        <v>196</v>
      </c>
      <c r="C216" s="97">
        <v>0.01</v>
      </c>
      <c r="D216" s="97">
        <v>1780.0</v>
      </c>
      <c r="E216" s="92">
        <v>8.63</v>
      </c>
      <c r="F216" s="92">
        <v>15.0</v>
      </c>
      <c r="G216" s="114">
        <f t="shared" si="7"/>
        <v>1803.64</v>
      </c>
      <c r="H216" s="93">
        <f t="shared" si="8"/>
        <v>1.80364E8</v>
      </c>
    </row>
    <row r="217" spans="8:8" ht="16.5">
      <c r="A217" s="116" t="s">
        <v>228</v>
      </c>
      <c r="B217" s="117" t="s">
        <v>196</v>
      </c>
      <c r="C217" s="97">
        <v>0.01</v>
      </c>
      <c r="D217" s="97">
        <v>1096.0</v>
      </c>
      <c r="E217" s="92">
        <v>8.63</v>
      </c>
      <c r="F217" s="92">
        <v>15.0</v>
      </c>
      <c r="G217" s="101">
        <f t="shared" si="7"/>
        <v>1119.64</v>
      </c>
      <c r="H217" s="118">
        <f t="shared" si="8"/>
        <v>1.1196400000000001E8</v>
      </c>
    </row>
    <row r="218" spans="8:8" ht="15.75">
      <c r="A218" s="116" t="s">
        <v>229</v>
      </c>
      <c r="B218" s="117" t="s">
        <v>196</v>
      </c>
      <c r="C218" s="97">
        <v>0.01</v>
      </c>
      <c r="D218" s="97">
        <v>1109.0</v>
      </c>
      <c r="E218" s="92">
        <v>8.63</v>
      </c>
      <c r="F218" s="92">
        <v>15.0</v>
      </c>
      <c r="G218" s="114">
        <f t="shared" si="7"/>
        <v>1132.64</v>
      </c>
      <c r="H218" s="93">
        <f t="shared" si="8"/>
        <v>1.1326400000000001E8</v>
      </c>
    </row>
    <row r="219" spans="8:8" ht="16.5">
      <c r="A219" s="116" t="s">
        <v>230</v>
      </c>
      <c r="B219" s="117" t="s">
        <v>196</v>
      </c>
      <c r="C219" s="97">
        <v>0.01</v>
      </c>
      <c r="D219" s="97">
        <v>1109.0</v>
      </c>
      <c r="E219" s="92">
        <v>8.63</v>
      </c>
      <c r="F219" s="92">
        <v>15.0</v>
      </c>
      <c r="G219" s="101">
        <f t="shared" si="7"/>
        <v>1132.64</v>
      </c>
      <c r="H219" s="118">
        <f t="shared" si="8"/>
        <v>1.1326400000000001E8</v>
      </c>
    </row>
    <row r="220" spans="8:8" ht="15.75">
      <c r="A220" s="116" t="s">
        <v>231</v>
      </c>
      <c r="B220" s="117" t="s">
        <v>196</v>
      </c>
      <c r="C220" s="97">
        <v>0.01</v>
      </c>
      <c r="D220" s="97">
        <v>1109.0</v>
      </c>
      <c r="E220" s="92">
        <v>8.63</v>
      </c>
      <c r="F220" s="92">
        <v>15.0</v>
      </c>
      <c r="G220" s="114">
        <f t="shared" si="7"/>
        <v>1132.64</v>
      </c>
      <c r="H220" s="93">
        <f t="shared" si="8"/>
        <v>1.1326400000000001E8</v>
      </c>
    </row>
    <row r="221" spans="8:8" ht="16.5">
      <c r="A221" s="116" t="s">
        <v>232</v>
      </c>
      <c r="B221" s="117" t="s">
        <v>196</v>
      </c>
      <c r="C221" s="97">
        <v>0.01</v>
      </c>
      <c r="D221" s="97">
        <v>1109.0</v>
      </c>
      <c r="E221" s="92">
        <v>8.63</v>
      </c>
      <c r="F221" s="92">
        <v>15.0</v>
      </c>
      <c r="G221" s="101">
        <f t="shared" si="7"/>
        <v>1132.64</v>
      </c>
      <c r="H221" s="118">
        <f t="shared" si="8"/>
        <v>1.1326400000000001E8</v>
      </c>
    </row>
    <row r="222" spans="8:8" ht="15.75">
      <c r="A222" s="116" t="s">
        <v>233</v>
      </c>
      <c r="B222" s="117" t="s">
        <v>196</v>
      </c>
      <c r="C222" s="97">
        <v>0.01</v>
      </c>
      <c r="D222" s="97">
        <v>1096.0</v>
      </c>
      <c r="E222" s="92">
        <v>8.63</v>
      </c>
      <c r="F222" s="92">
        <v>15.0</v>
      </c>
      <c r="G222" s="114">
        <f t="shared" si="7"/>
        <v>1119.64</v>
      </c>
      <c r="H222" s="93">
        <f t="shared" si="8"/>
        <v>1.1196400000000001E8</v>
      </c>
    </row>
    <row r="223" spans="8:8" ht="16.5">
      <c r="A223" s="116" t="s">
        <v>234</v>
      </c>
      <c r="B223" s="117" t="s">
        <v>196</v>
      </c>
      <c r="C223" s="97">
        <v>0.01</v>
      </c>
      <c r="D223" s="97">
        <v>1096.0</v>
      </c>
      <c r="E223" s="92">
        <v>8.63</v>
      </c>
      <c r="F223" s="92">
        <v>15.0</v>
      </c>
      <c r="G223" s="101">
        <f t="shared" si="7"/>
        <v>1119.64</v>
      </c>
      <c r="H223" s="118">
        <f t="shared" si="8"/>
        <v>1.1196400000000001E8</v>
      </c>
    </row>
    <row r="224" spans="8:8" ht="15.75">
      <c r="A224" s="116" t="s">
        <v>235</v>
      </c>
      <c r="B224" s="117" t="s">
        <v>196</v>
      </c>
      <c r="C224" s="97">
        <v>0.01</v>
      </c>
      <c r="D224" s="97">
        <v>1109.0</v>
      </c>
      <c r="E224" s="92">
        <v>8.63</v>
      </c>
      <c r="F224" s="92">
        <v>15.0</v>
      </c>
      <c r="G224" s="114">
        <f t="shared" si="7"/>
        <v>1132.64</v>
      </c>
      <c r="H224" s="93">
        <f t="shared" si="8"/>
        <v>1.1326400000000001E8</v>
      </c>
    </row>
    <row r="225" spans="8:8" ht="16.5">
      <c r="A225" s="116" t="s">
        <v>236</v>
      </c>
      <c r="B225" s="117" t="s">
        <v>196</v>
      </c>
      <c r="C225" s="97">
        <v>0.01</v>
      </c>
      <c r="D225" s="97">
        <v>1109.0</v>
      </c>
      <c r="E225" s="92">
        <v>8.63</v>
      </c>
      <c r="F225" s="92">
        <v>15.0</v>
      </c>
      <c r="G225" s="101">
        <f t="shared" si="7"/>
        <v>1132.64</v>
      </c>
      <c r="H225" s="118">
        <f t="shared" si="8"/>
        <v>1.1326400000000001E8</v>
      </c>
    </row>
    <row r="226" spans="8:8" ht="15.75">
      <c r="A226" s="116" t="s">
        <v>237</v>
      </c>
      <c r="B226" s="117" t="s">
        <v>196</v>
      </c>
      <c r="C226" s="97">
        <v>0.01</v>
      </c>
      <c r="D226" s="97">
        <v>1096.0</v>
      </c>
      <c r="E226" s="92">
        <v>8.63</v>
      </c>
      <c r="F226" s="92">
        <v>15.0</v>
      </c>
      <c r="G226" s="114">
        <f t="shared" si="7"/>
        <v>1119.64</v>
      </c>
      <c r="H226" s="93">
        <f t="shared" si="8"/>
        <v>1.1196400000000001E8</v>
      </c>
    </row>
    <row r="227" spans="8:8" ht="16.5">
      <c r="A227" s="116" t="s">
        <v>238</v>
      </c>
      <c r="B227" s="117" t="s">
        <v>196</v>
      </c>
      <c r="C227" s="97">
        <v>0.01</v>
      </c>
      <c r="D227" s="97">
        <v>1109.0</v>
      </c>
      <c r="E227" s="92">
        <v>8.63</v>
      </c>
      <c r="F227" s="92">
        <v>15.0</v>
      </c>
      <c r="G227" s="101">
        <f t="shared" si="7"/>
        <v>1132.64</v>
      </c>
      <c r="H227" s="118">
        <f t="shared" si="8"/>
        <v>1.1326400000000001E8</v>
      </c>
    </row>
    <row r="228" spans="8:8" ht="15.75">
      <c r="A228" s="116" t="s">
        <v>239</v>
      </c>
      <c r="B228" s="117" t="s">
        <v>196</v>
      </c>
      <c r="C228" s="97">
        <v>0.01</v>
      </c>
      <c r="D228" s="97">
        <v>1109.0</v>
      </c>
      <c r="E228" s="92">
        <v>8.63</v>
      </c>
      <c r="F228" s="92">
        <v>15.0</v>
      </c>
      <c r="G228" s="114">
        <f t="shared" si="7"/>
        <v>1132.64</v>
      </c>
      <c r="H228" s="93">
        <f t="shared" si="8"/>
        <v>1.1326400000000001E8</v>
      </c>
    </row>
    <row r="229" spans="8:8" ht="16.5">
      <c r="A229" s="116" t="s">
        <v>240</v>
      </c>
      <c r="B229" s="117" t="s">
        <v>196</v>
      </c>
      <c r="C229" s="97">
        <v>0.01</v>
      </c>
      <c r="D229" s="97">
        <v>1109.0</v>
      </c>
      <c r="E229" s="92">
        <v>8.63</v>
      </c>
      <c r="F229" s="92">
        <v>15.0</v>
      </c>
      <c r="G229" s="101">
        <f t="shared" si="7"/>
        <v>1132.64</v>
      </c>
      <c r="H229" s="118">
        <f t="shared" si="8"/>
        <v>1.1326400000000001E8</v>
      </c>
    </row>
    <row r="230" spans="8:8" ht="15.75">
      <c r="A230" s="116" t="s">
        <v>241</v>
      </c>
      <c r="B230" s="117" t="s">
        <v>196</v>
      </c>
      <c r="C230" s="97">
        <v>0.01</v>
      </c>
      <c r="D230" s="97">
        <v>1109.0</v>
      </c>
      <c r="E230" s="92">
        <v>8.63</v>
      </c>
      <c r="F230" s="92">
        <v>15.0</v>
      </c>
      <c r="G230" s="114">
        <f t="shared" si="7"/>
        <v>1132.64</v>
      </c>
      <c r="H230" s="93">
        <f t="shared" si="8"/>
        <v>1.1326400000000001E8</v>
      </c>
    </row>
    <row r="231" spans="8:8" ht="16.5">
      <c r="A231" s="116" t="s">
        <v>242</v>
      </c>
      <c r="B231" s="117" t="s">
        <v>196</v>
      </c>
      <c r="C231" s="97">
        <v>0.01</v>
      </c>
      <c r="D231" s="97">
        <v>1109.0</v>
      </c>
      <c r="E231" s="92">
        <v>8.63</v>
      </c>
      <c r="F231" s="92">
        <v>15.0</v>
      </c>
      <c r="G231" s="101">
        <f t="shared" si="7"/>
        <v>1132.64</v>
      </c>
      <c r="H231" s="118">
        <f t="shared" si="8"/>
        <v>1.1326400000000001E8</v>
      </c>
    </row>
    <row r="232" spans="8:8" ht="15.75">
      <c r="A232" s="116" t="s">
        <v>243</v>
      </c>
      <c r="B232" s="117" t="s">
        <v>196</v>
      </c>
      <c r="C232" s="97">
        <v>0.01</v>
      </c>
      <c r="D232" s="97">
        <v>1109.0</v>
      </c>
      <c r="E232" s="92">
        <v>8.63</v>
      </c>
      <c r="F232" s="92">
        <v>15.0</v>
      </c>
      <c r="G232" s="114">
        <f t="shared" si="7"/>
        <v>1132.64</v>
      </c>
      <c r="H232" s="93">
        <f t="shared" si="8"/>
        <v>1.1326400000000001E8</v>
      </c>
    </row>
    <row r="233" spans="8:8" ht="16.5">
      <c r="A233" s="116" t="s">
        <v>244</v>
      </c>
      <c r="B233" s="117" t="s">
        <v>196</v>
      </c>
      <c r="C233" s="97">
        <v>0.01</v>
      </c>
      <c r="D233" s="97">
        <v>1109.0</v>
      </c>
      <c r="E233" s="92">
        <v>8.63</v>
      </c>
      <c r="F233" s="92">
        <v>15.0</v>
      </c>
      <c r="G233" s="101">
        <f t="shared" si="7"/>
        <v>1132.64</v>
      </c>
      <c r="H233" s="118">
        <f t="shared" si="8"/>
        <v>1.1326400000000001E8</v>
      </c>
    </row>
    <row r="234" spans="8:8" ht="15.75">
      <c r="A234" s="116" t="s">
        <v>245</v>
      </c>
      <c r="B234" s="117" t="s">
        <v>196</v>
      </c>
      <c r="C234" s="97">
        <v>0.01</v>
      </c>
      <c r="D234" s="97">
        <v>1095.0</v>
      </c>
      <c r="E234" s="92">
        <v>8.63</v>
      </c>
      <c r="F234" s="92">
        <v>15.0</v>
      </c>
      <c r="G234" s="114">
        <f t="shared" si="7"/>
        <v>1118.64</v>
      </c>
      <c r="H234" s="93">
        <f t="shared" si="8"/>
        <v>1.1186400000000001E8</v>
      </c>
    </row>
    <row r="235" spans="8:8" ht="16.5">
      <c r="A235" s="116" t="s">
        <v>246</v>
      </c>
      <c r="B235" s="117" t="s">
        <v>196</v>
      </c>
      <c r="C235" s="97">
        <v>0.01</v>
      </c>
      <c r="D235" s="97">
        <v>1096.0</v>
      </c>
      <c r="E235" s="92">
        <v>8.63</v>
      </c>
      <c r="F235" s="92">
        <v>15.0</v>
      </c>
      <c r="G235" s="101">
        <f t="shared" si="7"/>
        <v>1119.64</v>
      </c>
      <c r="H235" s="118">
        <f t="shared" si="8"/>
        <v>1.1196400000000001E8</v>
      </c>
    </row>
    <row r="236" spans="8:8" ht="15.75">
      <c r="A236" s="116" t="s">
        <v>247</v>
      </c>
      <c r="B236" s="117" t="s">
        <v>196</v>
      </c>
      <c r="C236" s="97">
        <v>0.01</v>
      </c>
      <c r="D236" s="97">
        <v>1109.0</v>
      </c>
      <c r="E236" s="92">
        <v>8.63</v>
      </c>
      <c r="F236" s="92">
        <v>15.0</v>
      </c>
      <c r="G236" s="114">
        <f t="shared" si="7"/>
        <v>1132.64</v>
      </c>
      <c r="H236" s="93">
        <f t="shared" si="8"/>
        <v>1.1326400000000001E8</v>
      </c>
    </row>
    <row r="237" spans="8:8" ht="16.5">
      <c r="A237" s="116" t="s">
        <v>248</v>
      </c>
      <c r="B237" s="117" t="s">
        <v>196</v>
      </c>
      <c r="C237" s="97">
        <v>0.01</v>
      </c>
      <c r="D237" s="97">
        <v>1109.0</v>
      </c>
      <c r="E237" s="92">
        <v>8.63</v>
      </c>
      <c r="F237" s="92">
        <v>15.0</v>
      </c>
      <c r="G237" s="101">
        <f t="shared" si="7"/>
        <v>1132.64</v>
      </c>
      <c r="H237" s="118">
        <f t="shared" si="8"/>
        <v>1.1326400000000001E8</v>
      </c>
    </row>
    <row r="238" spans="8:8" ht="15.75">
      <c r="A238" s="116" t="s">
        <v>249</v>
      </c>
      <c r="B238" s="117" t="s">
        <v>196</v>
      </c>
      <c r="C238" s="97">
        <v>0.01</v>
      </c>
      <c r="D238" s="97">
        <v>1109.0</v>
      </c>
      <c r="E238" s="92">
        <v>8.63</v>
      </c>
      <c r="F238" s="92">
        <v>15.0</v>
      </c>
      <c r="G238" s="114">
        <f t="shared" si="7"/>
        <v>1132.64</v>
      </c>
      <c r="H238" s="93">
        <f t="shared" si="8"/>
        <v>1.1326400000000001E8</v>
      </c>
    </row>
    <row r="239" spans="8:8" ht="16.5">
      <c r="A239" s="116" t="s">
        <v>250</v>
      </c>
      <c r="B239" s="117" t="s">
        <v>196</v>
      </c>
      <c r="C239" s="97">
        <v>0.01</v>
      </c>
      <c r="D239" s="97">
        <v>1109.0</v>
      </c>
      <c r="E239" s="92">
        <v>8.63</v>
      </c>
      <c r="F239" s="92">
        <v>15.0</v>
      </c>
      <c r="G239" s="101">
        <f t="shared" si="7"/>
        <v>1132.64</v>
      </c>
      <c r="H239" s="118">
        <f t="shared" si="8"/>
        <v>1.1326400000000001E8</v>
      </c>
    </row>
    <row r="240" spans="8:8" ht="15.75">
      <c r="A240" s="111" t="s">
        <v>251</v>
      </c>
      <c r="B240" s="119" t="s">
        <v>196</v>
      </c>
      <c r="C240" s="113">
        <v>0.01</v>
      </c>
      <c r="D240" s="113">
        <v>1109.0</v>
      </c>
      <c r="E240" s="114">
        <v>8.63</v>
      </c>
      <c r="F240" s="114">
        <v>15.0</v>
      </c>
      <c r="G240" s="114">
        <f t="shared" si="7"/>
        <v>1132.64</v>
      </c>
      <c r="H240" s="93">
        <f t="shared" si="8"/>
        <v>1.1326400000000001E8</v>
      </c>
    </row>
    <row r="241" spans="8:8" ht="16.5">
      <c r="A241" s="116" t="s">
        <v>252</v>
      </c>
      <c r="B241" s="117" t="s">
        <v>196</v>
      </c>
      <c r="C241" s="97">
        <v>0.01</v>
      </c>
      <c r="D241" s="97">
        <v>1109.0</v>
      </c>
      <c r="E241" s="101">
        <v>8.63</v>
      </c>
      <c r="F241" s="101">
        <v>15.0</v>
      </c>
      <c r="G241" s="101">
        <f t="shared" si="7"/>
        <v>1132.64</v>
      </c>
      <c r="H241" s="118">
        <f t="shared" si="8"/>
        <v>1.1326400000000001E8</v>
      </c>
    </row>
    <row r="242" spans="8:8" ht="15.75">
      <c r="A242" s="111" t="s">
        <v>253</v>
      </c>
      <c r="B242" s="119" t="s">
        <v>196</v>
      </c>
      <c r="C242" s="113">
        <v>0.01</v>
      </c>
      <c r="D242" s="113">
        <v>1109.0</v>
      </c>
      <c r="E242" s="114">
        <v>8.63</v>
      </c>
      <c r="F242" s="114">
        <v>15.0</v>
      </c>
      <c r="G242" s="114">
        <f t="shared" si="7"/>
        <v>1132.64</v>
      </c>
      <c r="H242" s="93">
        <f t="shared" si="8"/>
        <v>1.1326400000000001E8</v>
      </c>
    </row>
    <row r="243" spans="8:8" ht="16.5">
      <c r="A243" s="116" t="s">
        <v>254</v>
      </c>
      <c r="B243" s="117" t="s">
        <v>196</v>
      </c>
      <c r="C243" s="97">
        <v>0.01</v>
      </c>
      <c r="D243" s="97">
        <v>1096.0</v>
      </c>
      <c r="E243" s="101">
        <v>8.63</v>
      </c>
      <c r="F243" s="101">
        <v>15.0</v>
      </c>
      <c r="G243" s="101">
        <f t="shared" si="7"/>
        <v>1119.64</v>
      </c>
      <c r="H243" s="118">
        <f t="shared" si="8"/>
        <v>1.1196400000000001E8</v>
      </c>
    </row>
    <row r="244" spans="8:8" ht="15.75">
      <c r="A244" s="116" t="s">
        <v>255</v>
      </c>
      <c r="B244" s="117" t="s">
        <v>196</v>
      </c>
      <c r="C244" s="97">
        <v>0.01</v>
      </c>
      <c r="D244" s="97">
        <v>1109.0</v>
      </c>
      <c r="E244" s="92">
        <v>8.63</v>
      </c>
      <c r="F244" s="92">
        <v>15.0</v>
      </c>
      <c r="G244" s="114">
        <f t="shared" si="7"/>
        <v>1132.64</v>
      </c>
      <c r="H244" s="93">
        <f t="shared" si="8"/>
        <v>1.1326400000000001E8</v>
      </c>
    </row>
    <row r="245" spans="8:8" ht="16.5">
      <c r="A245" s="116" t="s">
        <v>256</v>
      </c>
      <c r="B245" s="117" t="s">
        <v>196</v>
      </c>
      <c r="C245" s="97">
        <v>0.01</v>
      </c>
      <c r="D245" s="97">
        <v>1109.0</v>
      </c>
      <c r="E245" s="92">
        <v>8.63</v>
      </c>
      <c r="F245" s="92">
        <v>15.0</v>
      </c>
      <c r="G245" s="101">
        <f t="shared" si="7"/>
        <v>1132.64</v>
      </c>
      <c r="H245" s="118">
        <f t="shared" si="8"/>
        <v>1.1326400000000001E8</v>
      </c>
    </row>
    <row r="246" spans="8:8" ht="15.75">
      <c r="A246" s="116" t="s">
        <v>257</v>
      </c>
      <c r="B246" s="117" t="s">
        <v>196</v>
      </c>
      <c r="C246" s="97">
        <v>0.01</v>
      </c>
      <c r="D246" s="97">
        <v>1092.0</v>
      </c>
      <c r="E246" s="92">
        <v>8.63</v>
      </c>
      <c r="F246" s="92">
        <v>15.0</v>
      </c>
      <c r="G246" s="114">
        <f t="shared" si="7"/>
        <v>1115.64</v>
      </c>
      <c r="H246" s="93">
        <f t="shared" si="8"/>
        <v>1.1156400000000001E8</v>
      </c>
    </row>
    <row r="247" spans="8:8" ht="16.5">
      <c r="A247" s="111" t="s">
        <v>258</v>
      </c>
      <c r="B247" s="119" t="s">
        <v>196</v>
      </c>
      <c r="C247" s="113">
        <v>0.01</v>
      </c>
      <c r="D247" s="113">
        <v>1109.0</v>
      </c>
      <c r="E247" s="114">
        <v>8.63</v>
      </c>
      <c r="F247" s="114">
        <v>15.0</v>
      </c>
      <c r="G247" s="101">
        <f t="shared" si="7"/>
        <v>1132.64</v>
      </c>
      <c r="H247" s="118">
        <f t="shared" si="8"/>
        <v>1.1326400000000001E8</v>
      </c>
    </row>
    <row r="248" spans="8:8" ht="16.5">
      <c r="A248" s="116" t="s">
        <v>259</v>
      </c>
      <c r="B248" s="117" t="s">
        <v>196</v>
      </c>
      <c r="C248" s="97">
        <v>0.01</v>
      </c>
      <c r="D248" s="97">
        <v>1109.0</v>
      </c>
      <c r="E248" s="101">
        <v>8.63</v>
      </c>
      <c r="F248" s="101">
        <v>15.0</v>
      </c>
      <c r="G248" s="114">
        <f t="shared" si="7"/>
        <v>1132.64</v>
      </c>
      <c r="H248" s="93">
        <f t="shared" si="8"/>
        <v>1.1326400000000001E8</v>
      </c>
    </row>
    <row r="249" spans="8:8" ht="16.5">
      <c r="A249" s="116" t="s">
        <v>260</v>
      </c>
      <c r="B249" s="117" t="s">
        <v>196</v>
      </c>
      <c r="C249" s="97">
        <v>0.01</v>
      </c>
      <c r="D249" s="97">
        <v>1092.0</v>
      </c>
      <c r="E249" s="92">
        <v>8.63</v>
      </c>
      <c r="F249" s="92">
        <v>15.0</v>
      </c>
      <c r="G249" s="101">
        <f t="shared" si="7"/>
        <v>1115.64</v>
      </c>
      <c r="H249" s="118">
        <f t="shared" si="8"/>
        <v>1.1156400000000001E8</v>
      </c>
    </row>
    <row r="250" spans="8:8" ht="15.75">
      <c r="A250" s="111" t="s">
        <v>261</v>
      </c>
      <c r="B250" s="119" t="s">
        <v>196</v>
      </c>
      <c r="C250" s="113">
        <v>0.01</v>
      </c>
      <c r="D250" s="113">
        <v>1096.0</v>
      </c>
      <c r="E250" s="114">
        <v>8.63</v>
      </c>
      <c r="F250" s="114">
        <v>15.0</v>
      </c>
      <c r="G250" s="114">
        <f t="shared" si="7"/>
        <v>1119.64</v>
      </c>
      <c r="H250" s="93">
        <f t="shared" si="8"/>
        <v>1.1196400000000001E8</v>
      </c>
    </row>
    <row r="251" spans="8:8" ht="16.5">
      <c r="A251" s="116" t="s">
        <v>262</v>
      </c>
      <c r="B251" s="117" t="s">
        <v>196</v>
      </c>
      <c r="C251" s="97">
        <v>0.01</v>
      </c>
      <c r="D251" s="97">
        <v>1456.0</v>
      </c>
      <c r="E251" s="101">
        <v>8.63</v>
      </c>
      <c r="F251" s="101">
        <v>15.0</v>
      </c>
      <c r="G251" s="101">
        <f t="shared" si="7"/>
        <v>1479.64</v>
      </c>
      <c r="H251" s="118">
        <f t="shared" si="8"/>
        <v>1.47964E8</v>
      </c>
    </row>
    <row r="252" spans="8:8" ht="15.75">
      <c r="A252" s="116" t="s">
        <v>263</v>
      </c>
      <c r="B252" s="117" t="s">
        <v>196</v>
      </c>
      <c r="C252" s="97">
        <v>0.01</v>
      </c>
      <c r="D252" s="97">
        <v>1109.0</v>
      </c>
      <c r="E252" s="92">
        <v>8.63</v>
      </c>
      <c r="F252" s="92">
        <v>15.0</v>
      </c>
      <c r="G252" s="114">
        <f t="shared" si="7"/>
        <v>1132.64</v>
      </c>
      <c r="H252" s="93">
        <f t="shared" si="8"/>
        <v>1.1326400000000001E8</v>
      </c>
    </row>
    <row r="253" spans="8:8" ht="16.5">
      <c r="A253" s="111" t="s">
        <v>264</v>
      </c>
      <c r="B253" s="119" t="s">
        <v>196</v>
      </c>
      <c r="C253" s="113">
        <v>0.01</v>
      </c>
      <c r="D253" s="113">
        <v>1096.0</v>
      </c>
      <c r="E253" s="114">
        <v>8.63</v>
      </c>
      <c r="F253" s="114">
        <v>15.0</v>
      </c>
      <c r="G253" s="101">
        <f t="shared" si="7"/>
        <v>1119.64</v>
      </c>
      <c r="H253" s="118">
        <f t="shared" si="8"/>
        <v>1.1196400000000001E8</v>
      </c>
    </row>
    <row r="254" spans="8:8" ht="16.5">
      <c r="A254" s="116" t="s">
        <v>265</v>
      </c>
      <c r="B254" s="117" t="s">
        <v>196</v>
      </c>
      <c r="C254" s="97">
        <v>0.01</v>
      </c>
      <c r="D254" s="97">
        <v>1109.0</v>
      </c>
      <c r="E254" s="101">
        <v>8.63</v>
      </c>
      <c r="F254" s="101">
        <v>15.0</v>
      </c>
      <c r="G254" s="114">
        <f t="shared" si="7"/>
        <v>1132.64</v>
      </c>
      <c r="H254" s="93">
        <f t="shared" si="8"/>
        <v>1.1326400000000001E8</v>
      </c>
    </row>
    <row r="255" spans="8:8" ht="16.5">
      <c r="A255" s="116" t="s">
        <v>266</v>
      </c>
      <c r="B255" s="117" t="s">
        <v>196</v>
      </c>
      <c r="C255" s="97">
        <v>0.01</v>
      </c>
      <c r="D255" s="97">
        <v>1109.0</v>
      </c>
      <c r="E255" s="92">
        <v>8.63</v>
      </c>
      <c r="F255" s="92">
        <v>15.0</v>
      </c>
      <c r="G255" s="101">
        <f t="shared" si="7"/>
        <v>1132.64</v>
      </c>
      <c r="H255" s="118">
        <f t="shared" si="8"/>
        <v>1.1326400000000001E8</v>
      </c>
    </row>
    <row r="256" spans="8:8" ht="15.75">
      <c r="A256" s="116" t="s">
        <v>267</v>
      </c>
      <c r="B256" s="117" t="s">
        <v>196</v>
      </c>
      <c r="C256" s="97">
        <v>0.01</v>
      </c>
      <c r="D256" s="97">
        <v>1109.0</v>
      </c>
      <c r="E256" s="92">
        <v>8.63</v>
      </c>
      <c r="F256" s="92">
        <v>15.0</v>
      </c>
      <c r="G256" s="114">
        <f t="shared" si="7"/>
        <v>1132.64</v>
      </c>
      <c r="H256" s="93">
        <f t="shared" si="8"/>
        <v>1.1326400000000001E8</v>
      </c>
    </row>
    <row r="257" spans="8:8" ht="16.5">
      <c r="A257" s="116" t="s">
        <v>268</v>
      </c>
      <c r="B257" s="117" t="s">
        <v>196</v>
      </c>
      <c r="C257" s="97">
        <v>0.01</v>
      </c>
      <c r="D257" s="97">
        <v>1109.0</v>
      </c>
      <c r="E257" s="92">
        <v>8.63</v>
      </c>
      <c r="F257" s="92">
        <v>15.0</v>
      </c>
      <c r="G257" s="101">
        <f t="shared" si="7"/>
        <v>1132.64</v>
      </c>
      <c r="H257" s="118">
        <f t="shared" si="8"/>
        <v>1.1326400000000001E8</v>
      </c>
    </row>
    <row r="258" spans="8:8" ht="15.75">
      <c r="A258" s="111" t="s">
        <v>269</v>
      </c>
      <c r="B258" s="119" t="s">
        <v>196</v>
      </c>
      <c r="C258" s="113">
        <v>0.01</v>
      </c>
      <c r="D258" s="113">
        <v>1093.0</v>
      </c>
      <c r="E258" s="114">
        <v>8.63</v>
      </c>
      <c r="F258" s="114">
        <v>15.0</v>
      </c>
      <c r="G258" s="114">
        <f t="shared" si="9" ref="G258:G279">SUM(C258:F258)</f>
        <v>1116.64</v>
      </c>
      <c r="H258" s="93">
        <f t="shared" si="8"/>
        <v>1.1166400000000001E8</v>
      </c>
    </row>
    <row r="259" spans="8:8" ht="16.5">
      <c r="A259" s="116" t="s">
        <v>270</v>
      </c>
      <c r="B259" s="117" t="s">
        <v>196</v>
      </c>
      <c r="C259" s="97">
        <v>0.01</v>
      </c>
      <c r="D259" s="97">
        <v>1109.0</v>
      </c>
      <c r="E259" s="101">
        <v>8.63</v>
      </c>
      <c r="F259" s="101">
        <v>15.0</v>
      </c>
      <c r="G259" s="101">
        <f t="shared" si="9"/>
        <v>1132.64</v>
      </c>
      <c r="H259" s="118">
        <f t="shared" si="8"/>
        <v>1.1326400000000001E8</v>
      </c>
    </row>
    <row r="260" spans="8:8" ht="15.75">
      <c r="A260" s="111" t="s">
        <v>271</v>
      </c>
      <c r="B260" s="119" t="s">
        <v>196</v>
      </c>
      <c r="C260" s="113">
        <v>0.01</v>
      </c>
      <c r="D260" s="113">
        <v>1109.0</v>
      </c>
      <c r="E260" s="114">
        <v>8.63</v>
      </c>
      <c r="F260" s="114">
        <v>15.0</v>
      </c>
      <c r="G260" s="114">
        <f t="shared" si="9"/>
        <v>1132.64</v>
      </c>
      <c r="H260" s="93">
        <f t="shared" si="8"/>
        <v>1.1326400000000001E8</v>
      </c>
    </row>
    <row r="261" spans="8:8" ht="16.5">
      <c r="A261" s="116" t="s">
        <v>272</v>
      </c>
      <c r="B261" s="117" t="s">
        <v>196</v>
      </c>
      <c r="C261" s="97">
        <v>0.01</v>
      </c>
      <c r="D261" s="97">
        <v>1109.0</v>
      </c>
      <c r="E261" s="101">
        <v>8.63</v>
      </c>
      <c r="F261" s="101">
        <v>15.0</v>
      </c>
      <c r="G261" s="101">
        <f t="shared" si="9"/>
        <v>1132.64</v>
      </c>
      <c r="H261" s="118">
        <f t="shared" si="8"/>
        <v>1.1326400000000001E8</v>
      </c>
    </row>
    <row r="262" spans="8:8" ht="15.75">
      <c r="A262" s="116" t="s">
        <v>273</v>
      </c>
      <c r="B262" s="117" t="s">
        <v>196</v>
      </c>
      <c r="C262" s="97">
        <v>0.01</v>
      </c>
      <c r="D262" s="97">
        <v>1096.0</v>
      </c>
      <c r="E262" s="92">
        <v>8.63</v>
      </c>
      <c r="F262" s="92">
        <v>15.0</v>
      </c>
      <c r="G262" s="114">
        <f t="shared" si="9"/>
        <v>1119.64</v>
      </c>
      <c r="H262" s="93">
        <f t="shared" si="8"/>
        <v>1.1196400000000001E8</v>
      </c>
    </row>
    <row r="263" spans="8:8" ht="16.5">
      <c r="A263" s="111" t="s">
        <v>274</v>
      </c>
      <c r="B263" s="119" t="s">
        <v>196</v>
      </c>
      <c r="C263" s="113">
        <v>0.01</v>
      </c>
      <c r="D263" s="113">
        <v>1109.0</v>
      </c>
      <c r="E263" s="114">
        <v>8.63</v>
      </c>
      <c r="F263" s="114">
        <v>15.0</v>
      </c>
      <c r="G263" s="101">
        <f t="shared" si="9"/>
        <v>1132.64</v>
      </c>
      <c r="H263" s="118">
        <f t="shared" si="10" ref="H263:H278">G263*100000</f>
        <v>1.1326400000000001E8</v>
      </c>
    </row>
    <row r="264" spans="8:8" ht="16.5">
      <c r="A264" s="116" t="s">
        <v>275</v>
      </c>
      <c r="B264" s="117" t="s">
        <v>196</v>
      </c>
      <c r="C264" s="97">
        <v>0.01</v>
      </c>
      <c r="D264" s="97">
        <v>1109.0</v>
      </c>
      <c r="E264" s="101">
        <v>8.63</v>
      </c>
      <c r="F264" s="101">
        <v>15.0</v>
      </c>
      <c r="G264" s="114">
        <f t="shared" si="9"/>
        <v>1132.64</v>
      </c>
      <c r="H264" s="93">
        <f t="shared" si="10"/>
        <v>1.1326400000000001E8</v>
      </c>
    </row>
    <row r="265" spans="8:8" ht="16.5">
      <c r="A265" s="116" t="s">
        <v>276</v>
      </c>
      <c r="B265" s="117" t="s">
        <v>196</v>
      </c>
      <c r="C265" s="97">
        <v>0.01</v>
      </c>
      <c r="D265" s="97">
        <v>1096.0</v>
      </c>
      <c r="E265" s="92">
        <v>8.63</v>
      </c>
      <c r="F265" s="92">
        <v>15.0</v>
      </c>
      <c r="G265" s="101">
        <f t="shared" si="9"/>
        <v>1119.64</v>
      </c>
      <c r="H265" s="118">
        <f t="shared" si="10"/>
        <v>1.1196400000000001E8</v>
      </c>
    </row>
    <row r="266" spans="8:8" ht="15.75">
      <c r="A266" s="111" t="s">
        <v>277</v>
      </c>
      <c r="B266" s="119" t="s">
        <v>196</v>
      </c>
      <c r="C266" s="113">
        <v>0.01</v>
      </c>
      <c r="D266" s="113">
        <v>1109.0</v>
      </c>
      <c r="E266" s="114">
        <v>8.63</v>
      </c>
      <c r="F266" s="114">
        <v>15.0</v>
      </c>
      <c r="G266" s="114">
        <f t="shared" si="9"/>
        <v>1132.64</v>
      </c>
      <c r="H266" s="93">
        <f t="shared" si="10"/>
        <v>1.1326400000000001E8</v>
      </c>
    </row>
    <row r="267" spans="8:8" ht="16.5">
      <c r="A267" s="120" t="s">
        <v>278</v>
      </c>
      <c r="B267" s="121" t="s">
        <v>196</v>
      </c>
      <c r="C267" s="122">
        <v>0.01</v>
      </c>
      <c r="D267" s="122">
        <v>1864.0</v>
      </c>
      <c r="E267" s="123">
        <v>8.63</v>
      </c>
      <c r="F267" s="123">
        <v>15.0</v>
      </c>
      <c r="G267" s="101">
        <f t="shared" si="9"/>
        <v>1887.64</v>
      </c>
      <c r="H267" s="118">
        <f t="shared" si="10"/>
        <v>1.88764E8</v>
      </c>
    </row>
    <row r="268" spans="8:8" ht="16.5">
      <c r="A268" s="116" t="s">
        <v>279</v>
      </c>
      <c r="B268" s="117" t="s">
        <v>196</v>
      </c>
      <c r="C268" s="97">
        <v>0.01</v>
      </c>
      <c r="D268" s="97">
        <v>1877.0</v>
      </c>
      <c r="E268" s="101">
        <v>8.63</v>
      </c>
      <c r="F268" s="101">
        <v>15.0</v>
      </c>
      <c r="G268" s="114">
        <f t="shared" si="9"/>
        <v>1900.64</v>
      </c>
      <c r="H268" s="93">
        <f t="shared" si="10"/>
        <v>1.90064E8</v>
      </c>
    </row>
    <row r="269" spans="8:8" ht="16.5">
      <c r="A269" s="116" t="s">
        <v>280</v>
      </c>
      <c r="B269" s="117" t="s">
        <v>196</v>
      </c>
      <c r="C269" s="97">
        <v>279.0</v>
      </c>
      <c r="D269" s="97">
        <v>1102.0</v>
      </c>
      <c r="E269" s="92">
        <v>8.63</v>
      </c>
      <c r="F269" s="92">
        <v>15.0</v>
      </c>
      <c r="G269" s="101">
        <f t="shared" si="9"/>
        <v>1404.63</v>
      </c>
      <c r="H269" s="118">
        <f t="shared" si="10"/>
        <v>1.40463E8</v>
      </c>
    </row>
    <row r="270" spans="8:8" ht="15.75">
      <c r="A270" s="116" t="s">
        <v>281</v>
      </c>
      <c r="B270" s="117" t="s">
        <v>282</v>
      </c>
      <c r="C270" s="97">
        <v>450.0</v>
      </c>
      <c r="D270" s="101">
        <v>0.0</v>
      </c>
      <c r="E270" s="75"/>
      <c r="F270" s="75"/>
      <c r="G270" s="114">
        <f t="shared" si="9"/>
        <v>450.0</v>
      </c>
      <c r="H270" s="93">
        <f t="shared" si="10"/>
        <v>4.5E7</v>
      </c>
    </row>
    <row r="271" spans="8:8" ht="16.5">
      <c r="A271" s="116" t="s">
        <v>283</v>
      </c>
      <c r="B271" s="117" t="s">
        <v>282</v>
      </c>
      <c r="C271" s="97">
        <v>450.0</v>
      </c>
      <c r="D271" s="101">
        <v>0.0</v>
      </c>
      <c r="E271" s="75"/>
      <c r="F271" s="75"/>
      <c r="G271" s="101">
        <f t="shared" si="9"/>
        <v>450.0</v>
      </c>
      <c r="H271" s="118">
        <f t="shared" si="10"/>
        <v>4.5E7</v>
      </c>
    </row>
    <row r="272" spans="8:8" ht="15.75">
      <c r="A272" s="116" t="s">
        <v>284</v>
      </c>
      <c r="B272" s="126" t="s">
        <v>285</v>
      </c>
      <c r="C272" s="96">
        <v>20.0</v>
      </c>
      <c r="D272" s="101">
        <v>0.0</v>
      </c>
      <c r="E272" s="75"/>
      <c r="F272" s="75"/>
      <c r="G272" s="114">
        <f t="shared" si="9"/>
        <v>20.0</v>
      </c>
      <c r="H272" s="93">
        <f t="shared" si="10"/>
        <v>2000000.0</v>
      </c>
    </row>
    <row r="273" spans="8:8" ht="16.5">
      <c r="A273" s="116" t="s">
        <v>286</v>
      </c>
      <c r="B273" s="126" t="s">
        <v>285</v>
      </c>
      <c r="C273" s="96">
        <v>50.0</v>
      </c>
      <c r="D273" s="101">
        <v>0.0</v>
      </c>
      <c r="E273" s="75"/>
      <c r="F273" s="75"/>
      <c r="G273" s="101">
        <f t="shared" si="9"/>
        <v>50.0</v>
      </c>
      <c r="H273" s="118">
        <f t="shared" si="10"/>
        <v>5000000.0</v>
      </c>
    </row>
    <row r="274" spans="8:8" ht="15.75">
      <c r="A274" s="116" t="s">
        <v>4</v>
      </c>
      <c r="B274" s="126" t="s">
        <v>285</v>
      </c>
      <c r="C274" s="96">
        <v>8.63</v>
      </c>
      <c r="D274" s="101">
        <v>0.0</v>
      </c>
      <c r="E274" s="75"/>
      <c r="F274" s="75"/>
      <c r="G274" s="114">
        <f t="shared" si="9"/>
        <v>8.63</v>
      </c>
      <c r="H274" s="93">
        <f t="shared" si="10"/>
        <v>863000.0000000001</v>
      </c>
    </row>
    <row r="275" spans="8:8" ht="16.5">
      <c r="A275" s="116" t="s">
        <v>287</v>
      </c>
      <c r="B275" s="126" t="s">
        <v>285</v>
      </c>
      <c r="C275" s="96">
        <v>50.0</v>
      </c>
      <c r="D275" s="101">
        <v>0.0</v>
      </c>
      <c r="E275" s="75"/>
      <c r="F275" s="75"/>
      <c r="G275" s="101">
        <f t="shared" si="9"/>
        <v>50.0</v>
      </c>
      <c r="H275" s="118">
        <f t="shared" si="10"/>
        <v>5000000.0</v>
      </c>
    </row>
    <row r="276" spans="8:8" ht="15.75">
      <c r="A276" s="116" t="s">
        <v>5</v>
      </c>
      <c r="B276" s="126" t="s">
        <v>285</v>
      </c>
      <c r="C276" s="96">
        <v>15.0</v>
      </c>
      <c r="D276" s="101">
        <v>0.0</v>
      </c>
      <c r="E276" s="75"/>
      <c r="F276" s="75"/>
      <c r="G276" s="114">
        <f t="shared" si="9"/>
        <v>15.0</v>
      </c>
      <c r="H276" s="93">
        <f t="shared" si="10"/>
        <v>1500000.0</v>
      </c>
    </row>
    <row r="277" spans="8:8" ht="16.5">
      <c r="A277" s="116" t="s">
        <v>288</v>
      </c>
      <c r="B277" s="126" t="s">
        <v>285</v>
      </c>
      <c r="C277" s="96">
        <v>164.0</v>
      </c>
      <c r="D277" s="101">
        <v>0.0</v>
      </c>
      <c r="E277" s="75"/>
      <c r="F277" s="75"/>
      <c r="G277" s="101">
        <f t="shared" si="9"/>
        <v>164.0</v>
      </c>
      <c r="H277" s="118">
        <f t="shared" si="10"/>
        <v>1.64E7</v>
      </c>
    </row>
    <row r="278" spans="8:8" ht="15.75">
      <c r="A278" s="116" t="s">
        <v>289</v>
      </c>
      <c r="B278" s="126" t="s">
        <v>290</v>
      </c>
      <c r="C278" s="97">
        <v>0.01</v>
      </c>
      <c r="D278" s="97">
        <v>329.0</v>
      </c>
      <c r="E278" s="92">
        <v>8.63</v>
      </c>
      <c r="F278" s="92">
        <v>15.0</v>
      </c>
      <c r="G278" s="92">
        <f t="shared" si="9"/>
        <v>352.64</v>
      </c>
      <c r="H278" s="132">
        <f t="shared" si="10"/>
        <v>3.5264E7</v>
      </c>
    </row>
    <row r="279" spans="8:8" ht="15.75">
      <c r="A279" s="116" t="s">
        <v>291</v>
      </c>
      <c r="B279" s="126" t="s">
        <v>290</v>
      </c>
      <c r="C279" s="97">
        <v>125.0</v>
      </c>
      <c r="D279" s="97">
        <v>78.0</v>
      </c>
      <c r="E279" s="92">
        <v>8.63</v>
      </c>
      <c r="F279" s="92">
        <v>15.0</v>
      </c>
      <c r="G279" s="133">
        <f t="shared" si="9"/>
        <v>226.63</v>
      </c>
      <c r="H279" s="109">
        <f>G279*100000</f>
        <v>2.2663E7</v>
      </c>
    </row>
    <row r="280" spans="8:8" s="116" ht="15.0" customFormat="1">
      <c r="C280" s="75"/>
      <c r="D280" s="75"/>
      <c r="E280" s="75"/>
      <c r="F280" s="75"/>
      <c r="G280" s="101"/>
      <c r="H280" s="134"/>
    </row>
  </sheetData>
  <pageMargins left="0.46" right="0.16" top="0.31" bottom="0.39" header="0.26" footer="0.16"/>
</worksheet>
</file>

<file path=xl/worksheets/sheet7.xml><?xml version="1.0" encoding="utf-8"?>
<worksheet xmlns:r="http://schemas.openxmlformats.org/officeDocument/2006/relationships" xmlns="http://schemas.openxmlformats.org/spreadsheetml/2006/main">
  <dimension ref="A1:K280"/>
  <sheetViews>
    <sheetView workbookViewId="0" topLeftCell="A265">
      <selection activeCell="A280" sqref="A280"/>
    </sheetView>
  </sheetViews>
  <sheetFormatPr defaultRowHeight="15.0" defaultColWidth="10"/>
  <cols>
    <col min="1" max="1" customWidth="1" width="59.0" style="73"/>
    <col min="2" max="2" customWidth="1" width="12.285156" style="0"/>
    <col min="3" max="3" hidden="1" customWidth="1" width="12.425781" style="74"/>
    <col min="4" max="4" hidden="1" customWidth="1" width="15.285156" style="74"/>
    <col min="5" max="5" hidden="1" customWidth="1" width="12.855469" style="74"/>
    <col min="6" max="6" hidden="1" customWidth="1" width="18.140625" style="74"/>
    <col min="7" max="7" customWidth="1" bestFit="1" width="13.5703125" style="75"/>
    <col min="8" max="8" customWidth="1" width="4.5703125" style="116"/>
    <col min="9" max="10" customWidth="1" bestFit="1" width="12.5703125" style="0"/>
  </cols>
  <sheetData>
    <row r="1" spans="8:8" ht="15.75">
      <c r="A1" s="110" t="s">
        <v>0</v>
      </c>
      <c r="B1" s="110" t="s">
        <v>1</v>
      </c>
      <c r="C1" s="78" t="s">
        <v>2</v>
      </c>
      <c r="D1" s="78" t="s">
        <v>3</v>
      </c>
      <c r="E1" s="78" t="s">
        <v>4</v>
      </c>
      <c r="F1" s="78" t="s">
        <v>5</v>
      </c>
      <c r="G1" s="78" t="s">
        <v>6</v>
      </c>
    </row>
    <row r="2" spans="8:8" ht="15.75">
      <c r="A2" s="116" t="s">
        <v>7</v>
      </c>
      <c r="B2" s="135" t="s">
        <v>8</v>
      </c>
      <c r="C2" s="97">
        <v>320.0</v>
      </c>
      <c r="D2" s="97">
        <v>4228760.25</v>
      </c>
      <c r="E2" s="92">
        <v>627900.0</v>
      </c>
      <c r="F2" s="92">
        <v>400000.0</v>
      </c>
      <c r="G2" s="136">
        <f t="shared" si="0" ref="G2:G65">(C2+D2+E2+F2)</f>
        <v>5256980.25</v>
      </c>
    </row>
    <row r="3" spans="8:8" ht="15.75">
      <c r="A3" s="116" t="s">
        <v>9</v>
      </c>
      <c r="B3" s="117" t="s">
        <v>8</v>
      </c>
      <c r="C3" s="97">
        <v>320.0</v>
      </c>
      <c r="D3" s="97">
        <v>4228760.25</v>
      </c>
      <c r="E3" s="92">
        <v>627900.0</v>
      </c>
      <c r="F3" s="92">
        <v>400000.0</v>
      </c>
      <c r="G3" s="136">
        <f t="shared" si="0"/>
        <v>5256980.25</v>
      </c>
    </row>
    <row r="4" spans="8:8" ht="15.75">
      <c r="A4" s="116" t="s">
        <v>10</v>
      </c>
      <c r="B4" s="117" t="s">
        <v>8</v>
      </c>
      <c r="C4" s="97">
        <v>320.0</v>
      </c>
      <c r="D4" s="97">
        <v>6527910.445056</v>
      </c>
      <c r="E4" s="92">
        <v>627900.0</v>
      </c>
      <c r="F4" s="92">
        <v>400000.0</v>
      </c>
      <c r="G4" s="136">
        <f t="shared" si="0"/>
        <v>7556130.445056</v>
      </c>
    </row>
    <row r="5" spans="8:8" ht="15.75">
      <c r="A5" s="116" t="s">
        <v>11</v>
      </c>
      <c r="B5" s="117" t="s">
        <v>8</v>
      </c>
      <c r="C5" s="96">
        <v>320.0</v>
      </c>
      <c r="D5" s="97">
        <v>3961154.6040000007</v>
      </c>
      <c r="E5" s="92">
        <v>627900.0</v>
      </c>
      <c r="F5" s="92">
        <v>400000.0</v>
      </c>
      <c r="G5" s="136">
        <f t="shared" si="0"/>
        <v>4989374.604</v>
      </c>
    </row>
    <row r="6" spans="8:8" ht="15.75">
      <c r="A6" s="111" t="s">
        <v>12</v>
      </c>
      <c r="B6" s="119" t="s">
        <v>13</v>
      </c>
      <c r="C6" s="113">
        <v>3776370.292730881</v>
      </c>
      <c r="D6" s="113">
        <v>1624115.682756404</v>
      </c>
      <c r="E6" s="114">
        <v>627900.0</v>
      </c>
      <c r="F6" s="114">
        <v>400000.0</v>
      </c>
      <c r="G6" s="137">
        <f t="shared" si="0"/>
        <v>6428385.975487284</v>
      </c>
    </row>
    <row r="7" spans="8:8" ht="16.5">
      <c r="A7" s="116" t="s">
        <v>14</v>
      </c>
      <c r="B7" s="117" t="s">
        <v>13</v>
      </c>
      <c r="C7" s="97">
        <v>4570140.182399999</v>
      </c>
      <c r="D7" s="97">
        <v>1655453.3619326977</v>
      </c>
      <c r="E7" s="101">
        <v>627900.0</v>
      </c>
      <c r="F7" s="101">
        <v>400000.0</v>
      </c>
      <c r="G7" s="138">
        <f t="shared" si="0"/>
        <v>7253493.544332697</v>
      </c>
    </row>
    <row r="8" spans="8:8" ht="15.75">
      <c r="A8" s="116" t="s">
        <v>15</v>
      </c>
      <c r="B8" s="117" t="s">
        <v>13</v>
      </c>
      <c r="C8" s="97">
        <v>5963502.8853504</v>
      </c>
      <c r="D8" s="97">
        <v>2160975.7358751735</v>
      </c>
      <c r="E8" s="92">
        <v>627900.0</v>
      </c>
      <c r="F8" s="92">
        <v>400000.0</v>
      </c>
      <c r="G8" s="136">
        <f t="shared" si="0"/>
        <v>9152378.621225573</v>
      </c>
    </row>
    <row r="9" spans="8:8" ht="15.75">
      <c r="A9" s="116" t="s">
        <v>16</v>
      </c>
      <c r="B9" s="117" t="s">
        <v>13</v>
      </c>
      <c r="C9" s="97">
        <v>7543730.5572096</v>
      </c>
      <c r="D9" s="97">
        <v>2731233.2217311235</v>
      </c>
      <c r="E9" s="92">
        <v>627900.0</v>
      </c>
      <c r="F9" s="92">
        <v>400000.0</v>
      </c>
      <c r="G9" s="136">
        <f t="shared" si="0"/>
        <v>1.1302863778940722E7</v>
      </c>
    </row>
    <row r="10" spans="8:8" ht="15.75">
      <c r="A10" s="116" t="s">
        <v>17</v>
      </c>
      <c r="B10" s="117" t="s">
        <v>13</v>
      </c>
      <c r="C10" s="97">
        <v>2.6242414293887995E7</v>
      </c>
      <c r="D10" s="97">
        <v>9507822.437036848</v>
      </c>
      <c r="E10" s="92">
        <v>627900.0</v>
      </c>
      <c r="F10" s="92">
        <v>400000.0</v>
      </c>
      <c r="G10" s="136">
        <f t="shared" si="0"/>
        <v>3.6778136730924845E7</v>
      </c>
    </row>
    <row r="11" spans="8:8" ht="15.75">
      <c r="A11" s="116" t="s">
        <v>18</v>
      </c>
      <c r="B11" s="117" t="s">
        <v>13</v>
      </c>
      <c r="C11" s="97">
        <v>1.3913388627839997E7</v>
      </c>
      <c r="D11" s="97">
        <v>5038157.209920306</v>
      </c>
      <c r="E11" s="92">
        <v>627900.0</v>
      </c>
      <c r="F11" s="92">
        <v>400000.0</v>
      </c>
      <c r="G11" s="136">
        <f t="shared" si="0"/>
        <v>1.9979445837760303E7</v>
      </c>
    </row>
    <row r="12" spans="8:8" ht="15.75">
      <c r="A12" s="116" t="s">
        <v>19</v>
      </c>
      <c r="B12" s="117" t="s">
        <v>13</v>
      </c>
      <c r="C12" s="97">
        <v>6702838.197120002</v>
      </c>
      <c r="D12" s="97">
        <v>2482297.291372953</v>
      </c>
      <c r="E12" s="92">
        <v>627900.0</v>
      </c>
      <c r="F12" s="92">
        <v>400000.0</v>
      </c>
      <c r="G12" s="136">
        <f t="shared" si="0"/>
        <v>1.0213035488492955E7</v>
      </c>
    </row>
    <row r="13" spans="8:8" ht="15.75">
      <c r="A13" s="111" t="s">
        <v>20</v>
      </c>
      <c r="B13" s="119" t="s">
        <v>13</v>
      </c>
      <c r="C13" s="113">
        <v>7312180.48704</v>
      </c>
      <c r="D13" s="113">
        <v>2554094.415495167</v>
      </c>
      <c r="E13" s="114">
        <v>627900.0</v>
      </c>
      <c r="F13" s="114">
        <v>400000.0</v>
      </c>
      <c r="G13" s="137">
        <f t="shared" si="0"/>
        <v>1.0894174902535167E7</v>
      </c>
    </row>
    <row r="14" spans="8:8" ht="16.5">
      <c r="A14" s="116" t="s">
        <v>21</v>
      </c>
      <c r="B14" s="117" t="s">
        <v>13</v>
      </c>
      <c r="C14" s="97">
        <v>1.5436744352640001E7</v>
      </c>
      <c r="D14" s="97">
        <v>5696689.848385533</v>
      </c>
      <c r="E14" s="101">
        <v>627900.0</v>
      </c>
      <c r="F14" s="101">
        <v>400000.0</v>
      </c>
      <c r="G14" s="138">
        <f t="shared" si="0"/>
        <v>2.2161334201025534E7</v>
      </c>
    </row>
    <row r="15" spans="8:8" ht="15.75">
      <c r="A15" s="111" t="s">
        <v>22</v>
      </c>
      <c r="B15" s="119" t="s">
        <v>13</v>
      </c>
      <c r="C15" s="113">
        <v>7312180.48704</v>
      </c>
      <c r="D15" s="113">
        <v>2777724.8021053444</v>
      </c>
      <c r="E15" s="114">
        <v>627900.0</v>
      </c>
      <c r="F15" s="114">
        <v>400000.0</v>
      </c>
      <c r="G15" s="137">
        <f t="shared" si="0"/>
        <v>1.1117805289145345E7</v>
      </c>
    </row>
    <row r="16" spans="8:8" ht="16.5">
      <c r="A16" s="116" t="s">
        <v>23</v>
      </c>
      <c r="B16" s="117" t="s">
        <v>13</v>
      </c>
      <c r="C16" s="97">
        <v>1.5436744352640001E7</v>
      </c>
      <c r="D16" s="97">
        <v>6141596.617536306</v>
      </c>
      <c r="E16" s="101">
        <v>627900.0</v>
      </c>
      <c r="F16" s="101">
        <v>400000.0</v>
      </c>
      <c r="G16" s="138">
        <f t="shared" si="0"/>
        <v>2.260624097017631E7</v>
      </c>
    </row>
    <row r="17" spans="8:8" ht="15.75">
      <c r="A17" s="116" t="s">
        <v>24</v>
      </c>
      <c r="B17" s="117" t="s">
        <v>13</v>
      </c>
      <c r="C17" s="97">
        <v>6499724.10048</v>
      </c>
      <c r="D17" s="97">
        <v>2401672.651989811</v>
      </c>
      <c r="E17" s="92">
        <v>627900.0</v>
      </c>
      <c r="F17" s="92">
        <v>400000.0</v>
      </c>
      <c r="G17" s="136">
        <f t="shared" si="0"/>
        <v>9929296.752469812</v>
      </c>
    </row>
    <row r="18" spans="8:8" ht="15.75">
      <c r="A18" s="116" t="s">
        <v>25</v>
      </c>
      <c r="B18" s="117" t="s">
        <v>13</v>
      </c>
      <c r="C18" s="97">
        <v>6093495.907200001</v>
      </c>
      <c r="D18" s="97">
        <v>2255135.898658406</v>
      </c>
      <c r="E18" s="92">
        <v>627900.0</v>
      </c>
      <c r="F18" s="92">
        <v>400000.0</v>
      </c>
      <c r="G18" s="136">
        <f t="shared" si="0"/>
        <v>9376531.805858407</v>
      </c>
    </row>
    <row r="19" spans="8:8" ht="15.75">
      <c r="A19" s="116" t="s">
        <v>26</v>
      </c>
      <c r="B19" s="117" t="s">
        <v>13</v>
      </c>
      <c r="C19" s="97">
        <v>8937093.26016</v>
      </c>
      <c r="D19" s="97">
        <v>3234401.591604018</v>
      </c>
      <c r="E19" s="92">
        <v>627900.0</v>
      </c>
      <c r="F19" s="92">
        <v>400000.0</v>
      </c>
      <c r="G19" s="136">
        <f t="shared" si="0"/>
        <v>1.3199394851764018E7</v>
      </c>
    </row>
    <row r="20" spans="8:8" ht="15.75">
      <c r="A20" s="116" t="s">
        <v>27</v>
      </c>
      <c r="B20" s="117" t="s">
        <v>13</v>
      </c>
      <c r="C20" s="97">
        <v>6499724.10048</v>
      </c>
      <c r="D20" s="97">
        <v>2403438.1550419964</v>
      </c>
      <c r="E20" s="92">
        <v>627900.0</v>
      </c>
      <c r="F20" s="92">
        <v>400000.0</v>
      </c>
      <c r="G20" s="136">
        <f t="shared" si="0"/>
        <v>9931062.255521996</v>
      </c>
    </row>
    <row r="21" spans="8:8" ht="15.75">
      <c r="A21" s="111" t="s">
        <v>28</v>
      </c>
      <c r="B21" s="119" t="s">
        <v>13</v>
      </c>
      <c r="C21" s="113">
        <v>8937093.26016</v>
      </c>
      <c r="D21" s="113">
        <v>3234401.591604018</v>
      </c>
      <c r="E21" s="114">
        <v>627900.0</v>
      </c>
      <c r="F21" s="114">
        <v>400000.0</v>
      </c>
      <c r="G21" s="137">
        <f t="shared" si="0"/>
        <v>1.3199394851764018E7</v>
      </c>
    </row>
    <row r="22" spans="8:8" ht="16.5">
      <c r="A22" s="116" t="s">
        <v>29</v>
      </c>
      <c r="B22" s="117" t="s">
        <v>13</v>
      </c>
      <c r="C22" s="97">
        <v>8124636.8736000005</v>
      </c>
      <c r="D22" s="97">
        <v>3366225.819500544</v>
      </c>
      <c r="E22" s="101">
        <v>627900.0</v>
      </c>
      <c r="F22" s="101">
        <v>400000.0</v>
      </c>
      <c r="G22" s="138">
        <f t="shared" si="0"/>
        <v>1.2518762693100546E7</v>
      </c>
    </row>
    <row r="23" spans="8:8" ht="15.75">
      <c r="A23" s="116" t="s">
        <v>30</v>
      </c>
      <c r="B23" s="117" t="s">
        <v>13</v>
      </c>
      <c r="C23" s="97">
        <v>6093495.907200001</v>
      </c>
      <c r="D23" s="97">
        <v>2255135.898658406</v>
      </c>
      <c r="E23" s="92">
        <v>627900.0</v>
      </c>
      <c r="F23" s="92">
        <v>400000.0</v>
      </c>
      <c r="G23" s="136">
        <f t="shared" si="0"/>
        <v>9376531.805858407</v>
      </c>
    </row>
    <row r="24" spans="8:8" ht="15.75">
      <c r="A24" s="116" t="s">
        <v>31</v>
      </c>
      <c r="B24" s="117" t="s">
        <v>13</v>
      </c>
      <c r="C24" s="97">
        <v>6093495.907200001</v>
      </c>
      <c r="D24" s="97">
        <v>2255135.898658406</v>
      </c>
      <c r="E24" s="92">
        <v>627900.0</v>
      </c>
      <c r="F24" s="92">
        <v>400000.0</v>
      </c>
      <c r="G24" s="136">
        <f t="shared" si="0"/>
        <v>9376531.805858407</v>
      </c>
    </row>
    <row r="25" spans="8:8" ht="15.75">
      <c r="A25" s="116" t="s">
        <v>32</v>
      </c>
      <c r="B25" s="117" t="s">
        <v>13</v>
      </c>
      <c r="C25" s="97">
        <v>1.0968234226559998E7</v>
      </c>
      <c r="D25" s="97">
        <v>3987682.8938698755</v>
      </c>
      <c r="E25" s="92">
        <v>627900.0</v>
      </c>
      <c r="F25" s="92">
        <v>400000.0</v>
      </c>
      <c r="G25" s="136">
        <f t="shared" si="0"/>
        <v>1.5983817120429873E7</v>
      </c>
    </row>
    <row r="26" spans="8:8" ht="15.75">
      <c r="A26" s="116" t="s">
        <v>33</v>
      </c>
      <c r="B26" s="117" t="s">
        <v>13</v>
      </c>
      <c r="C26" s="97">
        <v>1.0968234226559998E7</v>
      </c>
      <c r="D26" s="97">
        <v>3987682.8938698755</v>
      </c>
      <c r="E26" s="92">
        <v>627900.0</v>
      </c>
      <c r="F26" s="92">
        <v>400000.0</v>
      </c>
      <c r="G26" s="136">
        <f t="shared" si="0"/>
        <v>1.5983817120429873E7</v>
      </c>
    </row>
    <row r="27" spans="8:8" ht="15.75">
      <c r="A27" s="116" t="s">
        <v>34</v>
      </c>
      <c r="B27" s="117" t="s">
        <v>13</v>
      </c>
      <c r="C27" s="97">
        <v>8124636.8736000005</v>
      </c>
      <c r="D27" s="97">
        <v>3003709.1927851005</v>
      </c>
      <c r="E27" s="92">
        <v>627900.0</v>
      </c>
      <c r="F27" s="92">
        <v>400000.0</v>
      </c>
      <c r="G27" s="136">
        <f t="shared" si="0"/>
        <v>1.2156246066385102E7</v>
      </c>
    </row>
    <row r="28" spans="8:8" ht="15.75">
      <c r="A28" s="116" t="s">
        <v>35</v>
      </c>
      <c r="B28" s="117" t="s">
        <v>13</v>
      </c>
      <c r="C28" s="97">
        <v>1.0927611407232001E7</v>
      </c>
      <c r="D28" s="97">
        <v>3958257.843000115</v>
      </c>
      <c r="E28" s="92">
        <v>627900.0</v>
      </c>
      <c r="F28" s="92">
        <v>400000.0</v>
      </c>
      <c r="G28" s="136">
        <f t="shared" si="0"/>
        <v>1.5913769250232115E7</v>
      </c>
    </row>
    <row r="29" spans="8:8" ht="15.75">
      <c r="A29" s="116" t="s">
        <v>36</v>
      </c>
      <c r="B29" s="117" t="s">
        <v>13</v>
      </c>
      <c r="C29" s="97">
        <v>8246505.331583999</v>
      </c>
      <c r="D29" s="97">
        <v>2988408.166332825</v>
      </c>
      <c r="E29" s="92">
        <v>627900.0</v>
      </c>
      <c r="F29" s="92">
        <v>400000.0</v>
      </c>
      <c r="G29" s="136">
        <f t="shared" si="0"/>
        <v>1.2262813497916825E7</v>
      </c>
    </row>
    <row r="30" spans="8:8" ht="15.75">
      <c r="A30" s="111" t="s">
        <v>37</v>
      </c>
      <c r="B30" s="119" t="s">
        <v>13</v>
      </c>
      <c r="C30" s="113">
        <v>4184223.398784001</v>
      </c>
      <c r="D30" s="113">
        <v>1517155.622844826</v>
      </c>
      <c r="E30" s="114">
        <v>627900.0</v>
      </c>
      <c r="F30" s="114">
        <v>400000.0</v>
      </c>
      <c r="G30" s="137">
        <f t="shared" si="0"/>
        <v>6729279.021628827</v>
      </c>
      <c r="I30" s="139"/>
      <c r="J30" s="76"/>
    </row>
    <row r="31" spans="8:8" ht="16.5">
      <c r="A31" s="116" t="s">
        <v>38</v>
      </c>
      <c r="B31" s="117" t="s">
        <v>13</v>
      </c>
      <c r="C31" s="97">
        <v>4468583.134079999</v>
      </c>
      <c r="D31" s="97">
        <v>1581890.734758298</v>
      </c>
      <c r="E31" s="101">
        <v>627900.0</v>
      </c>
      <c r="F31" s="101">
        <v>400000.0</v>
      </c>
      <c r="G31" s="138">
        <f t="shared" si="0"/>
        <v>7078373.868838297</v>
      </c>
      <c r="J31" s="76"/>
    </row>
    <row r="32" spans="8:8" ht="15.75">
      <c r="A32" s="116" t="s">
        <v>39</v>
      </c>
      <c r="B32" s="117" t="s">
        <v>13</v>
      </c>
      <c r="C32" s="97">
        <v>5077925.424</v>
      </c>
      <c r="D32" s="97">
        <v>1879672.2495602695</v>
      </c>
      <c r="E32" s="92">
        <v>627900.0</v>
      </c>
      <c r="F32" s="92">
        <v>400000.0</v>
      </c>
      <c r="G32" s="136">
        <f t="shared" si="0"/>
        <v>7985497.673560269</v>
      </c>
      <c r="J32" s="76"/>
    </row>
    <row r="33" spans="8:8" ht="15.75">
      <c r="A33" s="116" t="s">
        <v>40</v>
      </c>
      <c r="B33" s="117" t="s">
        <v>13</v>
      </c>
      <c r="C33" s="97">
        <v>8124636.8736000005</v>
      </c>
      <c r="D33" s="97">
        <v>3003709.1927851005</v>
      </c>
      <c r="E33" s="92">
        <v>627900.0</v>
      </c>
      <c r="F33" s="92">
        <v>400000.0</v>
      </c>
      <c r="G33" s="136">
        <f t="shared" si="0"/>
        <v>1.2156246066385102E7</v>
      </c>
      <c r="J33" s="76"/>
    </row>
    <row r="34" spans="8:8" ht="15.75">
      <c r="A34" s="111" t="s">
        <v>41</v>
      </c>
      <c r="B34" s="119" t="s">
        <v>13</v>
      </c>
      <c r="C34" s="113">
        <v>3656126.7475199997</v>
      </c>
      <c r="D34" s="113">
        <v>1353552.3400089603</v>
      </c>
      <c r="E34" s="114">
        <v>627900.0</v>
      </c>
      <c r="F34" s="114">
        <v>400000.0</v>
      </c>
      <c r="G34" s="137">
        <f t="shared" si="0"/>
        <v>6037579.08752896</v>
      </c>
      <c r="J34" s="76"/>
    </row>
    <row r="35" spans="8:8" ht="16.5">
      <c r="A35" s="111" t="s">
        <v>42</v>
      </c>
      <c r="B35" s="119" t="s">
        <v>13</v>
      </c>
      <c r="C35" s="113">
        <v>3656126.7475199997</v>
      </c>
      <c r="D35" s="113">
        <v>1353552.3400089603</v>
      </c>
      <c r="E35" s="130">
        <v>627900.0</v>
      </c>
      <c r="F35" s="130">
        <v>400000.0</v>
      </c>
      <c r="G35" s="140">
        <f t="shared" si="0"/>
        <v>6037579.08752896</v>
      </c>
    </row>
    <row r="36" spans="8:8" ht="16.5">
      <c r="A36" s="116" t="s">
        <v>43</v>
      </c>
      <c r="B36" s="117" t="s">
        <v>13</v>
      </c>
      <c r="C36" s="97">
        <v>8246505.331583999</v>
      </c>
      <c r="D36" s="97">
        <v>2988408.166332825</v>
      </c>
      <c r="E36" s="101">
        <v>627900.0</v>
      </c>
      <c r="F36" s="101">
        <v>400000.0</v>
      </c>
      <c r="G36" s="138">
        <f t="shared" si="0"/>
        <v>1.2262813497916825E7</v>
      </c>
    </row>
    <row r="37" spans="8:8" ht="15.75">
      <c r="A37" s="116" t="s">
        <v>44</v>
      </c>
      <c r="B37" s="117" t="s">
        <v>13</v>
      </c>
      <c r="C37" s="97">
        <v>4468583.134079999</v>
      </c>
      <c r="D37" s="97">
        <v>1723130.9789331458</v>
      </c>
      <c r="E37" s="92">
        <v>627900.0</v>
      </c>
      <c r="F37" s="92">
        <v>400000.0</v>
      </c>
      <c r="G37" s="136">
        <f t="shared" si="0"/>
        <v>7219614.113013145</v>
      </c>
    </row>
    <row r="38" spans="8:8" ht="15.75">
      <c r="A38" s="116" t="s">
        <v>45</v>
      </c>
      <c r="B38" s="117" t="s">
        <v>13</v>
      </c>
      <c r="C38" s="97">
        <v>1.706165712576E7</v>
      </c>
      <c r="D38" s="97">
        <v>6165136.658232113</v>
      </c>
      <c r="E38" s="92">
        <v>627900.0</v>
      </c>
      <c r="F38" s="92">
        <v>400000.0</v>
      </c>
      <c r="G38" s="136">
        <f t="shared" si="0"/>
        <v>2.425469378399211E7</v>
      </c>
    </row>
    <row r="39" spans="8:8" ht="15.75">
      <c r="A39" s="116" t="s">
        <v>46</v>
      </c>
      <c r="B39" s="117" t="s">
        <v>13</v>
      </c>
      <c r="C39" s="97">
        <v>1.706165712576E7</v>
      </c>
      <c r="D39" s="97">
        <v>6165136.658232113</v>
      </c>
      <c r="E39" s="92">
        <v>627900.0</v>
      </c>
      <c r="F39" s="92">
        <v>400000.0</v>
      </c>
      <c r="G39" s="136">
        <f t="shared" si="0"/>
        <v>2.425469378399211E7</v>
      </c>
    </row>
    <row r="40" spans="8:8" ht="15.75">
      <c r="A40" s="116" t="s">
        <v>47</v>
      </c>
      <c r="B40" s="117" t="s">
        <v>13</v>
      </c>
      <c r="C40" s="97">
        <v>2.396753641152E7</v>
      </c>
      <c r="D40" s="97">
        <v>8723939.081866443</v>
      </c>
      <c r="E40" s="92">
        <v>627900.0</v>
      </c>
      <c r="F40" s="92">
        <v>400000.0</v>
      </c>
      <c r="G40" s="136">
        <f t="shared" si="0"/>
        <v>3.371937549338645E7</v>
      </c>
    </row>
    <row r="41" spans="8:8" ht="15.75">
      <c r="A41" s="116" t="s">
        <v>48</v>
      </c>
      <c r="B41" s="117" t="s">
        <v>13</v>
      </c>
      <c r="C41" s="97">
        <v>9749549.64672</v>
      </c>
      <c r="D41" s="97">
        <v>3608688.2386673656</v>
      </c>
      <c r="E41" s="92">
        <v>627900.0</v>
      </c>
      <c r="F41" s="92">
        <v>400000.0</v>
      </c>
      <c r="G41" s="136">
        <f t="shared" si="0"/>
        <v>1.4386137885387365E7</v>
      </c>
    </row>
    <row r="42" spans="8:8" ht="15.75">
      <c r="A42" s="111" t="s">
        <v>49</v>
      </c>
      <c r="B42" s="119" t="s">
        <v>13</v>
      </c>
      <c r="C42" s="113">
        <v>3656126.7475199997</v>
      </c>
      <c r="D42" s="113">
        <v>1353552.3400089603</v>
      </c>
      <c r="E42" s="114">
        <v>627900.0</v>
      </c>
      <c r="F42" s="114">
        <v>400000.0</v>
      </c>
      <c r="G42" s="137">
        <f t="shared" si="0"/>
        <v>6037579.08752896</v>
      </c>
    </row>
    <row r="43" spans="8:8" ht="16.5">
      <c r="A43" s="116" t="s">
        <v>50</v>
      </c>
      <c r="B43" s="117" t="s">
        <v>13</v>
      </c>
      <c r="C43" s="97">
        <v>3656126.7475199997</v>
      </c>
      <c r="D43" s="97">
        <v>1353552.3400089603</v>
      </c>
      <c r="E43" s="101">
        <v>627900.0</v>
      </c>
      <c r="F43" s="101">
        <v>400000.0</v>
      </c>
      <c r="G43" s="138">
        <f t="shared" si="0"/>
        <v>6037579.08752896</v>
      </c>
    </row>
    <row r="44" spans="8:8" ht="15.75">
      <c r="A44" s="111" t="s">
        <v>51</v>
      </c>
      <c r="B44" s="119" t="s">
        <v>13</v>
      </c>
      <c r="C44" s="113">
        <v>3656126.7475199997</v>
      </c>
      <c r="D44" s="113">
        <v>1353552.3400089603</v>
      </c>
      <c r="E44" s="114">
        <v>627900.0</v>
      </c>
      <c r="F44" s="114">
        <v>400000.0</v>
      </c>
      <c r="G44" s="137">
        <f t="shared" si="0"/>
        <v>6037579.08752896</v>
      </c>
    </row>
    <row r="45" spans="8:8" ht="16.5">
      <c r="A45" s="116" t="s">
        <v>52</v>
      </c>
      <c r="B45" s="117" t="s">
        <v>13</v>
      </c>
      <c r="C45" s="97">
        <v>3656126.7475199997</v>
      </c>
      <c r="D45" s="97">
        <v>1315888.274895667</v>
      </c>
      <c r="E45" s="101">
        <v>627900.0</v>
      </c>
      <c r="F45" s="101">
        <v>400000.0</v>
      </c>
      <c r="G45" s="138">
        <f t="shared" si="0"/>
        <v>5999915.022415667</v>
      </c>
    </row>
    <row r="46" spans="8:8" ht="15.75">
      <c r="A46" s="116" t="s">
        <v>53</v>
      </c>
      <c r="B46" s="117" t="s">
        <v>13</v>
      </c>
      <c r="C46" s="97">
        <v>4996679.785343999</v>
      </c>
      <c r="D46" s="97">
        <v>1820822.1478207484</v>
      </c>
      <c r="E46" s="92">
        <v>627900.0</v>
      </c>
      <c r="F46" s="92">
        <v>400000.0</v>
      </c>
      <c r="G46" s="136">
        <f t="shared" si="0"/>
        <v>7845401.933164747</v>
      </c>
    </row>
    <row r="47" spans="8:8" ht="15.75">
      <c r="A47" s="116" t="s">
        <v>54</v>
      </c>
      <c r="B47" s="117" t="s">
        <v>13</v>
      </c>
      <c r="C47" s="97">
        <v>7921522.776960002</v>
      </c>
      <c r="D47" s="97">
        <v>2856583.9384363005</v>
      </c>
      <c r="E47" s="92">
        <v>627900.0</v>
      </c>
      <c r="F47" s="92">
        <v>400000.0</v>
      </c>
      <c r="G47" s="141">
        <f t="shared" si="0"/>
        <v>1.1806006715396304E7</v>
      </c>
    </row>
    <row r="48" spans="8:8" ht="15.75">
      <c r="A48" s="116" t="s">
        <v>55</v>
      </c>
      <c r="B48" s="117" t="s">
        <v>13</v>
      </c>
      <c r="C48" s="97">
        <v>4184223.398784001</v>
      </c>
      <c r="D48" s="97">
        <v>1517155.622844826</v>
      </c>
      <c r="E48" s="92">
        <v>627900.0</v>
      </c>
      <c r="F48" s="92">
        <v>400000.0</v>
      </c>
      <c r="G48" s="141">
        <f t="shared" si="0"/>
        <v>6729279.021628827</v>
      </c>
    </row>
    <row r="49" spans="8:8" ht="15.75">
      <c r="A49" s="116" t="s">
        <v>56</v>
      </c>
      <c r="B49" s="117" t="s">
        <v>13</v>
      </c>
      <c r="C49" s="97">
        <v>5484153.617279999</v>
      </c>
      <c r="D49" s="97">
        <v>2027974.5059438595</v>
      </c>
      <c r="E49" s="92">
        <v>627900.0</v>
      </c>
      <c r="F49" s="92">
        <v>400000.0</v>
      </c>
      <c r="G49" s="136">
        <f t="shared" si="0"/>
        <v>8540028.123223858</v>
      </c>
    </row>
    <row r="50" spans="8:8" ht="15.75">
      <c r="A50" s="116" t="s">
        <v>57</v>
      </c>
      <c r="B50" s="117" t="s">
        <v>13</v>
      </c>
      <c r="C50" s="97">
        <v>560.0</v>
      </c>
      <c r="D50" s="97">
        <v>5904791.720755199</v>
      </c>
      <c r="E50" s="92">
        <v>627900.0</v>
      </c>
      <c r="F50" s="92">
        <v>400000.0</v>
      </c>
      <c r="G50" s="136">
        <f t="shared" si="0"/>
        <v>6933251.720755199</v>
      </c>
    </row>
    <row r="51" spans="8:8" ht="15.75">
      <c r="A51" s="116" t="s">
        <v>58</v>
      </c>
      <c r="B51" s="117" t="s">
        <v>13</v>
      </c>
      <c r="C51" s="97">
        <v>380.0</v>
      </c>
      <c r="D51" s="97">
        <v>3382644.5033472003</v>
      </c>
      <c r="E51" s="92">
        <v>627900.0</v>
      </c>
      <c r="F51" s="92">
        <v>400000.0</v>
      </c>
      <c r="G51" s="136">
        <f t="shared" si="0"/>
        <v>4410924.5033472</v>
      </c>
    </row>
    <row r="52" spans="8:8" ht="15.75">
      <c r="A52" s="111" t="s">
        <v>59</v>
      </c>
      <c r="B52" s="119" t="s">
        <v>60</v>
      </c>
      <c r="C52" s="113">
        <v>560.0</v>
      </c>
      <c r="D52" s="113">
        <v>5904791.720755199</v>
      </c>
      <c r="E52" s="114">
        <v>627900.0</v>
      </c>
      <c r="F52" s="114">
        <v>400000.0</v>
      </c>
      <c r="G52" s="137">
        <f t="shared" si="0"/>
        <v>6933251.720755199</v>
      </c>
    </row>
    <row r="53" spans="8:8" ht="16.5">
      <c r="A53" s="116" t="s">
        <v>61</v>
      </c>
      <c r="B53" s="117" t="s">
        <v>60</v>
      </c>
      <c r="C53" s="97">
        <v>3422250.0</v>
      </c>
      <c r="D53" s="97">
        <v>5934464.040960001</v>
      </c>
      <c r="E53" s="101">
        <v>627900.0</v>
      </c>
      <c r="F53" s="101">
        <v>400000.0</v>
      </c>
      <c r="G53" s="138">
        <f t="shared" si="0"/>
        <v>1.038461404096E7</v>
      </c>
    </row>
    <row r="54" spans="8:8" ht="15.75">
      <c r="A54" s="116" t="s">
        <v>62</v>
      </c>
      <c r="B54" s="117" t="s">
        <v>60</v>
      </c>
      <c r="C54" s="97">
        <v>380.0</v>
      </c>
      <c r="D54" s="97">
        <v>3382644.5033472003</v>
      </c>
      <c r="E54" s="92">
        <v>627900.0</v>
      </c>
      <c r="F54" s="92">
        <v>400000.0</v>
      </c>
      <c r="G54" s="136">
        <f t="shared" si="0"/>
        <v>4410924.5033472</v>
      </c>
    </row>
    <row r="55" spans="8:8" ht="15.75">
      <c r="A55" s="116" t="s">
        <v>63</v>
      </c>
      <c r="B55" s="117" t="s">
        <v>60</v>
      </c>
      <c r="C55" s="97">
        <v>560.0</v>
      </c>
      <c r="D55" s="97">
        <v>797591.9671050243</v>
      </c>
      <c r="E55" s="92">
        <v>627900.0</v>
      </c>
      <c r="F55" s="92">
        <v>400000.0</v>
      </c>
      <c r="G55" s="136">
        <f t="shared" si="0"/>
        <v>1826051.9671050243</v>
      </c>
    </row>
    <row r="56" spans="8:8" ht="15.75">
      <c r="A56" s="111" t="s">
        <v>64</v>
      </c>
      <c r="B56" s="119" t="s">
        <v>65</v>
      </c>
      <c r="C56" s="113">
        <v>208.0</v>
      </c>
      <c r="D56" s="113">
        <v>3818827.610357759</v>
      </c>
      <c r="E56" s="114">
        <v>627900.0</v>
      </c>
      <c r="F56" s="114">
        <v>400000.0</v>
      </c>
      <c r="G56" s="137">
        <f t="shared" si="0"/>
        <v>4846935.6103577595</v>
      </c>
    </row>
    <row r="57" spans="8:8" ht="16.5">
      <c r="A57" s="116" t="s">
        <v>66</v>
      </c>
      <c r="B57" s="117" t="s">
        <v>65</v>
      </c>
      <c r="C57" s="97">
        <v>247.0</v>
      </c>
      <c r="D57" s="97">
        <v>6414784.7242752</v>
      </c>
      <c r="E57" s="101">
        <v>627900.0</v>
      </c>
      <c r="F57" s="101">
        <v>400000.0</v>
      </c>
      <c r="G57" s="138">
        <f t="shared" si="0"/>
        <v>7442931.7242752</v>
      </c>
    </row>
    <row r="58" spans="8:8" ht="15.75">
      <c r="A58" s="116" t="s">
        <v>67</v>
      </c>
      <c r="B58" s="117" t="s">
        <v>65</v>
      </c>
      <c r="C58" s="97">
        <v>208.0</v>
      </c>
      <c r="D58" s="97">
        <v>3818827.610357759</v>
      </c>
      <c r="E58" s="92">
        <v>627900.0</v>
      </c>
      <c r="F58" s="92">
        <v>400000.0</v>
      </c>
      <c r="G58" s="136">
        <f t="shared" si="0"/>
        <v>4846935.6103577595</v>
      </c>
    </row>
    <row r="59" spans="8:8" ht="15.75">
      <c r="A59" s="116" t="s">
        <v>68</v>
      </c>
      <c r="B59" s="117" t="s">
        <v>65</v>
      </c>
      <c r="C59" s="97">
        <v>247.0</v>
      </c>
      <c r="D59" s="97">
        <v>6414784.7242752</v>
      </c>
      <c r="E59" s="92">
        <v>627900.0</v>
      </c>
      <c r="F59" s="92">
        <v>400000.0</v>
      </c>
      <c r="G59" s="136">
        <f t="shared" si="0"/>
        <v>7442931.7242752</v>
      </c>
    </row>
    <row r="60" spans="8:8" ht="15.75">
      <c r="A60" s="116" t="s">
        <v>69</v>
      </c>
      <c r="B60" s="117" t="s">
        <v>65</v>
      </c>
      <c r="C60" s="97">
        <v>325.0</v>
      </c>
      <c r="D60" s="97">
        <v>9458052.06528</v>
      </c>
      <c r="E60" s="92">
        <v>627900.0</v>
      </c>
      <c r="F60" s="92">
        <v>400000.0</v>
      </c>
      <c r="G60" s="136">
        <f t="shared" si="0"/>
        <v>1.048627706528E7</v>
      </c>
    </row>
    <row r="61" spans="8:8" ht="15.75">
      <c r="A61" s="111" t="s">
        <v>70</v>
      </c>
      <c r="B61" s="119" t="s">
        <v>65</v>
      </c>
      <c r="C61" s="113">
        <v>208.0</v>
      </c>
      <c r="D61" s="113">
        <v>3818827.610357759</v>
      </c>
      <c r="E61" s="114">
        <v>627900.0</v>
      </c>
      <c r="F61" s="114">
        <v>400000.0</v>
      </c>
      <c r="G61" s="137">
        <f t="shared" si="0"/>
        <v>4846935.6103577595</v>
      </c>
    </row>
    <row r="62" spans="8:8" ht="16.5">
      <c r="A62" s="116" t="s">
        <v>71</v>
      </c>
      <c r="B62" s="117" t="s">
        <v>65</v>
      </c>
      <c r="C62" s="97">
        <v>286.0</v>
      </c>
      <c r="D62" s="97">
        <v>6414784.7242752</v>
      </c>
      <c r="E62" s="101">
        <v>627900.0</v>
      </c>
      <c r="F62" s="101">
        <v>400000.0</v>
      </c>
      <c r="G62" s="138">
        <f t="shared" si="0"/>
        <v>7442970.7242752</v>
      </c>
    </row>
    <row r="63" spans="8:8" ht="15.75">
      <c r="A63" s="116" t="s">
        <v>72</v>
      </c>
      <c r="B63" s="117" t="s">
        <v>65</v>
      </c>
      <c r="C63" s="97">
        <v>247.0</v>
      </c>
      <c r="D63" s="97">
        <v>8528937.5388672</v>
      </c>
      <c r="E63" s="92">
        <v>627900.0</v>
      </c>
      <c r="F63" s="92">
        <v>400000.0</v>
      </c>
      <c r="G63" s="136">
        <f t="shared" si="0"/>
        <v>9557084.5388672</v>
      </c>
    </row>
    <row r="64" spans="8:8" ht="15.75">
      <c r="A64" s="116" t="s">
        <v>73</v>
      </c>
      <c r="B64" s="117" t="s">
        <v>65</v>
      </c>
      <c r="C64" s="97">
        <v>208.0</v>
      </c>
      <c r="D64" s="97">
        <v>3336652.40702976</v>
      </c>
      <c r="E64" s="92">
        <v>627900.0</v>
      </c>
      <c r="F64" s="92">
        <v>400000.0</v>
      </c>
      <c r="G64" s="136">
        <f t="shared" si="0"/>
        <v>4364760.40702976</v>
      </c>
    </row>
    <row r="65" spans="8:8" ht="15.75">
      <c r="A65" s="116" t="s">
        <v>74</v>
      </c>
      <c r="B65" s="117" t="s">
        <v>65</v>
      </c>
      <c r="C65" s="97">
        <v>247.0</v>
      </c>
      <c r="D65" s="97">
        <v>6136606.722355202</v>
      </c>
      <c r="E65" s="92">
        <v>627900.0</v>
      </c>
      <c r="F65" s="92">
        <v>400000.0</v>
      </c>
      <c r="G65" s="136">
        <f t="shared" si="0"/>
        <v>7164753.722355202</v>
      </c>
    </row>
    <row r="66" spans="8:8" ht="15.75">
      <c r="A66" s="116" t="s">
        <v>75</v>
      </c>
      <c r="B66" s="117" t="s">
        <v>65</v>
      </c>
      <c r="C66" s="97">
        <v>247.0</v>
      </c>
      <c r="D66" s="97">
        <v>1.4487510339993602E7</v>
      </c>
      <c r="E66" s="92">
        <v>627900.0</v>
      </c>
      <c r="F66" s="92">
        <v>400000.0</v>
      </c>
      <c r="G66" s="136">
        <f t="shared" si="1" ref="G66:G129">(C66+D66+E66+F66)</f>
        <v>1.5515657339993602E7</v>
      </c>
    </row>
    <row r="67" spans="8:8" ht="15.75">
      <c r="A67" s="116" t="s">
        <v>76</v>
      </c>
      <c r="B67" s="117" t="s">
        <v>65</v>
      </c>
      <c r="C67" s="97">
        <v>208.0</v>
      </c>
      <c r="D67" s="97">
        <v>3818827.610357759</v>
      </c>
      <c r="E67" s="92">
        <v>627900.0</v>
      </c>
      <c r="F67" s="92">
        <v>400000.0</v>
      </c>
      <c r="G67" s="136">
        <f t="shared" si="1"/>
        <v>4846935.6103577595</v>
      </c>
    </row>
    <row r="68" spans="8:8" ht="15.75">
      <c r="A68" s="116" t="s">
        <v>77</v>
      </c>
      <c r="B68" s="117" t="s">
        <v>65</v>
      </c>
      <c r="C68" s="97">
        <v>247.0</v>
      </c>
      <c r="D68" s="97">
        <v>6136606.722355202</v>
      </c>
      <c r="E68" s="92">
        <v>627900.0</v>
      </c>
      <c r="F68" s="92">
        <v>400000.0</v>
      </c>
      <c r="G68" s="136">
        <f t="shared" si="1"/>
        <v>7164753.722355202</v>
      </c>
    </row>
    <row r="69" spans="8:8" ht="15.75">
      <c r="A69" s="116" t="s">
        <v>78</v>
      </c>
      <c r="B69" s="117" t="s">
        <v>65</v>
      </c>
      <c r="C69" s="97">
        <v>286.0</v>
      </c>
      <c r="D69" s="97">
        <v>7879855.534387199</v>
      </c>
      <c r="E69" s="92">
        <v>627900.0</v>
      </c>
      <c r="F69" s="92">
        <v>400000.0</v>
      </c>
      <c r="G69" s="136">
        <f t="shared" si="1"/>
        <v>8908041.5343872</v>
      </c>
    </row>
    <row r="70" spans="8:8" ht="15.75">
      <c r="A70" s="116" t="s">
        <v>79</v>
      </c>
      <c r="B70" s="117" t="s">
        <v>65</v>
      </c>
      <c r="C70" s="97">
        <v>325.0</v>
      </c>
      <c r="D70" s="97">
        <v>9458052.06528</v>
      </c>
      <c r="E70" s="92">
        <v>627900.0</v>
      </c>
      <c r="F70" s="92">
        <v>400000.0</v>
      </c>
      <c r="G70" s="136">
        <f t="shared" si="1"/>
        <v>1.048627706528E7</v>
      </c>
    </row>
    <row r="71" spans="8:8" ht="15.75">
      <c r="A71" s="116" t="s">
        <v>80</v>
      </c>
      <c r="B71" s="117" t="s">
        <v>65</v>
      </c>
      <c r="C71" s="97">
        <v>208.0</v>
      </c>
      <c r="D71" s="97">
        <v>3336652.40702976</v>
      </c>
      <c r="E71" s="92">
        <v>627900.0</v>
      </c>
      <c r="F71" s="92">
        <v>400000.0</v>
      </c>
      <c r="G71" s="136">
        <f t="shared" si="1"/>
        <v>4364760.40702976</v>
      </c>
    </row>
    <row r="72" spans="8:8" ht="15.75">
      <c r="A72" s="116" t="s">
        <v>81</v>
      </c>
      <c r="B72" s="117" t="s">
        <v>65</v>
      </c>
      <c r="C72" s="97">
        <v>247.0</v>
      </c>
      <c r="D72" s="97">
        <v>6136606.722355202</v>
      </c>
      <c r="E72" s="92">
        <v>627900.0</v>
      </c>
      <c r="F72" s="92">
        <v>400000.0</v>
      </c>
      <c r="G72" s="136">
        <f t="shared" si="1"/>
        <v>7164753.722355202</v>
      </c>
    </row>
    <row r="73" spans="8:8" ht="15.75">
      <c r="A73" s="116" t="s">
        <v>82</v>
      </c>
      <c r="B73" s="117" t="s">
        <v>65</v>
      </c>
      <c r="C73" s="97">
        <v>208.0</v>
      </c>
      <c r="D73" s="97">
        <v>6353585.5638528</v>
      </c>
      <c r="E73" s="92">
        <v>627900.0</v>
      </c>
      <c r="F73" s="92">
        <v>400000.0</v>
      </c>
      <c r="G73" s="136">
        <f t="shared" si="1"/>
        <v>7381693.5638528</v>
      </c>
    </row>
    <row r="74" spans="8:8" ht="15.75">
      <c r="A74" s="116" t="s">
        <v>83</v>
      </c>
      <c r="B74" s="117" t="s">
        <v>65</v>
      </c>
      <c r="C74" s="97">
        <v>247.0</v>
      </c>
      <c r="D74" s="97">
        <v>1.3189346331033599E7</v>
      </c>
      <c r="E74" s="92">
        <v>627900.0</v>
      </c>
      <c r="F74" s="92">
        <v>400000.0</v>
      </c>
      <c r="G74" s="136">
        <f t="shared" si="1"/>
        <v>1.4217493331033599E7</v>
      </c>
    </row>
    <row r="75" spans="8:8" ht="15.75">
      <c r="A75" s="116" t="s">
        <v>84</v>
      </c>
      <c r="B75" s="117" t="s">
        <v>65</v>
      </c>
      <c r="C75" s="97">
        <v>247.0</v>
      </c>
      <c r="D75" s="97">
        <v>6136606.722355202</v>
      </c>
      <c r="E75" s="92">
        <v>627900.0</v>
      </c>
      <c r="F75" s="92">
        <v>400000.0</v>
      </c>
      <c r="G75" s="136">
        <f t="shared" si="1"/>
        <v>7164753.722355202</v>
      </c>
    </row>
    <row r="76" spans="8:8" ht="15.75">
      <c r="A76" s="116" t="s">
        <v>85</v>
      </c>
      <c r="B76" s="117" t="s">
        <v>65</v>
      </c>
      <c r="C76" s="97">
        <v>247.0</v>
      </c>
      <c r="D76" s="97">
        <v>1.3189346331033599E7</v>
      </c>
      <c r="E76" s="92">
        <v>627900.0</v>
      </c>
      <c r="F76" s="92">
        <v>400000.0</v>
      </c>
      <c r="G76" s="136">
        <f t="shared" si="1"/>
        <v>1.4217493331033599E7</v>
      </c>
    </row>
    <row r="77" spans="8:8" ht="15.75">
      <c r="A77" s="116" t="s">
        <v>86</v>
      </c>
      <c r="B77" s="117" t="s">
        <v>65</v>
      </c>
      <c r="C77" s="97">
        <v>247.0</v>
      </c>
      <c r="D77" s="97">
        <v>6136606.722355202</v>
      </c>
      <c r="E77" s="92">
        <v>627900.0</v>
      </c>
      <c r="F77" s="92">
        <v>400000.0</v>
      </c>
      <c r="G77" s="136">
        <f t="shared" si="1"/>
        <v>7164753.722355202</v>
      </c>
    </row>
    <row r="78" spans="8:8" ht="15.75">
      <c r="A78" s="116" t="s">
        <v>87</v>
      </c>
      <c r="B78" s="117" t="s">
        <v>65</v>
      </c>
      <c r="C78" s="97">
        <v>286.0</v>
      </c>
      <c r="D78" s="97">
        <v>7230773.529907199</v>
      </c>
      <c r="E78" s="92">
        <v>627900.0</v>
      </c>
      <c r="F78" s="92">
        <v>400000.0</v>
      </c>
      <c r="G78" s="136">
        <f t="shared" si="1"/>
        <v>8258959.529907199</v>
      </c>
    </row>
    <row r="79" spans="8:8" ht="15.75">
      <c r="A79" s="116" t="s">
        <v>88</v>
      </c>
      <c r="B79" s="117" t="s">
        <v>65</v>
      </c>
      <c r="C79" s="97">
        <v>325.0</v>
      </c>
      <c r="D79" s="97">
        <v>9458052.06528</v>
      </c>
      <c r="E79" s="92">
        <v>627900.0</v>
      </c>
      <c r="F79" s="92">
        <v>400000.0</v>
      </c>
      <c r="G79" s="136">
        <f t="shared" si="1"/>
        <v>1.048627706528E7</v>
      </c>
    </row>
    <row r="80" spans="8:8" ht="15.75">
      <c r="A80" s="116" t="s">
        <v>89</v>
      </c>
      <c r="B80" s="117" t="s">
        <v>65</v>
      </c>
      <c r="C80" s="97">
        <v>364.0</v>
      </c>
      <c r="D80" s="97">
        <v>1.1983908322713599E7</v>
      </c>
      <c r="E80" s="92">
        <v>627900.0</v>
      </c>
      <c r="F80" s="92">
        <v>400000.0</v>
      </c>
      <c r="G80" s="136">
        <f t="shared" si="1"/>
        <v>1.3012172322713599E7</v>
      </c>
    </row>
    <row r="81" spans="8:8" ht="15.75">
      <c r="A81" s="116" t="s">
        <v>90</v>
      </c>
      <c r="B81" s="117" t="s">
        <v>65</v>
      </c>
      <c r="C81" s="97">
        <v>403.0</v>
      </c>
      <c r="D81" s="97">
        <v>1.4344712299007999E7</v>
      </c>
      <c r="E81" s="92">
        <v>627900.0</v>
      </c>
      <c r="F81" s="92">
        <v>400000.0</v>
      </c>
      <c r="G81" s="136">
        <f t="shared" si="1"/>
        <v>1.5373015299007999E7</v>
      </c>
    </row>
    <row r="82" spans="8:8" ht="15.75">
      <c r="A82" s="116" t="s">
        <v>91</v>
      </c>
      <c r="B82" s="117" t="s">
        <v>65</v>
      </c>
      <c r="C82" s="97">
        <v>442.0</v>
      </c>
      <c r="D82" s="97">
        <v>9814194.088538114</v>
      </c>
      <c r="E82" s="92">
        <v>627900.0</v>
      </c>
      <c r="F82" s="92">
        <v>400000.0</v>
      </c>
      <c r="G82" s="136">
        <f t="shared" si="1"/>
        <v>1.0842536088538114E7</v>
      </c>
    </row>
    <row r="83" spans="8:8" ht="15.75">
      <c r="A83" s="116" t="s">
        <v>92</v>
      </c>
      <c r="B83" s="117" t="s">
        <v>65</v>
      </c>
      <c r="C83" s="97">
        <v>208.0</v>
      </c>
      <c r="D83" s="97">
        <v>3818827.610357759</v>
      </c>
      <c r="E83" s="92">
        <v>627900.0</v>
      </c>
      <c r="F83" s="92">
        <v>400000.0</v>
      </c>
      <c r="G83" s="136">
        <f t="shared" si="1"/>
        <v>4846935.6103577595</v>
      </c>
    </row>
    <row r="84" spans="8:8" ht="15.75">
      <c r="A84" s="116" t="s">
        <v>93</v>
      </c>
      <c r="B84" s="117" t="s">
        <v>65</v>
      </c>
      <c r="C84" s="97">
        <v>247.0</v>
      </c>
      <c r="D84" s="97">
        <v>6414784.7242752</v>
      </c>
      <c r="E84" s="92">
        <v>627900.0</v>
      </c>
      <c r="F84" s="92">
        <v>400000.0</v>
      </c>
      <c r="G84" s="136">
        <f t="shared" si="1"/>
        <v>7442931.7242752</v>
      </c>
    </row>
    <row r="85" spans="8:8" ht="15.75">
      <c r="A85" s="116" t="s">
        <v>94</v>
      </c>
      <c r="B85" s="117" t="s">
        <v>65</v>
      </c>
      <c r="C85" s="97">
        <v>325.0</v>
      </c>
      <c r="D85" s="97">
        <v>8275795.557120002</v>
      </c>
      <c r="E85" s="92">
        <v>627900.0</v>
      </c>
      <c r="F85" s="92">
        <v>400000.0</v>
      </c>
      <c r="G85" s="136">
        <f t="shared" si="1"/>
        <v>9304020.557120003</v>
      </c>
    </row>
    <row r="86" spans="8:8" ht="15.75">
      <c r="A86" s="111" t="s">
        <v>95</v>
      </c>
      <c r="B86" s="119" t="s">
        <v>65</v>
      </c>
      <c r="C86" s="113">
        <v>247.0</v>
      </c>
      <c r="D86" s="113">
        <v>1.08656327549952E7</v>
      </c>
      <c r="E86" s="114">
        <v>627900.0</v>
      </c>
      <c r="F86" s="114">
        <v>400000.0</v>
      </c>
      <c r="G86" s="137">
        <f t="shared" si="1"/>
        <v>1.18937797549952E7</v>
      </c>
    </row>
    <row r="87" spans="8:8" ht="16.5">
      <c r="A87" s="116" t="s">
        <v>96</v>
      </c>
      <c r="B87" s="117" t="s">
        <v>65</v>
      </c>
      <c r="C87" s="97">
        <v>325.0</v>
      </c>
      <c r="D87" s="97">
        <v>1.346845159296E7</v>
      </c>
      <c r="E87" s="101">
        <v>627900.0</v>
      </c>
      <c r="F87" s="101">
        <v>400000.0</v>
      </c>
      <c r="G87" s="138">
        <f t="shared" si="1"/>
        <v>1.449667659296E7</v>
      </c>
    </row>
    <row r="88" spans="8:8" ht="15.75">
      <c r="A88" s="111" t="s">
        <v>97</v>
      </c>
      <c r="B88" s="119" t="s">
        <v>65</v>
      </c>
      <c r="C88" s="113">
        <v>208.0</v>
      </c>
      <c r="D88" s="113">
        <v>4783178.01701376</v>
      </c>
      <c r="E88" s="114">
        <v>627900.0</v>
      </c>
      <c r="F88" s="114">
        <v>400000.0</v>
      </c>
      <c r="G88" s="137">
        <f t="shared" si="1"/>
        <v>5811286.01701376</v>
      </c>
    </row>
    <row r="89" spans="8:8" ht="16.5">
      <c r="A89" s="116" t="s">
        <v>98</v>
      </c>
      <c r="B89" s="117" t="s">
        <v>65</v>
      </c>
      <c r="C89" s="97">
        <v>247.0</v>
      </c>
      <c r="D89" s="97">
        <v>6414784.7242752</v>
      </c>
      <c r="E89" s="101">
        <v>627900.0</v>
      </c>
      <c r="F89" s="101">
        <v>400000.0</v>
      </c>
      <c r="G89" s="138">
        <f t="shared" si="1"/>
        <v>7442931.7242752</v>
      </c>
    </row>
    <row r="90" spans="8:8" ht="15.75">
      <c r="A90" s="116" t="s">
        <v>99</v>
      </c>
      <c r="B90" s="117" t="s">
        <v>65</v>
      </c>
      <c r="C90" s="97">
        <v>325.0</v>
      </c>
      <c r="D90" s="97">
        <v>8275795.557120002</v>
      </c>
      <c r="E90" s="92">
        <v>627900.0</v>
      </c>
      <c r="F90" s="92">
        <v>400000.0</v>
      </c>
      <c r="G90" s="136">
        <f t="shared" si="1"/>
        <v>9304020.557120003</v>
      </c>
    </row>
    <row r="91" spans="8:8" ht="15.75">
      <c r="A91" s="116" t="s">
        <v>100</v>
      </c>
      <c r="B91" s="117" t="s">
        <v>65</v>
      </c>
      <c r="C91" s="97">
        <v>403.0</v>
      </c>
      <c r="D91" s="97">
        <v>1.2953822289407998E7</v>
      </c>
      <c r="E91" s="92">
        <v>627900.0</v>
      </c>
      <c r="F91" s="92">
        <v>400000.0</v>
      </c>
      <c r="G91" s="136">
        <f t="shared" si="1"/>
        <v>1.3982125289407998E7</v>
      </c>
    </row>
    <row r="92" spans="8:8" ht="15.75">
      <c r="A92" s="116" t="s">
        <v>101</v>
      </c>
      <c r="B92" s="117" t="s">
        <v>65</v>
      </c>
      <c r="C92" s="97">
        <v>442.0</v>
      </c>
      <c r="D92" s="97">
        <v>9332018.885210112</v>
      </c>
      <c r="E92" s="92">
        <v>627900.0</v>
      </c>
      <c r="F92" s="92">
        <v>400000.0</v>
      </c>
      <c r="G92" s="136">
        <f t="shared" si="1"/>
        <v>1.0360360885210112E7</v>
      </c>
    </row>
    <row r="93" spans="8:8" ht="15.75">
      <c r="A93" s="116" t="s">
        <v>102</v>
      </c>
      <c r="B93" s="117" t="s">
        <v>65</v>
      </c>
      <c r="C93" s="97">
        <v>247.0</v>
      </c>
      <c r="D93" s="97">
        <v>5302072.716595201</v>
      </c>
      <c r="E93" s="92">
        <v>627900.0</v>
      </c>
      <c r="F93" s="92">
        <v>400000.0</v>
      </c>
      <c r="G93" s="136">
        <f t="shared" si="1"/>
        <v>6330219.716595201</v>
      </c>
    </row>
    <row r="94" spans="8:8" ht="15.75">
      <c r="A94" s="111" t="s">
        <v>103</v>
      </c>
      <c r="B94" s="119" t="s">
        <v>65</v>
      </c>
      <c r="C94" s="113">
        <v>208.0</v>
      </c>
      <c r="D94" s="113">
        <v>3818827.610357759</v>
      </c>
      <c r="E94" s="114">
        <v>627900.0</v>
      </c>
      <c r="F94" s="114">
        <v>400000.0</v>
      </c>
      <c r="G94" s="137">
        <f t="shared" si="1"/>
        <v>4846935.6103577595</v>
      </c>
    </row>
    <row r="95" spans="8:8" ht="16.5">
      <c r="A95" s="116" t="s">
        <v>104</v>
      </c>
      <c r="B95" s="117" t="s">
        <v>65</v>
      </c>
      <c r="C95" s="97">
        <v>247.0</v>
      </c>
      <c r="D95" s="97">
        <v>6414784.7242752</v>
      </c>
      <c r="E95" s="101">
        <v>627900.0</v>
      </c>
      <c r="F95" s="101">
        <v>400000.0</v>
      </c>
      <c r="G95" s="138">
        <f t="shared" si="1"/>
        <v>7442931.7242752</v>
      </c>
    </row>
    <row r="96" spans="8:8" ht="15.75">
      <c r="A96" s="116" t="s">
        <v>105</v>
      </c>
      <c r="B96" s="117" t="s">
        <v>65</v>
      </c>
      <c r="C96" s="97">
        <v>286.0</v>
      </c>
      <c r="D96" s="97">
        <v>8528937.5388672</v>
      </c>
      <c r="E96" s="92">
        <v>627900.0</v>
      </c>
      <c r="F96" s="92">
        <v>400000.0</v>
      </c>
      <c r="G96" s="136">
        <f t="shared" si="1"/>
        <v>9557123.5388672</v>
      </c>
    </row>
    <row r="97" spans="8:8" ht="15.75">
      <c r="A97" s="116" t="s">
        <v>106</v>
      </c>
      <c r="B97" s="117" t="s">
        <v>65</v>
      </c>
      <c r="C97" s="97">
        <v>208.0</v>
      </c>
      <c r="D97" s="97">
        <v>3818827.610357759</v>
      </c>
      <c r="E97" s="92">
        <v>627900.0</v>
      </c>
      <c r="F97" s="92">
        <v>400000.0</v>
      </c>
      <c r="G97" s="136">
        <f t="shared" si="1"/>
        <v>4846935.6103577595</v>
      </c>
    </row>
    <row r="98" spans="8:8" ht="15.75">
      <c r="A98" s="116" t="s">
        <v>107</v>
      </c>
      <c r="B98" s="117" t="s">
        <v>65</v>
      </c>
      <c r="C98" s="97">
        <v>247.0</v>
      </c>
      <c r="D98" s="97">
        <v>6414784.7242752</v>
      </c>
      <c r="E98" s="92">
        <v>627900.0</v>
      </c>
      <c r="F98" s="92">
        <v>400000.0</v>
      </c>
      <c r="G98" s="136">
        <f t="shared" si="1"/>
        <v>7442931.7242752</v>
      </c>
    </row>
    <row r="99" spans="8:8" ht="15.75">
      <c r="A99" s="116" t="s">
        <v>108</v>
      </c>
      <c r="B99" s="117" t="s">
        <v>65</v>
      </c>
      <c r="C99" s="97">
        <v>247.0</v>
      </c>
      <c r="D99" s="97">
        <v>5302072.716595201</v>
      </c>
      <c r="E99" s="92">
        <v>627900.0</v>
      </c>
      <c r="F99" s="92">
        <v>400000.0</v>
      </c>
      <c r="G99" s="136">
        <f t="shared" si="1"/>
        <v>6330219.716595201</v>
      </c>
    </row>
    <row r="100" spans="8:8" ht="15.75">
      <c r="A100" s="116" t="s">
        <v>109</v>
      </c>
      <c r="B100" s="117" t="s">
        <v>65</v>
      </c>
      <c r="C100" s="97">
        <v>286.0</v>
      </c>
      <c r="D100" s="97">
        <v>7879855.534387199</v>
      </c>
      <c r="E100" s="92">
        <v>627900.0</v>
      </c>
      <c r="F100" s="92">
        <v>400000.0</v>
      </c>
      <c r="G100" s="136">
        <f t="shared" si="1"/>
        <v>8908041.5343872</v>
      </c>
    </row>
    <row r="101" spans="8:8" ht="15.75">
      <c r="A101" s="111" t="s">
        <v>110</v>
      </c>
      <c r="B101" s="119" t="s">
        <v>65</v>
      </c>
      <c r="C101" s="113">
        <v>2925000.0</v>
      </c>
      <c r="D101" s="113">
        <v>3635508.3070924804</v>
      </c>
      <c r="E101" s="114">
        <v>627900.0</v>
      </c>
      <c r="F101" s="114">
        <v>400000.0</v>
      </c>
      <c r="G101" s="137">
        <f t="shared" si="1"/>
        <v>7588408.30709248</v>
      </c>
    </row>
    <row r="102" spans="8:8" ht="16.5">
      <c r="A102" s="116" t="s">
        <v>111</v>
      </c>
      <c r="B102" s="117" t="s">
        <v>65</v>
      </c>
      <c r="C102" s="97">
        <v>208.0</v>
      </c>
      <c r="D102" s="97">
        <v>3336652.40702976</v>
      </c>
      <c r="E102" s="101">
        <v>627900.0</v>
      </c>
      <c r="F102" s="101">
        <v>400000.0</v>
      </c>
      <c r="G102" s="138">
        <f t="shared" si="1"/>
        <v>4364760.40702976</v>
      </c>
    </row>
    <row r="103" spans="8:8" ht="15.75">
      <c r="A103" s="116" t="s">
        <v>112</v>
      </c>
      <c r="B103" s="117" t="s">
        <v>65</v>
      </c>
      <c r="C103" s="97">
        <v>247.0</v>
      </c>
      <c r="D103" s="97">
        <v>5519051.558092801</v>
      </c>
      <c r="E103" s="92">
        <v>627900.0</v>
      </c>
      <c r="F103" s="92">
        <v>400000.0</v>
      </c>
      <c r="G103" s="136">
        <f t="shared" si="1"/>
        <v>6547198.558092801</v>
      </c>
    </row>
    <row r="104" spans="8:8" ht="15.75">
      <c r="A104" s="116" t="s">
        <v>113</v>
      </c>
      <c r="B104" s="117" t="s">
        <v>65</v>
      </c>
      <c r="C104" s="97">
        <v>286.0</v>
      </c>
      <c r="D104" s="97">
        <v>7159374.509414401</v>
      </c>
      <c r="E104" s="92">
        <v>627900.0</v>
      </c>
      <c r="F104" s="92">
        <v>400000.0</v>
      </c>
      <c r="G104" s="136">
        <f t="shared" si="1"/>
        <v>8187560.509414401</v>
      </c>
    </row>
    <row r="105" spans="8:8" ht="15.75">
      <c r="A105" s="116" t="s">
        <v>114</v>
      </c>
      <c r="B105" s="117" t="s">
        <v>65</v>
      </c>
      <c r="C105" s="97">
        <v>208.0</v>
      </c>
      <c r="D105" s="97">
        <v>2960555.7484339206</v>
      </c>
      <c r="E105" s="92">
        <v>627900.0</v>
      </c>
      <c r="F105" s="92">
        <v>400000.0</v>
      </c>
      <c r="G105" s="136">
        <f t="shared" si="1"/>
        <v>3988663.7484339206</v>
      </c>
    </row>
    <row r="106" spans="8:8" ht="15.75">
      <c r="A106" s="116" t="s">
        <v>115</v>
      </c>
      <c r="B106" s="117" t="s">
        <v>65</v>
      </c>
      <c r="C106" s="97">
        <v>247.0</v>
      </c>
      <c r="D106" s="97">
        <v>6353585.5638528</v>
      </c>
      <c r="E106" s="92">
        <v>627900.0</v>
      </c>
      <c r="F106" s="92">
        <v>400000.0</v>
      </c>
      <c r="G106" s="136">
        <f t="shared" si="1"/>
        <v>7381732.5638528</v>
      </c>
    </row>
    <row r="107" spans="8:8" ht="15.75">
      <c r="A107" s="116" t="s">
        <v>116</v>
      </c>
      <c r="B107" s="117" t="s">
        <v>65</v>
      </c>
      <c r="C107" s="97">
        <v>286.0</v>
      </c>
      <c r="D107" s="97">
        <v>8457538.5183744</v>
      </c>
      <c r="E107" s="92">
        <v>627900.0</v>
      </c>
      <c r="F107" s="92">
        <v>400000.0</v>
      </c>
      <c r="G107" s="136">
        <f t="shared" si="1"/>
        <v>9485724.5183744</v>
      </c>
    </row>
    <row r="108" spans="8:8" ht="15.75">
      <c r="A108" s="116" t="s">
        <v>117</v>
      </c>
      <c r="B108" s="117" t="s">
        <v>65</v>
      </c>
      <c r="C108" s="97">
        <v>247.0</v>
      </c>
      <c r="D108" s="97">
        <v>6197805.8827776015</v>
      </c>
      <c r="E108" s="92">
        <v>627900.0</v>
      </c>
      <c r="F108" s="92">
        <v>400000.0</v>
      </c>
      <c r="G108" s="136">
        <f t="shared" si="1"/>
        <v>7225952.8827776015</v>
      </c>
    </row>
    <row r="109" spans="8:8" ht="15.75">
      <c r="A109" s="116" t="s">
        <v>118</v>
      </c>
      <c r="B109" s="117" t="s">
        <v>65</v>
      </c>
      <c r="C109" s="97">
        <v>208.0</v>
      </c>
      <c r="D109" s="97">
        <v>3148604.0777318394</v>
      </c>
      <c r="E109" s="92">
        <v>627900.0</v>
      </c>
      <c r="F109" s="92">
        <v>400000.0</v>
      </c>
      <c r="G109" s="136">
        <f t="shared" si="1"/>
        <v>4176712.0777318394</v>
      </c>
    </row>
    <row r="110" spans="8:8" ht="15.75">
      <c r="A110" s="116" t="s">
        <v>119</v>
      </c>
      <c r="B110" s="117" t="s">
        <v>65</v>
      </c>
      <c r="C110" s="97">
        <v>247.0</v>
      </c>
      <c r="D110" s="97">
        <v>6353585.5638528</v>
      </c>
      <c r="E110" s="92">
        <v>627900.0</v>
      </c>
      <c r="F110" s="92">
        <v>400000.0</v>
      </c>
      <c r="G110" s="136">
        <f t="shared" si="1"/>
        <v>7381732.5638528</v>
      </c>
    </row>
    <row r="111" spans="8:8" ht="15.75">
      <c r="A111" s="116" t="s">
        <v>120</v>
      </c>
      <c r="B111" s="117" t="s">
        <v>65</v>
      </c>
      <c r="C111" s="97">
        <v>208.0</v>
      </c>
      <c r="D111" s="97">
        <v>6136606.722355202</v>
      </c>
      <c r="E111" s="92">
        <v>627900.0</v>
      </c>
      <c r="F111" s="92">
        <v>400000.0</v>
      </c>
      <c r="G111" s="136">
        <f t="shared" si="1"/>
        <v>7164714.722355202</v>
      </c>
    </row>
    <row r="112" spans="8:8" ht="15.75">
      <c r="A112" s="116" t="s">
        <v>121</v>
      </c>
      <c r="B112" s="117" t="s">
        <v>65</v>
      </c>
      <c r="C112" s="97">
        <v>247.0</v>
      </c>
      <c r="D112" s="97">
        <v>1.34786514530304E7</v>
      </c>
      <c r="E112" s="92">
        <v>627900.0</v>
      </c>
      <c r="F112" s="92">
        <v>400000.0</v>
      </c>
      <c r="G112" s="136">
        <f t="shared" si="1"/>
        <v>1.45067984530304E7</v>
      </c>
    </row>
    <row r="113" spans="8:8" ht="15.75">
      <c r="A113" s="111" t="s">
        <v>122</v>
      </c>
      <c r="B113" s="119" t="s">
        <v>65</v>
      </c>
      <c r="C113" s="113">
        <v>208.0</v>
      </c>
      <c r="D113" s="113">
        <v>3630779.2810598398</v>
      </c>
      <c r="E113" s="114">
        <v>627900.0</v>
      </c>
      <c r="F113" s="114">
        <v>400000.0</v>
      </c>
      <c r="G113" s="137">
        <f t="shared" si="1"/>
        <v>4658887.28105984</v>
      </c>
    </row>
    <row r="114" spans="8:8" ht="16.5">
      <c r="A114" s="116" t="s">
        <v>123</v>
      </c>
      <c r="B114" s="117" t="s">
        <v>65</v>
      </c>
      <c r="C114" s="97">
        <v>247.0</v>
      </c>
      <c r="D114" s="97">
        <v>6631763.565772799</v>
      </c>
      <c r="E114" s="101">
        <v>627900.0</v>
      </c>
      <c r="F114" s="101">
        <v>400000.0</v>
      </c>
      <c r="G114" s="138">
        <f t="shared" si="1"/>
        <v>7659910.565772799</v>
      </c>
    </row>
    <row r="115" spans="8:8" ht="15.75">
      <c r="A115" s="116" t="s">
        <v>124</v>
      </c>
      <c r="B115" s="117" t="s">
        <v>65</v>
      </c>
      <c r="C115" s="97">
        <v>286.0</v>
      </c>
      <c r="D115" s="97">
        <v>8782079.520614399</v>
      </c>
      <c r="E115" s="92">
        <v>627900.0</v>
      </c>
      <c r="F115" s="92">
        <v>400000.0</v>
      </c>
      <c r="G115" s="136">
        <f t="shared" si="1"/>
        <v>9810265.520614399</v>
      </c>
    </row>
    <row r="116" spans="8:8" ht="15.75">
      <c r="A116" s="116" t="s">
        <v>125</v>
      </c>
      <c r="B116" s="117" t="s">
        <v>65</v>
      </c>
      <c r="C116" s="97">
        <v>325.0</v>
      </c>
      <c r="D116" s="97">
        <v>1.1230973197516799E7</v>
      </c>
      <c r="E116" s="92">
        <v>627900.0</v>
      </c>
      <c r="F116" s="92">
        <v>400000.0</v>
      </c>
      <c r="G116" s="136">
        <f t="shared" si="1"/>
        <v>1.2259198197516799E7</v>
      </c>
    </row>
    <row r="117" spans="8:8" ht="15.75">
      <c r="A117" s="116" t="s">
        <v>126</v>
      </c>
      <c r="B117" s="117" t="s">
        <v>65</v>
      </c>
      <c r="C117" s="97">
        <v>364.0</v>
      </c>
      <c r="D117" s="97">
        <v>1.3978444596480003E7</v>
      </c>
      <c r="E117" s="92">
        <v>627900.0</v>
      </c>
      <c r="F117" s="92">
        <v>400000.0</v>
      </c>
      <c r="G117" s="136">
        <f t="shared" si="1"/>
        <v>1.5006708596480003E7</v>
      </c>
    </row>
    <row r="118" spans="8:8" ht="15.75">
      <c r="A118" s="111" t="s">
        <v>127</v>
      </c>
      <c r="B118" s="119" t="s">
        <v>65</v>
      </c>
      <c r="C118" s="113">
        <v>208.0</v>
      </c>
      <c r="D118" s="113">
        <v>2584459.089838079</v>
      </c>
      <c r="E118" s="114">
        <v>627900.0</v>
      </c>
      <c r="F118" s="114">
        <v>400000.0</v>
      </c>
      <c r="G118" s="137">
        <f t="shared" si="1"/>
        <v>3612567.089838079</v>
      </c>
    </row>
    <row r="119" spans="8:8" ht="16.5">
      <c r="A119" s="116" t="s">
        <v>128</v>
      </c>
      <c r="B119" s="117" t="s">
        <v>65</v>
      </c>
      <c r="C119" s="97">
        <v>247.0</v>
      </c>
      <c r="D119" s="97">
        <v>8471447.418470398</v>
      </c>
      <c r="E119" s="101">
        <v>627900.0</v>
      </c>
      <c r="F119" s="101">
        <v>400000.0</v>
      </c>
      <c r="G119" s="138">
        <f t="shared" si="1"/>
        <v>9499594.418470398</v>
      </c>
    </row>
    <row r="120" spans="8:8" ht="15.75">
      <c r="A120" s="116" t="s">
        <v>129</v>
      </c>
      <c r="B120" s="117" t="s">
        <v>65</v>
      </c>
      <c r="C120" s="97">
        <v>286.0</v>
      </c>
      <c r="D120" s="97">
        <v>1.3009457889791999E7</v>
      </c>
      <c r="E120" s="92">
        <v>627900.0</v>
      </c>
      <c r="F120" s="92">
        <v>400000.0</v>
      </c>
      <c r="G120" s="136">
        <f t="shared" si="1"/>
        <v>1.4037643889791999E7</v>
      </c>
    </row>
    <row r="121" spans="8:8" ht="15.75">
      <c r="A121" s="116" t="s">
        <v>130</v>
      </c>
      <c r="B121" s="117" t="s">
        <v>65</v>
      </c>
      <c r="C121" s="97">
        <v>325.0</v>
      </c>
      <c r="D121" s="97">
        <v>1.8515527807795204E7</v>
      </c>
      <c r="E121" s="92">
        <v>627900.0</v>
      </c>
      <c r="F121" s="92">
        <v>400000.0</v>
      </c>
      <c r="G121" s="136">
        <f t="shared" si="1"/>
        <v>1.9543752807795204E7</v>
      </c>
    </row>
    <row r="122" spans="8:8" ht="15.75">
      <c r="A122" s="116" t="s">
        <v>131</v>
      </c>
      <c r="B122" s="117" t="s">
        <v>65</v>
      </c>
      <c r="C122" s="97">
        <v>364.0</v>
      </c>
      <c r="D122" s="97">
        <v>2.304241115904E7</v>
      </c>
      <c r="E122" s="92">
        <v>627900.0</v>
      </c>
      <c r="F122" s="92">
        <v>400000.0</v>
      </c>
      <c r="G122" s="136">
        <f t="shared" si="1"/>
        <v>2.407067515904E7</v>
      </c>
    </row>
    <row r="123" spans="8:8" ht="15.75">
      <c r="A123" s="116" t="s">
        <v>132</v>
      </c>
      <c r="B123" s="117" t="s">
        <v>65</v>
      </c>
      <c r="C123" s="97">
        <v>208.0</v>
      </c>
      <c r="D123" s="97">
        <v>2584459.089838079</v>
      </c>
      <c r="E123" s="92">
        <v>627900.0</v>
      </c>
      <c r="F123" s="92">
        <v>400000.0</v>
      </c>
      <c r="G123" s="136">
        <f t="shared" si="1"/>
        <v>3612567.089838079</v>
      </c>
    </row>
    <row r="124" spans="8:8" ht="15.75">
      <c r="A124" s="116" t="s">
        <v>133</v>
      </c>
      <c r="B124" s="117" t="s">
        <v>65</v>
      </c>
      <c r="C124" s="97">
        <v>247.0</v>
      </c>
      <c r="D124" s="97">
        <v>6353585.5638528</v>
      </c>
      <c r="E124" s="92">
        <v>627900.0</v>
      </c>
      <c r="F124" s="92">
        <v>400000.0</v>
      </c>
      <c r="G124" s="136">
        <f t="shared" si="1"/>
        <v>7381732.5638528</v>
      </c>
    </row>
    <row r="125" spans="8:8" ht="15.75">
      <c r="A125" s="116" t="s">
        <v>134</v>
      </c>
      <c r="B125" s="117" t="s">
        <v>65</v>
      </c>
      <c r="C125" s="97">
        <v>286.0</v>
      </c>
      <c r="D125" s="97">
        <v>9106620.522854399</v>
      </c>
      <c r="E125" s="92">
        <v>627900.0</v>
      </c>
      <c r="F125" s="92">
        <v>400000.0</v>
      </c>
      <c r="G125" s="136">
        <f t="shared" si="1"/>
        <v>1.0134806522854399E7</v>
      </c>
    </row>
    <row r="126" spans="8:8" ht="15.75">
      <c r="A126" s="116" t="s">
        <v>135</v>
      </c>
      <c r="B126" s="117" t="s">
        <v>65</v>
      </c>
      <c r="C126" s="97">
        <v>208.0</v>
      </c>
      <c r="D126" s="97">
        <v>2960555.7484339206</v>
      </c>
      <c r="E126" s="92">
        <v>627900.0</v>
      </c>
      <c r="F126" s="92">
        <v>400000.0</v>
      </c>
      <c r="G126" s="136">
        <f t="shared" si="1"/>
        <v>3988663.7484339206</v>
      </c>
    </row>
    <row r="127" spans="8:8" ht="15.75">
      <c r="A127" s="116" t="s">
        <v>136</v>
      </c>
      <c r="B127" s="117" t="s">
        <v>65</v>
      </c>
      <c r="C127" s="97">
        <v>247.0</v>
      </c>
      <c r="D127" s="97">
        <v>6353585.5638528</v>
      </c>
      <c r="E127" s="92">
        <v>627900.0</v>
      </c>
      <c r="F127" s="92">
        <v>400000.0</v>
      </c>
      <c r="G127" s="136">
        <f t="shared" si="1"/>
        <v>7381732.5638528</v>
      </c>
    </row>
    <row r="128" spans="8:8" ht="15.75">
      <c r="A128" s="116" t="s">
        <v>137</v>
      </c>
      <c r="B128" s="117" t="s">
        <v>65</v>
      </c>
      <c r="C128" s="97">
        <v>208.0</v>
      </c>
      <c r="D128" s="97">
        <v>5318392.492707841</v>
      </c>
      <c r="E128" s="92">
        <v>627900.0</v>
      </c>
      <c r="F128" s="92">
        <v>400000.0</v>
      </c>
      <c r="G128" s="136">
        <f t="shared" si="1"/>
        <v>6346500.492707841</v>
      </c>
    </row>
    <row r="129" spans="8:8" ht="15.75">
      <c r="A129" s="116" t="s">
        <v>138</v>
      </c>
      <c r="B129" s="117" t="s">
        <v>65</v>
      </c>
      <c r="C129" s="97">
        <v>247.0</v>
      </c>
      <c r="D129" s="97">
        <v>1.01089885897728E7</v>
      </c>
      <c r="E129" s="92">
        <v>627900.0</v>
      </c>
      <c r="F129" s="92">
        <v>400000.0</v>
      </c>
      <c r="G129" s="136">
        <f t="shared" si="1"/>
        <v>1.11371355897728E7</v>
      </c>
    </row>
    <row r="130" spans="8:8" ht="15.75">
      <c r="A130" s="111" t="s">
        <v>139</v>
      </c>
      <c r="B130" s="119" t="s">
        <v>65</v>
      </c>
      <c r="C130" s="113">
        <v>208.0</v>
      </c>
      <c r="D130" s="113">
        <v>3336652.40702976</v>
      </c>
      <c r="E130" s="114">
        <v>627900.0</v>
      </c>
      <c r="F130" s="114">
        <v>400000.0</v>
      </c>
      <c r="G130" s="137">
        <f t="shared" si="2" ref="G130:G190">(C130+D130+E130+F130)</f>
        <v>4364760.40702976</v>
      </c>
    </row>
    <row r="131" spans="8:8" ht="16.5">
      <c r="A131" s="116" t="s">
        <v>140</v>
      </c>
      <c r="B131" s="117" t="s">
        <v>65</v>
      </c>
      <c r="C131" s="97">
        <v>247.0</v>
      </c>
      <c r="D131" s="97">
        <v>6136606.722355202</v>
      </c>
      <c r="E131" s="101">
        <v>627900.0</v>
      </c>
      <c r="F131" s="101">
        <v>400000.0</v>
      </c>
      <c r="G131" s="138">
        <f t="shared" si="2"/>
        <v>7164753.722355202</v>
      </c>
    </row>
    <row r="132" spans="8:8" ht="15.75">
      <c r="A132" s="116" t="s">
        <v>141</v>
      </c>
      <c r="B132" s="117" t="s">
        <v>65</v>
      </c>
      <c r="C132" s="97">
        <v>286.0</v>
      </c>
      <c r="D132" s="97">
        <v>8853478.5411072</v>
      </c>
      <c r="E132" s="92">
        <v>627900.0</v>
      </c>
      <c r="F132" s="92">
        <v>400000.0</v>
      </c>
      <c r="G132" s="136">
        <f t="shared" si="2"/>
        <v>9881664.5411072</v>
      </c>
    </row>
    <row r="133" spans="8:8" ht="15.75">
      <c r="A133" s="116" t="s">
        <v>142</v>
      </c>
      <c r="B133" s="117" t="s">
        <v>65</v>
      </c>
      <c r="C133" s="97">
        <v>208.0</v>
      </c>
      <c r="D133" s="97">
        <v>5506440.822005759</v>
      </c>
      <c r="E133" s="92">
        <v>627900.0</v>
      </c>
      <c r="F133" s="92">
        <v>400000.0</v>
      </c>
      <c r="G133" s="136">
        <f t="shared" si="2"/>
        <v>6534548.822005759</v>
      </c>
    </row>
    <row r="134" spans="8:8" ht="15.75">
      <c r="A134" s="116" t="s">
        <v>143</v>
      </c>
      <c r="B134" s="117" t="s">
        <v>65</v>
      </c>
      <c r="C134" s="97">
        <v>247.0</v>
      </c>
      <c r="D134" s="97">
        <v>5919627.8808576</v>
      </c>
      <c r="E134" s="92">
        <v>627900.0</v>
      </c>
      <c r="F134" s="92">
        <v>400000.0</v>
      </c>
      <c r="G134" s="136">
        <f t="shared" si="2"/>
        <v>6947774.8808576</v>
      </c>
    </row>
    <row r="135" spans="8:8" ht="15.75">
      <c r="A135" s="116" t="s">
        <v>144</v>
      </c>
      <c r="B135" s="117" t="s">
        <v>65</v>
      </c>
      <c r="C135" s="97">
        <v>286.0</v>
      </c>
      <c r="D135" s="97">
        <v>1.0118261189836802E7</v>
      </c>
      <c r="E135" s="92">
        <v>627900.0</v>
      </c>
      <c r="F135" s="92">
        <v>400000.0</v>
      </c>
      <c r="G135" s="136">
        <f t="shared" si="2"/>
        <v>1.1146447189836802E7</v>
      </c>
    </row>
    <row r="136" spans="8:8" ht="15.75">
      <c r="A136" s="116" t="s">
        <v>145</v>
      </c>
      <c r="B136" s="117" t="s">
        <v>65</v>
      </c>
      <c r="C136" s="97">
        <v>208.0</v>
      </c>
      <c r="D136" s="97">
        <v>3336652.40702976</v>
      </c>
      <c r="E136" s="92">
        <v>627900.0</v>
      </c>
      <c r="F136" s="92">
        <v>400000.0</v>
      </c>
      <c r="G136" s="136">
        <f t="shared" si="2"/>
        <v>4364760.40702976</v>
      </c>
    </row>
    <row r="137" spans="8:8" ht="15.75">
      <c r="A137" s="116" t="s">
        <v>146</v>
      </c>
      <c r="B137" s="117" t="s">
        <v>65</v>
      </c>
      <c r="C137" s="97">
        <v>247.0</v>
      </c>
      <c r="D137" s="97">
        <v>6136606.722355202</v>
      </c>
      <c r="E137" s="92">
        <v>627900.0</v>
      </c>
      <c r="F137" s="92">
        <v>400000.0</v>
      </c>
      <c r="G137" s="136">
        <f t="shared" si="2"/>
        <v>7164753.722355202</v>
      </c>
    </row>
    <row r="138" spans="8:8" ht="15.75">
      <c r="A138" s="116" t="s">
        <v>147</v>
      </c>
      <c r="B138" s="117" t="s">
        <v>65</v>
      </c>
      <c r="C138" s="97">
        <v>286.0</v>
      </c>
      <c r="D138" s="97">
        <v>8853478.5411072</v>
      </c>
      <c r="E138" s="92">
        <v>627900.0</v>
      </c>
      <c r="F138" s="92">
        <v>400000.0</v>
      </c>
      <c r="G138" s="136">
        <f t="shared" si="2"/>
        <v>9881664.5411072</v>
      </c>
    </row>
    <row r="139" spans="8:8" ht="15.75">
      <c r="A139" s="116" t="s">
        <v>148</v>
      </c>
      <c r="B139" s="117" t="s">
        <v>65</v>
      </c>
      <c r="C139" s="97">
        <v>247.0</v>
      </c>
      <c r="D139" s="97">
        <v>6136606.722355202</v>
      </c>
      <c r="E139" s="92">
        <v>627900.0</v>
      </c>
      <c r="F139" s="92">
        <v>400000.0</v>
      </c>
      <c r="G139" s="136">
        <f t="shared" si="2"/>
        <v>7164753.722355202</v>
      </c>
    </row>
    <row r="140" spans="8:8" ht="15.75">
      <c r="A140" s="116" t="s">
        <v>149</v>
      </c>
      <c r="B140" s="117" t="s">
        <v>65</v>
      </c>
      <c r="C140" s="97">
        <v>286.0</v>
      </c>
      <c r="D140" s="97">
        <v>8853478.5411072</v>
      </c>
      <c r="E140" s="92">
        <v>627900.0</v>
      </c>
      <c r="F140" s="92">
        <v>400000.0</v>
      </c>
      <c r="G140" s="136">
        <f t="shared" si="2"/>
        <v>9881664.5411072</v>
      </c>
    </row>
    <row r="141" spans="8:8" ht="15.75">
      <c r="A141" s="111" t="s">
        <v>150</v>
      </c>
      <c r="B141" s="119" t="s">
        <v>65</v>
      </c>
      <c r="C141" s="113">
        <v>403.0</v>
      </c>
      <c r="D141" s="113">
        <v>1.5040157303808E7</v>
      </c>
      <c r="E141" s="114">
        <v>627900.0</v>
      </c>
      <c r="F141" s="114">
        <v>400000.0</v>
      </c>
      <c r="G141" s="137">
        <f t="shared" si="2"/>
        <v>1.6068460303808E7</v>
      </c>
    </row>
    <row r="142" spans="8:8" ht="16.5">
      <c r="A142" s="116" t="s">
        <v>151</v>
      </c>
      <c r="B142" s="117" t="s">
        <v>65</v>
      </c>
      <c r="C142" s="97">
        <v>247.0</v>
      </c>
      <c r="D142" s="97">
        <v>1.59711263502336E7</v>
      </c>
      <c r="E142" s="101">
        <v>627900.0</v>
      </c>
      <c r="F142" s="101">
        <v>400000.0</v>
      </c>
      <c r="G142" s="138">
        <f t="shared" si="2"/>
        <v>1.69992733502336E7</v>
      </c>
    </row>
    <row r="143" spans="8:8" ht="15.75">
      <c r="A143" s="116" t="s">
        <v>152</v>
      </c>
      <c r="B143" s="117" t="s">
        <v>65</v>
      </c>
      <c r="C143" s="97">
        <v>286.0</v>
      </c>
      <c r="D143" s="97">
        <v>2.2384056554496005E7</v>
      </c>
      <c r="E143" s="92">
        <v>627900.0</v>
      </c>
      <c r="F143" s="92">
        <v>400000.0</v>
      </c>
      <c r="G143" s="136">
        <f t="shared" si="2"/>
        <v>2.3412242554496005E7</v>
      </c>
    </row>
    <row r="144" spans="8:8" ht="15.75">
      <c r="A144" s="116" t="s">
        <v>153</v>
      </c>
      <c r="B144" s="117" t="s">
        <v>65</v>
      </c>
      <c r="C144" s="97">
        <v>403.0</v>
      </c>
      <c r="D144" s="97">
        <v>4.33456962591744E7</v>
      </c>
      <c r="E144" s="92">
        <v>627900.0</v>
      </c>
      <c r="F144" s="92">
        <v>400000.0</v>
      </c>
      <c r="G144" s="136">
        <f t="shared" si="2"/>
        <v>4.43739992591744E7</v>
      </c>
    </row>
    <row r="145" spans="8:8" ht="15.75">
      <c r="A145" s="116" t="s">
        <v>154</v>
      </c>
      <c r="B145" s="117" t="s">
        <v>65</v>
      </c>
      <c r="C145" s="97">
        <v>800.0</v>
      </c>
      <c r="D145" s="97">
        <v>964350.4066560001</v>
      </c>
      <c r="E145" s="92">
        <v>627900.0</v>
      </c>
      <c r="F145" s="92">
        <v>400000.0</v>
      </c>
      <c r="G145" s="136">
        <f t="shared" si="2"/>
        <v>1993050.406656</v>
      </c>
    </row>
    <row r="146" spans="8:8" ht="15.75">
      <c r="A146" s="116" t="s">
        <v>155</v>
      </c>
      <c r="B146" s="117" t="s">
        <v>65</v>
      </c>
      <c r="C146" s="97">
        <v>208.0</v>
      </c>
      <c r="D146" s="97">
        <v>3818827.610357759</v>
      </c>
      <c r="E146" s="92">
        <v>627900.0</v>
      </c>
      <c r="F146" s="92">
        <v>400000.0</v>
      </c>
      <c r="G146" s="136">
        <f t="shared" si="2"/>
        <v>4846935.6103577595</v>
      </c>
    </row>
    <row r="147" spans="8:8" ht="15.75">
      <c r="A147" s="116" t="s">
        <v>156</v>
      </c>
      <c r="B147" s="117" t="s">
        <v>65</v>
      </c>
      <c r="C147" s="97">
        <v>247.0</v>
      </c>
      <c r="D147" s="97">
        <v>6414784.7242752</v>
      </c>
      <c r="E147" s="92">
        <v>627900.0</v>
      </c>
      <c r="F147" s="92">
        <v>400000.0</v>
      </c>
      <c r="G147" s="136">
        <f t="shared" si="2"/>
        <v>7442931.7242752</v>
      </c>
    </row>
    <row r="148" spans="8:8" ht="15.75">
      <c r="A148" s="111" t="s">
        <v>157</v>
      </c>
      <c r="B148" s="119" t="s">
        <v>65</v>
      </c>
      <c r="C148" s="113">
        <v>208.0</v>
      </c>
      <c r="D148" s="113">
        <v>3818827.610357759</v>
      </c>
      <c r="E148" s="114">
        <v>627900.0</v>
      </c>
      <c r="F148" s="114">
        <v>400000.0</v>
      </c>
      <c r="G148" s="137">
        <f t="shared" si="2"/>
        <v>4846935.6103577595</v>
      </c>
    </row>
    <row r="149" spans="8:8" ht="16.5">
      <c r="A149" s="116" t="s">
        <v>158</v>
      </c>
      <c r="B149" s="117" t="s">
        <v>65</v>
      </c>
      <c r="C149" s="97">
        <v>247.0</v>
      </c>
      <c r="D149" s="97">
        <v>6414784.7242752</v>
      </c>
      <c r="E149" s="101">
        <v>627900.0</v>
      </c>
      <c r="F149" s="101">
        <v>400000.0</v>
      </c>
      <c r="G149" s="138">
        <f t="shared" si="2"/>
        <v>7442931.7242752</v>
      </c>
    </row>
    <row r="150" spans="8:8" ht="15.75">
      <c r="A150" s="116" t="s">
        <v>159</v>
      </c>
      <c r="B150" s="117" t="s">
        <v>65</v>
      </c>
      <c r="C150" s="97">
        <v>286.0</v>
      </c>
      <c r="D150" s="97">
        <v>9178019.543347202</v>
      </c>
      <c r="E150" s="92">
        <v>627900.0</v>
      </c>
      <c r="F150" s="92">
        <v>400000.0</v>
      </c>
      <c r="G150" s="136">
        <f t="shared" si="2"/>
        <v>1.0206205543347202E7</v>
      </c>
    </row>
    <row r="151" spans="8:8" ht="15.75">
      <c r="A151" s="116" t="s">
        <v>160</v>
      </c>
      <c r="B151" s="117" t="s">
        <v>65</v>
      </c>
      <c r="C151" s="97">
        <v>247.0</v>
      </c>
      <c r="D151" s="97">
        <v>6136606.722355202</v>
      </c>
      <c r="E151" s="92">
        <v>627900.0</v>
      </c>
      <c r="F151" s="92">
        <v>400000.0</v>
      </c>
      <c r="G151" s="136">
        <f t="shared" si="2"/>
        <v>7164753.722355202</v>
      </c>
    </row>
    <row r="152" spans="8:8" ht="15.75">
      <c r="A152" s="116" t="s">
        <v>161</v>
      </c>
      <c r="B152" s="117" t="s">
        <v>65</v>
      </c>
      <c r="C152" s="97">
        <v>286.0</v>
      </c>
      <c r="D152" s="97">
        <v>8853478.5411072</v>
      </c>
      <c r="E152" s="92">
        <v>627900.0</v>
      </c>
      <c r="F152" s="92">
        <v>400000.0</v>
      </c>
      <c r="G152" s="136">
        <f t="shared" si="2"/>
        <v>9881664.5411072</v>
      </c>
    </row>
    <row r="153" spans="8:8" ht="15.75">
      <c r="A153" s="116" t="s">
        <v>162</v>
      </c>
      <c r="B153" s="117" t="s">
        <v>65</v>
      </c>
      <c r="C153" s="97">
        <v>247.0</v>
      </c>
      <c r="D153" s="97">
        <v>1.3189346331033599E7</v>
      </c>
      <c r="E153" s="92">
        <v>627900.0</v>
      </c>
      <c r="F153" s="92">
        <v>400000.0</v>
      </c>
      <c r="G153" s="136">
        <f t="shared" si="2"/>
        <v>1.4217493331033599E7</v>
      </c>
    </row>
    <row r="154" spans="8:8" ht="15.75">
      <c r="A154" s="116" t="s">
        <v>163</v>
      </c>
      <c r="B154" s="117" t="s">
        <v>65</v>
      </c>
      <c r="C154" s="97">
        <v>286.0</v>
      </c>
      <c r="D154" s="97">
        <v>1.5681821228236798E7</v>
      </c>
      <c r="E154" s="92">
        <v>627900.0</v>
      </c>
      <c r="F154" s="92">
        <v>400000.0</v>
      </c>
      <c r="G154" s="136">
        <f t="shared" si="2"/>
        <v>1.6710007228236798E7</v>
      </c>
    </row>
    <row r="155" spans="8:8" ht="15.75">
      <c r="A155" s="116" t="s">
        <v>164</v>
      </c>
      <c r="B155" s="117" t="s">
        <v>65</v>
      </c>
      <c r="C155" s="97">
        <v>971.46</v>
      </c>
      <c r="D155" s="97">
        <v>1146649.72391424</v>
      </c>
      <c r="E155" s="92">
        <v>627900.0</v>
      </c>
      <c r="F155" s="92">
        <v>400000.0</v>
      </c>
      <c r="G155" s="136">
        <f t="shared" si="2"/>
        <v>2175521.18391424</v>
      </c>
    </row>
    <row r="156" spans="8:8" ht="15.75">
      <c r="A156" s="116" t="s">
        <v>165</v>
      </c>
      <c r="B156" s="117" t="s">
        <v>65</v>
      </c>
      <c r="C156" s="97">
        <v>247.0</v>
      </c>
      <c r="D156" s="97">
        <v>6136606.722355202</v>
      </c>
      <c r="E156" s="92">
        <v>627900.0</v>
      </c>
      <c r="F156" s="92">
        <v>400000.0</v>
      </c>
      <c r="G156" s="136">
        <f t="shared" si="2"/>
        <v>7164753.722355202</v>
      </c>
    </row>
    <row r="157" spans="8:8" ht="15.75">
      <c r="A157" s="111" t="s">
        <v>166</v>
      </c>
      <c r="B157" s="119" t="s">
        <v>65</v>
      </c>
      <c r="C157" s="113">
        <v>208.0</v>
      </c>
      <c r="D157" s="113">
        <v>3336652.40702976</v>
      </c>
      <c r="E157" s="114">
        <v>627900.0</v>
      </c>
      <c r="F157" s="114">
        <v>400000.0</v>
      </c>
      <c r="G157" s="137">
        <f t="shared" si="2"/>
        <v>4364760.40702976</v>
      </c>
    </row>
    <row r="158" spans="8:8" ht="16.5">
      <c r="A158" s="116" t="s">
        <v>167</v>
      </c>
      <c r="B158" s="117" t="s">
        <v>65</v>
      </c>
      <c r="C158" s="97">
        <v>247.0</v>
      </c>
      <c r="D158" s="97">
        <v>8182142.296473602</v>
      </c>
      <c r="E158" s="101">
        <v>627900.0</v>
      </c>
      <c r="F158" s="101">
        <v>400000.0</v>
      </c>
      <c r="G158" s="138">
        <f t="shared" si="2"/>
        <v>9210289.296473602</v>
      </c>
    </row>
    <row r="159" spans="8:8" ht="15.75">
      <c r="A159" s="116" t="s">
        <v>168</v>
      </c>
      <c r="B159" s="117" t="s">
        <v>65</v>
      </c>
      <c r="C159" s="97">
        <v>208.0</v>
      </c>
      <c r="D159" s="97">
        <v>6353585.5638528</v>
      </c>
      <c r="E159" s="92">
        <v>627900.0</v>
      </c>
      <c r="F159" s="92">
        <v>400000.0</v>
      </c>
      <c r="G159" s="136">
        <f t="shared" si="2"/>
        <v>7381693.5638528</v>
      </c>
    </row>
    <row r="160" spans="8:8" ht="15.75">
      <c r="A160" s="116" t="s">
        <v>169</v>
      </c>
      <c r="B160" s="117" t="s">
        <v>65</v>
      </c>
      <c r="C160" s="97">
        <v>247.0</v>
      </c>
      <c r="D160" s="97">
        <v>1.0778470314393602E7</v>
      </c>
      <c r="E160" s="92">
        <v>627900.0</v>
      </c>
      <c r="F160" s="92">
        <v>400000.0</v>
      </c>
      <c r="G160" s="136">
        <f t="shared" si="2"/>
        <v>1.1806617314393602E7</v>
      </c>
    </row>
    <row r="161" spans="8:8" ht="15.75">
      <c r="A161" s="116" t="s">
        <v>170</v>
      </c>
      <c r="B161" s="117" t="s">
        <v>65</v>
      </c>
      <c r="C161" s="97">
        <v>208.0</v>
      </c>
      <c r="D161" s="97">
        <v>3336652.40702976</v>
      </c>
      <c r="E161" s="92">
        <v>627900.0</v>
      </c>
      <c r="F161" s="92">
        <v>400000.0</v>
      </c>
      <c r="G161" s="136">
        <f t="shared" si="2"/>
        <v>4364760.40702976</v>
      </c>
    </row>
    <row r="162" spans="8:8" ht="15.75">
      <c r="A162" s="116" t="s">
        <v>171</v>
      </c>
      <c r="B162" s="117" t="s">
        <v>65</v>
      </c>
      <c r="C162" s="97">
        <v>247.0</v>
      </c>
      <c r="D162" s="97">
        <v>6906232.527667198</v>
      </c>
      <c r="E162" s="92">
        <v>627900.0</v>
      </c>
      <c r="F162" s="92">
        <v>400000.0</v>
      </c>
      <c r="G162" s="136">
        <f t="shared" si="2"/>
        <v>7934379.527667198</v>
      </c>
    </row>
    <row r="163" spans="8:8" ht="15.75">
      <c r="A163" s="116" t="s">
        <v>172</v>
      </c>
      <c r="B163" s="117" t="s">
        <v>65</v>
      </c>
      <c r="C163" s="97">
        <v>286.0</v>
      </c>
      <c r="D163" s="97">
        <v>8600336.559359998</v>
      </c>
      <c r="E163" s="92">
        <v>627900.0</v>
      </c>
      <c r="F163" s="92">
        <v>400000.0</v>
      </c>
      <c r="G163" s="136">
        <f t="shared" si="2"/>
        <v>9628522.559359998</v>
      </c>
    </row>
    <row r="164" spans="8:8" ht="15.75">
      <c r="A164" s="116" t="s">
        <v>173</v>
      </c>
      <c r="B164" s="117" t="s">
        <v>65</v>
      </c>
      <c r="C164" s="97">
        <v>208.0</v>
      </c>
      <c r="D164" s="97">
        <v>6353585.5638528</v>
      </c>
      <c r="E164" s="92">
        <v>627900.0</v>
      </c>
      <c r="F164" s="92">
        <v>400000.0</v>
      </c>
      <c r="G164" s="136">
        <f t="shared" si="2"/>
        <v>7381693.5638528</v>
      </c>
    </row>
    <row r="165" spans="8:8" ht="15.75">
      <c r="A165" s="116" t="s">
        <v>174</v>
      </c>
      <c r="B165" s="117" t="s">
        <v>65</v>
      </c>
      <c r="C165" s="97">
        <v>247.0</v>
      </c>
      <c r="D165" s="97">
        <v>1.0778470314393602E7</v>
      </c>
      <c r="E165" s="92">
        <v>627900.0</v>
      </c>
      <c r="F165" s="92">
        <v>400000.0</v>
      </c>
      <c r="G165" s="136">
        <f t="shared" si="2"/>
        <v>1.1806617314393602E7</v>
      </c>
    </row>
    <row r="166" spans="8:8" ht="15.75">
      <c r="A166" s="116" t="s">
        <v>175</v>
      </c>
      <c r="B166" s="117" t="s">
        <v>65</v>
      </c>
      <c r="C166" s="97">
        <v>286.0</v>
      </c>
      <c r="D166" s="97">
        <v>1.6125051511296E7</v>
      </c>
      <c r="E166" s="92">
        <v>627900.0</v>
      </c>
      <c r="F166" s="92">
        <v>400000.0</v>
      </c>
      <c r="G166" s="136">
        <f t="shared" si="2"/>
        <v>1.7153237511296E7</v>
      </c>
    </row>
    <row r="167" spans="8:8" ht="15.75">
      <c r="A167" s="111" t="s">
        <v>176</v>
      </c>
      <c r="B167" s="119" t="s">
        <v>65</v>
      </c>
      <c r="C167" s="113">
        <v>286.0</v>
      </c>
      <c r="D167" s="113">
        <v>7230773.529907199</v>
      </c>
      <c r="E167" s="114">
        <v>627900.0</v>
      </c>
      <c r="F167" s="114">
        <v>400000.0</v>
      </c>
      <c r="G167" s="137">
        <f t="shared" si="2"/>
        <v>8258959.529907199</v>
      </c>
    </row>
    <row r="168" spans="8:8" ht="16.5">
      <c r="A168" s="116" t="s">
        <v>177</v>
      </c>
      <c r="B168" s="117" t="s">
        <v>65</v>
      </c>
      <c r="C168" s="97">
        <v>286.0</v>
      </c>
      <c r="D168" s="97">
        <v>7230773.529907199</v>
      </c>
      <c r="E168" s="101">
        <v>627900.0</v>
      </c>
      <c r="F168" s="101">
        <v>400000.0</v>
      </c>
      <c r="G168" s="138">
        <f t="shared" si="2"/>
        <v>8258959.529907199</v>
      </c>
    </row>
    <row r="169" spans="8:8" ht="15.75">
      <c r="A169" s="116" t="s">
        <v>178</v>
      </c>
      <c r="B169" s="117" t="s">
        <v>65</v>
      </c>
      <c r="C169" s="97">
        <v>3705330.985574401</v>
      </c>
      <c r="D169" s="97">
        <v>2.3613974226984967E7</v>
      </c>
      <c r="E169" s="92">
        <v>627900.0</v>
      </c>
      <c r="F169" s="92">
        <v>400000.0</v>
      </c>
      <c r="G169" s="136">
        <f t="shared" si="2"/>
        <v>2.834720521255937E7</v>
      </c>
    </row>
    <row r="170" spans="8:8" ht="15.75">
      <c r="A170" s="116" t="s">
        <v>179</v>
      </c>
      <c r="B170" s="117" t="s">
        <v>65</v>
      </c>
      <c r="C170" s="97">
        <v>247.0</v>
      </c>
      <c r="D170" s="97">
        <v>6047589.761740802</v>
      </c>
      <c r="E170" s="92">
        <v>627900.0</v>
      </c>
      <c r="F170" s="92">
        <v>400000.0</v>
      </c>
      <c r="G170" s="136">
        <f t="shared" si="2"/>
        <v>7075736.761740802</v>
      </c>
    </row>
    <row r="171" spans="8:8" ht="15.75">
      <c r="A171" s="116" t="s">
        <v>180</v>
      </c>
      <c r="B171" s="117" t="s">
        <v>65</v>
      </c>
      <c r="C171" s="97">
        <v>247.0</v>
      </c>
      <c r="D171" s="97">
        <v>6136606.722355202</v>
      </c>
      <c r="E171" s="92">
        <v>627900.0</v>
      </c>
      <c r="F171" s="92">
        <v>400000.0</v>
      </c>
      <c r="G171" s="136">
        <f t="shared" si="2"/>
        <v>7164753.722355202</v>
      </c>
    </row>
    <row r="172" spans="8:8" ht="15.75">
      <c r="A172" s="116" t="s">
        <v>181</v>
      </c>
      <c r="B172" s="117" t="s">
        <v>65</v>
      </c>
      <c r="C172" s="97">
        <v>247.0</v>
      </c>
      <c r="D172" s="97">
        <v>1.3189346331033599E7</v>
      </c>
      <c r="E172" s="92">
        <v>627900.0</v>
      </c>
      <c r="F172" s="92">
        <v>400000.0</v>
      </c>
      <c r="G172" s="136">
        <f t="shared" si="2"/>
        <v>1.4217493331033599E7</v>
      </c>
    </row>
    <row r="173" spans="8:8" ht="15.75">
      <c r="A173" s="116" t="s">
        <v>182</v>
      </c>
      <c r="B173" s="117" t="s">
        <v>65</v>
      </c>
      <c r="C173" s="97">
        <v>208.0</v>
      </c>
      <c r="D173" s="97">
        <v>3336652.40702976</v>
      </c>
      <c r="E173" s="92">
        <v>627900.0</v>
      </c>
      <c r="F173" s="92">
        <v>400000.0</v>
      </c>
      <c r="G173" s="136">
        <f t="shared" si="2"/>
        <v>4364760.40702976</v>
      </c>
    </row>
    <row r="174" spans="8:8" ht="15.75">
      <c r="A174" s="116" t="s">
        <v>183</v>
      </c>
      <c r="B174" s="117" t="s">
        <v>65</v>
      </c>
      <c r="C174" s="97">
        <v>247.0</v>
      </c>
      <c r="D174" s="97">
        <v>6136606.722355202</v>
      </c>
      <c r="E174" s="92">
        <v>627900.0</v>
      </c>
      <c r="F174" s="92">
        <v>400000.0</v>
      </c>
      <c r="G174" s="136">
        <f t="shared" si="2"/>
        <v>7164753.722355202</v>
      </c>
    </row>
    <row r="175" spans="8:8" ht="15.75">
      <c r="A175" s="116" t="s">
        <v>184</v>
      </c>
      <c r="B175" s="117" t="s">
        <v>65</v>
      </c>
      <c r="C175" s="97">
        <v>286.0</v>
      </c>
      <c r="D175" s="97">
        <v>6906232.527667198</v>
      </c>
      <c r="E175" s="92">
        <v>627900.0</v>
      </c>
      <c r="F175" s="92">
        <v>400000.0</v>
      </c>
      <c r="G175" s="136">
        <f t="shared" si="2"/>
        <v>7934418.527667198</v>
      </c>
    </row>
    <row r="176" spans="8:8" ht="15.75">
      <c r="A176" s="116" t="s">
        <v>185</v>
      </c>
      <c r="B176" s="117" t="s">
        <v>65</v>
      </c>
      <c r="C176" s="97">
        <v>208.0</v>
      </c>
      <c r="D176" s="97">
        <v>5506440.822005759</v>
      </c>
      <c r="E176" s="92">
        <v>627900.0</v>
      </c>
      <c r="F176" s="92">
        <v>400000.0</v>
      </c>
      <c r="G176" s="136">
        <f t="shared" si="2"/>
        <v>6534548.822005759</v>
      </c>
    </row>
    <row r="177" spans="8:8" ht="15.75">
      <c r="A177" s="116" t="s">
        <v>186</v>
      </c>
      <c r="B177" s="117" t="s">
        <v>65</v>
      </c>
      <c r="C177" s="97">
        <v>247.0</v>
      </c>
      <c r="D177" s="97">
        <v>8083852.735795199</v>
      </c>
      <c r="E177" s="92">
        <v>627900.0</v>
      </c>
      <c r="F177" s="92">
        <v>400000.0</v>
      </c>
      <c r="G177" s="136">
        <f t="shared" si="2"/>
        <v>9111999.7357952</v>
      </c>
    </row>
    <row r="178" spans="8:8" ht="15.75">
      <c r="A178" s="116" t="s">
        <v>187</v>
      </c>
      <c r="B178" s="117" t="s">
        <v>65</v>
      </c>
      <c r="C178" s="97">
        <v>286.0</v>
      </c>
      <c r="D178" s="97">
        <v>1.1287536057907201E7</v>
      </c>
      <c r="E178" s="92">
        <v>627900.0</v>
      </c>
      <c r="F178" s="92">
        <v>400000.0</v>
      </c>
      <c r="G178" s="136">
        <f t="shared" si="2"/>
        <v>1.2315722057907201E7</v>
      </c>
    </row>
    <row r="179" spans="8:8" ht="15.75">
      <c r="A179" s="111" t="s">
        <v>188</v>
      </c>
      <c r="B179" s="119" t="s">
        <v>65</v>
      </c>
      <c r="C179" s="113">
        <v>208.0</v>
      </c>
      <c r="D179" s="113">
        <v>3818827.610357759</v>
      </c>
      <c r="E179" s="114">
        <v>627900.0</v>
      </c>
      <c r="F179" s="114">
        <v>400000.0</v>
      </c>
      <c r="G179" s="137">
        <f t="shared" si="2"/>
        <v>4846935.6103577595</v>
      </c>
      <c r="I179" s="139">
        <v>4246935.61</v>
      </c>
      <c r="J179" s="142">
        <f>G179-I179</f>
        <v>600000.0003577601</v>
      </c>
    </row>
    <row r="180" spans="8:8" ht="16.5">
      <c r="A180" s="116" t="s">
        <v>189</v>
      </c>
      <c r="B180" s="117" t="s">
        <v>65</v>
      </c>
      <c r="C180" s="97">
        <v>247.0</v>
      </c>
      <c r="D180" s="97">
        <v>6414784.7242752</v>
      </c>
      <c r="E180" s="101">
        <v>627900.0</v>
      </c>
      <c r="F180" s="101">
        <v>400000.0</v>
      </c>
      <c r="G180" s="138">
        <f t="shared" si="2"/>
        <v>7442931.7242752</v>
      </c>
    </row>
    <row r="181" spans="8:8" ht="15.75">
      <c r="A181" s="116" t="s">
        <v>190</v>
      </c>
      <c r="B181" s="117" t="s">
        <v>65</v>
      </c>
      <c r="C181" s="97">
        <v>208.0</v>
      </c>
      <c r="D181" s="97">
        <v>3818827.610357759</v>
      </c>
      <c r="E181" s="92">
        <v>627900.0</v>
      </c>
      <c r="F181" s="92">
        <v>400000.0</v>
      </c>
      <c r="G181" s="136">
        <f t="shared" si="2"/>
        <v>4846935.6103577595</v>
      </c>
    </row>
    <row r="182" spans="8:8" ht="15.75">
      <c r="A182" s="116" t="s">
        <v>191</v>
      </c>
      <c r="B182" s="117" t="s">
        <v>65</v>
      </c>
      <c r="C182" s="97">
        <v>247.0</v>
      </c>
      <c r="D182" s="97">
        <v>6414784.7242752</v>
      </c>
      <c r="E182" s="92">
        <v>627900.0</v>
      </c>
      <c r="F182" s="92">
        <v>400000.0</v>
      </c>
      <c r="G182" s="136">
        <f t="shared" si="2"/>
        <v>7442931.7242752</v>
      </c>
    </row>
    <row r="183" spans="8:8" ht="15.75">
      <c r="A183" s="116" t="s">
        <v>192</v>
      </c>
      <c r="B183" s="117" t="s">
        <v>65</v>
      </c>
      <c r="C183" s="97">
        <v>286.0</v>
      </c>
      <c r="D183" s="97">
        <v>9178019.543347202</v>
      </c>
      <c r="E183" s="92">
        <v>627900.0</v>
      </c>
      <c r="F183" s="92">
        <v>400000.0</v>
      </c>
      <c r="G183" s="136">
        <f t="shared" si="2"/>
        <v>1.0206205543347202E7</v>
      </c>
    </row>
    <row r="184" spans="8:8" ht="15.75">
      <c r="A184" s="116" t="s">
        <v>193</v>
      </c>
      <c r="B184" s="117" t="s">
        <v>65</v>
      </c>
      <c r="C184" s="97">
        <v>208.0</v>
      </c>
      <c r="D184" s="97">
        <v>3818827.610357759</v>
      </c>
      <c r="E184" s="92">
        <v>627900.0</v>
      </c>
      <c r="F184" s="92">
        <v>400000.0</v>
      </c>
      <c r="G184" s="136">
        <f t="shared" si="2"/>
        <v>4846935.6103577595</v>
      </c>
      <c r="J184" s="143" t="s">
        <v>293</v>
      </c>
    </row>
    <row r="185" spans="8:8" ht="15.75">
      <c r="A185" s="116" t="s">
        <v>194</v>
      </c>
      <c r="B185" s="117" t="s">
        <v>65</v>
      </c>
      <c r="C185" s="97">
        <v>247.0</v>
      </c>
      <c r="D185" s="97">
        <v>6414784.7242752</v>
      </c>
      <c r="E185" s="92">
        <v>627900.0</v>
      </c>
      <c r="F185" s="92">
        <v>400000.0</v>
      </c>
      <c r="G185" s="136">
        <f t="shared" si="2"/>
        <v>7442931.7242752</v>
      </c>
    </row>
    <row r="186" spans="8:8" ht="15.75">
      <c r="A186" s="116" t="s">
        <v>195</v>
      </c>
      <c r="B186" s="117" t="s">
        <v>196</v>
      </c>
      <c r="C186" s="97">
        <v>4387500.0</v>
      </c>
      <c r="D186" s="97">
        <v>9193226.607452165</v>
      </c>
      <c r="E186" s="92">
        <v>627900.0</v>
      </c>
      <c r="F186" s="92">
        <v>400000.0</v>
      </c>
      <c r="G186" s="136">
        <f t="shared" si="2"/>
        <v>1.4608626607452165E7</v>
      </c>
    </row>
    <row r="187" spans="8:8" ht="15.75">
      <c r="A187" s="116" t="s">
        <v>197</v>
      </c>
      <c r="B187" s="117" t="s">
        <v>196</v>
      </c>
      <c r="C187" s="97">
        <v>800.0</v>
      </c>
      <c r="D187" s="97">
        <v>1.57634201088E7</v>
      </c>
      <c r="E187" s="92">
        <v>627900.0</v>
      </c>
      <c r="F187" s="92">
        <v>400000.0</v>
      </c>
      <c r="G187" s="136">
        <f t="shared" si="2"/>
        <v>1.67921201088E7</v>
      </c>
    </row>
    <row r="188" spans="8:8" ht="15.75">
      <c r="A188" s="116" t="s">
        <v>198</v>
      </c>
      <c r="B188" s="117" t="s">
        <v>196</v>
      </c>
      <c r="C188" s="97">
        <v>800.0</v>
      </c>
      <c r="D188" s="97">
        <v>2.1616285269196797E7</v>
      </c>
      <c r="E188" s="92">
        <v>627900.0</v>
      </c>
      <c r="F188" s="92">
        <v>400000.0</v>
      </c>
      <c r="G188" s="136">
        <f t="shared" si="2"/>
        <v>2.2644985269196797E7</v>
      </c>
    </row>
    <row r="189" spans="8:8" ht="15.75">
      <c r="A189" s="111" t="s">
        <v>199</v>
      </c>
      <c r="B189" s="119" t="s">
        <v>196</v>
      </c>
      <c r="C189" s="113">
        <v>800.0</v>
      </c>
      <c r="D189" s="113">
        <v>1.20543800832E7</v>
      </c>
      <c r="E189" s="114">
        <v>627900.0</v>
      </c>
      <c r="F189" s="114">
        <v>400000.0</v>
      </c>
      <c r="G189" s="137">
        <f t="shared" si="2"/>
        <v>1.30830800832E7</v>
      </c>
    </row>
    <row r="190" spans="8:8" ht="16.5">
      <c r="A190" s="116" t="s">
        <v>200</v>
      </c>
      <c r="B190" s="117" t="s">
        <v>196</v>
      </c>
      <c r="C190" s="97">
        <v>800.0</v>
      </c>
      <c r="D190" s="97">
        <v>2.8745060198400006E7</v>
      </c>
      <c r="E190" s="101">
        <v>627900.0</v>
      </c>
      <c r="F190" s="101">
        <v>400000.0</v>
      </c>
      <c r="G190" s="138">
        <f t="shared" si="2"/>
        <v>2.9773760198400006E7</v>
      </c>
    </row>
    <row r="191" spans="8:8" ht="15.75">
      <c r="A191" s="116" t="s">
        <v>201</v>
      </c>
      <c r="B191" s="117" t="s">
        <v>196</v>
      </c>
      <c r="C191" s="97">
        <v>800.0</v>
      </c>
      <c r="D191" s="97">
        <v>1.6690680115200005E7</v>
      </c>
      <c r="E191" s="92">
        <v>627900.0</v>
      </c>
      <c r="F191" s="92">
        <v>400000.0</v>
      </c>
      <c r="G191" s="136">
        <f t="shared" si="3" ref="G191:G242">(C191+D191+E191+F191)</f>
        <v>1.7719380115200005E7</v>
      </c>
    </row>
    <row r="192" spans="8:8" ht="15.75">
      <c r="A192" s="116" t="s">
        <v>202</v>
      </c>
      <c r="B192" s="117" t="s">
        <v>196</v>
      </c>
      <c r="C192" s="97">
        <v>800.0</v>
      </c>
      <c r="D192" s="97">
        <v>1.1127120076799998E7</v>
      </c>
      <c r="E192" s="92">
        <v>627900.0</v>
      </c>
      <c r="F192" s="92">
        <v>400000.0</v>
      </c>
      <c r="G192" s="136">
        <f t="shared" si="3"/>
        <v>1.2155820076799998E7</v>
      </c>
    </row>
    <row r="193" spans="8:8" ht="15.75">
      <c r="A193" s="116" t="s">
        <v>203</v>
      </c>
      <c r="B193" s="117" t="s">
        <v>196</v>
      </c>
      <c r="C193" s="97">
        <v>800.0</v>
      </c>
      <c r="D193" s="97">
        <v>1.1127120076799998E7</v>
      </c>
      <c r="E193" s="92">
        <v>627900.0</v>
      </c>
      <c r="F193" s="92">
        <v>400000.0</v>
      </c>
      <c r="G193" s="136">
        <f t="shared" si="3"/>
        <v>1.2155820076799998E7</v>
      </c>
    </row>
    <row r="194" spans="8:8" ht="15.75">
      <c r="A194" s="116" t="s">
        <v>204</v>
      </c>
      <c r="B194" s="117" t="s">
        <v>196</v>
      </c>
      <c r="C194" s="97">
        <v>800.0</v>
      </c>
      <c r="D194" s="97">
        <v>1.1127120076799998E7</v>
      </c>
      <c r="E194" s="92">
        <v>627900.0</v>
      </c>
      <c r="F194" s="92">
        <v>400000.0</v>
      </c>
      <c r="G194" s="136">
        <f t="shared" si="3"/>
        <v>1.2155820076799998E7</v>
      </c>
    </row>
    <row r="195" spans="8:8" ht="15.75">
      <c r="A195" s="116" t="s">
        <v>205</v>
      </c>
      <c r="B195" s="117" t="s">
        <v>196</v>
      </c>
      <c r="C195" s="97">
        <v>800.0</v>
      </c>
      <c r="D195" s="97">
        <v>1.1127120076799998E7</v>
      </c>
      <c r="E195" s="92">
        <v>627900.0</v>
      </c>
      <c r="F195" s="92">
        <v>400000.0</v>
      </c>
      <c r="G195" s="136">
        <f t="shared" si="3"/>
        <v>1.2155820076799998E7</v>
      </c>
    </row>
    <row r="196" spans="8:8" ht="15.75">
      <c r="A196" s="116" t="s">
        <v>206</v>
      </c>
      <c r="B196" s="117" t="s">
        <v>196</v>
      </c>
      <c r="C196" s="97">
        <v>800.0</v>
      </c>
      <c r="D196" s="97">
        <v>1.4836160102400001E7</v>
      </c>
      <c r="E196" s="92">
        <v>627900.0</v>
      </c>
      <c r="F196" s="92">
        <v>400000.0</v>
      </c>
      <c r="G196" s="136">
        <f t="shared" si="3"/>
        <v>1.5864860102400001E7</v>
      </c>
    </row>
    <row r="197" spans="8:8" ht="15.75">
      <c r="A197" s="116" t="s">
        <v>207</v>
      </c>
      <c r="B197" s="117" t="s">
        <v>196</v>
      </c>
      <c r="C197" s="97">
        <v>800.0</v>
      </c>
      <c r="D197" s="97">
        <v>1.2981640089599999E7</v>
      </c>
      <c r="E197" s="92">
        <v>627900.0</v>
      </c>
      <c r="F197" s="92">
        <v>400000.0</v>
      </c>
      <c r="G197" s="136">
        <f t="shared" si="3"/>
        <v>1.4010340089599999E7</v>
      </c>
    </row>
    <row r="198" spans="8:8" ht="15.75">
      <c r="A198" s="116" t="s">
        <v>208</v>
      </c>
      <c r="B198" s="117" t="s">
        <v>196</v>
      </c>
      <c r="C198" s="97">
        <v>800.0</v>
      </c>
      <c r="D198" s="97">
        <v>1.2981640089599999E7</v>
      </c>
      <c r="E198" s="92">
        <v>627900.0</v>
      </c>
      <c r="F198" s="92">
        <v>400000.0</v>
      </c>
      <c r="G198" s="136">
        <f t="shared" si="3"/>
        <v>1.4010340089599999E7</v>
      </c>
    </row>
    <row r="199" spans="8:8" ht="15.75">
      <c r="A199" s="116" t="s">
        <v>209</v>
      </c>
      <c r="B199" s="117" t="s">
        <v>196</v>
      </c>
      <c r="C199" s="97">
        <v>800.0</v>
      </c>
      <c r="D199" s="97">
        <v>1.76179401216E7</v>
      </c>
      <c r="E199" s="92">
        <v>627900.0</v>
      </c>
      <c r="F199" s="92">
        <v>400000.0</v>
      </c>
      <c r="G199" s="136">
        <f t="shared" si="3"/>
        <v>1.86466401216E7</v>
      </c>
    </row>
    <row r="200" spans="8:8" ht="15.75">
      <c r="A200" s="116" t="s">
        <v>210</v>
      </c>
      <c r="B200" s="117" t="s">
        <v>196</v>
      </c>
      <c r="C200" s="97">
        <v>800.0</v>
      </c>
      <c r="D200" s="97">
        <v>1.2981640089599999E7</v>
      </c>
      <c r="E200" s="92">
        <v>627900.0</v>
      </c>
      <c r="F200" s="92">
        <v>400000.0</v>
      </c>
      <c r="G200" s="136">
        <f t="shared" si="3"/>
        <v>1.4010340089599999E7</v>
      </c>
    </row>
    <row r="201" spans="8:8" ht="15.75">
      <c r="A201" s="116" t="s">
        <v>211</v>
      </c>
      <c r="B201" s="117" t="s">
        <v>196</v>
      </c>
      <c r="C201" s="97">
        <v>800.0</v>
      </c>
      <c r="D201" s="97">
        <v>1.2981640089599999E7</v>
      </c>
      <c r="E201" s="92">
        <v>627900.0</v>
      </c>
      <c r="F201" s="92">
        <v>400000.0</v>
      </c>
      <c r="G201" s="136">
        <f t="shared" si="3"/>
        <v>1.4010340089599999E7</v>
      </c>
    </row>
    <row r="202" spans="8:8" ht="15.75">
      <c r="A202" s="116" t="s">
        <v>212</v>
      </c>
      <c r="B202" s="117" t="s">
        <v>196</v>
      </c>
      <c r="C202" s="97">
        <v>800.0</v>
      </c>
      <c r="D202" s="97">
        <v>1.2981640089599999E7</v>
      </c>
      <c r="E202" s="92">
        <v>627900.0</v>
      </c>
      <c r="F202" s="92">
        <v>400000.0</v>
      </c>
      <c r="G202" s="136">
        <f t="shared" si="3"/>
        <v>1.4010340089599999E7</v>
      </c>
    </row>
    <row r="203" spans="8:8" ht="15.75">
      <c r="A203" s="116" t="s">
        <v>213</v>
      </c>
      <c r="B203" s="117" t="s">
        <v>196</v>
      </c>
      <c r="C203" s="97">
        <v>800.0</v>
      </c>
      <c r="D203" s="97">
        <v>3.8944920268800005E7</v>
      </c>
      <c r="E203" s="92">
        <v>627900.0</v>
      </c>
      <c r="F203" s="92">
        <v>400000.0</v>
      </c>
      <c r="G203" s="136">
        <f t="shared" si="3"/>
        <v>3.9973620268800005E7</v>
      </c>
    </row>
    <row r="204" spans="8:8" ht="15.75">
      <c r="A204" s="116" t="s">
        <v>214</v>
      </c>
      <c r="B204" s="117" t="s">
        <v>196</v>
      </c>
      <c r="C204" s="97">
        <v>800.0</v>
      </c>
      <c r="D204" s="97">
        <v>1.2981640089599999E7</v>
      </c>
      <c r="E204" s="92">
        <v>627900.0</v>
      </c>
      <c r="F204" s="92">
        <v>400000.0</v>
      </c>
      <c r="G204" s="136">
        <f t="shared" si="3"/>
        <v>1.4010340089599999E7</v>
      </c>
    </row>
    <row r="205" spans="8:8" ht="15.75">
      <c r="A205" s="116" t="s">
        <v>215</v>
      </c>
      <c r="B205" s="117" t="s">
        <v>196</v>
      </c>
      <c r="C205" s="97">
        <v>1500.0</v>
      </c>
      <c r="D205" s="97">
        <v>1.3908900095999999E7</v>
      </c>
      <c r="E205" s="92">
        <v>627900.0</v>
      </c>
      <c r="F205" s="92">
        <v>400000.0</v>
      </c>
      <c r="G205" s="136">
        <f t="shared" si="3"/>
        <v>1.4938300095999999E7</v>
      </c>
    </row>
    <row r="206" spans="8:8" ht="15.75">
      <c r="A206" s="116" t="s">
        <v>216</v>
      </c>
      <c r="B206" s="117" t="s">
        <v>196</v>
      </c>
      <c r="C206" s="97">
        <v>800.0</v>
      </c>
      <c r="D206" s="97">
        <v>1.3908900095999999E7</v>
      </c>
      <c r="E206" s="92">
        <v>627900.0</v>
      </c>
      <c r="F206" s="92">
        <v>400000.0</v>
      </c>
      <c r="G206" s="136">
        <f t="shared" si="3"/>
        <v>1.4937600095999999E7</v>
      </c>
    </row>
    <row r="207" spans="8:8" ht="15.75">
      <c r="A207" s="116" t="s">
        <v>217</v>
      </c>
      <c r="B207" s="117" t="s">
        <v>196</v>
      </c>
      <c r="C207" s="97">
        <v>800.0</v>
      </c>
      <c r="D207" s="97">
        <v>1.2981640089599999E7</v>
      </c>
      <c r="E207" s="92">
        <v>627900.0</v>
      </c>
      <c r="F207" s="92">
        <v>400000.0</v>
      </c>
      <c r="G207" s="136">
        <f t="shared" si="3"/>
        <v>1.4010340089599999E7</v>
      </c>
    </row>
    <row r="208" spans="8:8" ht="15.75">
      <c r="A208" s="116" t="s">
        <v>218</v>
      </c>
      <c r="B208" s="117" t="s">
        <v>196</v>
      </c>
      <c r="C208" s="97">
        <v>800.0</v>
      </c>
      <c r="D208" s="97">
        <v>1.2981640089599999E7</v>
      </c>
      <c r="E208" s="92">
        <v>627900.0</v>
      </c>
      <c r="F208" s="92">
        <v>400000.0</v>
      </c>
      <c r="G208" s="136">
        <f t="shared" si="3"/>
        <v>1.4010340089599999E7</v>
      </c>
    </row>
    <row r="209" spans="8:8" ht="15.75">
      <c r="A209" s="116" t="s">
        <v>219</v>
      </c>
      <c r="B209" s="117" t="s">
        <v>196</v>
      </c>
      <c r="C209" s="97">
        <v>800.0</v>
      </c>
      <c r="D209" s="97">
        <v>1.8545200128E7</v>
      </c>
      <c r="E209" s="92">
        <v>627900.0</v>
      </c>
      <c r="F209" s="92">
        <v>400000.0</v>
      </c>
      <c r="G209" s="136">
        <f t="shared" si="3"/>
        <v>1.9573900128E7</v>
      </c>
    </row>
    <row r="210" spans="8:8" ht="15.75">
      <c r="A210" s="111" t="s">
        <v>220</v>
      </c>
      <c r="B210" s="119" t="s">
        <v>196</v>
      </c>
      <c r="C210" s="113">
        <v>800.0</v>
      </c>
      <c r="D210" s="113">
        <v>1.8545200128E7</v>
      </c>
      <c r="E210" s="114">
        <v>627900.0</v>
      </c>
      <c r="F210" s="114">
        <v>400000.0</v>
      </c>
      <c r="G210" s="137">
        <f t="shared" si="3"/>
        <v>1.9573900128E7</v>
      </c>
    </row>
    <row r="211" spans="8:8" ht="16.5">
      <c r="A211" s="116" t="s">
        <v>221</v>
      </c>
      <c r="B211" s="117" t="s">
        <v>196</v>
      </c>
      <c r="C211" s="97">
        <v>800.0</v>
      </c>
      <c r="D211" s="97">
        <v>1.77979157928E7</v>
      </c>
      <c r="E211" s="101">
        <v>627900.0</v>
      </c>
      <c r="F211" s="101">
        <v>400000.0</v>
      </c>
      <c r="G211" s="138">
        <f t="shared" si="3"/>
        <v>1.88266157928E7</v>
      </c>
    </row>
    <row r="212" spans="8:8" ht="15.75">
      <c r="A212" s="111" t="s">
        <v>222</v>
      </c>
      <c r="B212" s="119" t="s">
        <v>196</v>
      </c>
      <c r="C212" s="113">
        <v>800.0</v>
      </c>
      <c r="D212" s="113">
        <v>1.3445270092800003E7</v>
      </c>
      <c r="E212" s="114">
        <v>627900.0</v>
      </c>
      <c r="F212" s="114">
        <v>400000.0</v>
      </c>
      <c r="G212" s="137">
        <f t="shared" si="3"/>
        <v>1.4473970092800003E7</v>
      </c>
    </row>
    <row r="213" spans="8:8" ht="16.5">
      <c r="A213" s="116" t="s">
        <v>223</v>
      </c>
      <c r="B213" s="117" t="s">
        <v>196</v>
      </c>
      <c r="C213" s="97">
        <v>800.0</v>
      </c>
      <c r="D213" s="97">
        <v>1.8545200128E7</v>
      </c>
      <c r="E213" s="101">
        <v>627900.0</v>
      </c>
      <c r="F213" s="101">
        <v>400000.0</v>
      </c>
      <c r="G213" s="138">
        <f t="shared" si="3"/>
        <v>1.9573900128E7</v>
      </c>
    </row>
    <row r="214" spans="8:8" ht="15.75">
      <c r="A214" s="116" t="s">
        <v>224</v>
      </c>
      <c r="B214" s="117" t="s">
        <v>196</v>
      </c>
      <c r="C214" s="97">
        <v>800.0</v>
      </c>
      <c r="D214" s="97">
        <v>1.2981640089599999E7</v>
      </c>
      <c r="E214" s="92">
        <v>627900.0</v>
      </c>
      <c r="F214" s="92">
        <v>400000.0</v>
      </c>
      <c r="G214" s="136">
        <f t="shared" si="3"/>
        <v>1.4010340089599999E7</v>
      </c>
    </row>
    <row r="215" spans="8:8" ht="15.75">
      <c r="A215" s="116" t="s">
        <v>225</v>
      </c>
      <c r="B215" s="117" t="s">
        <v>196</v>
      </c>
      <c r="C215" s="97">
        <v>800.0</v>
      </c>
      <c r="D215" s="97">
        <v>1.2981640089599999E7</v>
      </c>
      <c r="E215" s="92">
        <v>627900.0</v>
      </c>
      <c r="F215" s="92">
        <v>400000.0</v>
      </c>
      <c r="G215" s="136">
        <f t="shared" si="3"/>
        <v>1.4010340089599999E7</v>
      </c>
    </row>
    <row r="216" spans="8:8" ht="15.75">
      <c r="A216" s="116" t="s">
        <v>226</v>
      </c>
      <c r="B216" s="117" t="s">
        <v>196</v>
      </c>
      <c r="C216" s="97">
        <v>800.0</v>
      </c>
      <c r="D216" s="97">
        <v>4.82175203328E7</v>
      </c>
      <c r="E216" s="92">
        <v>627900.0</v>
      </c>
      <c r="F216" s="92">
        <v>400000.0</v>
      </c>
      <c r="G216" s="136">
        <f t="shared" si="3"/>
        <v>4.92462203328E7</v>
      </c>
    </row>
    <row r="217" spans="8:8" ht="15.75">
      <c r="A217" s="116" t="s">
        <v>227</v>
      </c>
      <c r="B217" s="117" t="s">
        <v>196</v>
      </c>
      <c r="C217" s="97">
        <v>800.0</v>
      </c>
      <c r="D217" s="97">
        <v>5.9344640409600005E7</v>
      </c>
      <c r="E217" s="92">
        <v>627900.0</v>
      </c>
      <c r="F217" s="92">
        <v>400000.0</v>
      </c>
      <c r="G217" s="136">
        <f t="shared" si="3"/>
        <v>6.0373340409600005E7</v>
      </c>
    </row>
    <row r="218" spans="8:8" ht="15.75">
      <c r="A218" s="116" t="s">
        <v>228</v>
      </c>
      <c r="B218" s="117" t="s">
        <v>196</v>
      </c>
      <c r="C218" s="97">
        <v>800.0</v>
      </c>
      <c r="D218" s="97">
        <v>1.8545200128E7</v>
      </c>
      <c r="E218" s="92">
        <v>627900.0</v>
      </c>
      <c r="F218" s="92">
        <v>400000.0</v>
      </c>
      <c r="G218" s="136">
        <f t="shared" si="3"/>
        <v>1.9573900128E7</v>
      </c>
    </row>
    <row r="219" spans="8:8" ht="15.75">
      <c r="A219" s="116" t="s">
        <v>229</v>
      </c>
      <c r="B219" s="117" t="s">
        <v>196</v>
      </c>
      <c r="C219" s="97">
        <v>800.0</v>
      </c>
      <c r="D219" s="97">
        <v>1.2981640089599999E7</v>
      </c>
      <c r="E219" s="92">
        <v>627900.0</v>
      </c>
      <c r="F219" s="92">
        <v>400000.0</v>
      </c>
      <c r="G219" s="136">
        <f t="shared" si="3"/>
        <v>1.4010340089599999E7</v>
      </c>
    </row>
    <row r="220" spans="8:8" ht="15.75">
      <c r="A220" s="116" t="s">
        <v>230</v>
      </c>
      <c r="B220" s="117" t="s">
        <v>196</v>
      </c>
      <c r="C220" s="97">
        <v>800.0</v>
      </c>
      <c r="D220" s="97">
        <v>1.2981640089599999E7</v>
      </c>
      <c r="E220" s="92">
        <v>627900.0</v>
      </c>
      <c r="F220" s="92">
        <v>400000.0</v>
      </c>
      <c r="G220" s="136">
        <f t="shared" si="3"/>
        <v>1.4010340089599999E7</v>
      </c>
    </row>
    <row r="221" spans="8:8" ht="15.75">
      <c r="A221" s="116" t="s">
        <v>231</v>
      </c>
      <c r="B221" s="117" t="s">
        <v>196</v>
      </c>
      <c r="C221" s="97">
        <v>800.0</v>
      </c>
      <c r="D221" s="97">
        <v>1.2981640089599999E7</v>
      </c>
      <c r="E221" s="92">
        <v>627900.0</v>
      </c>
      <c r="F221" s="92">
        <v>400000.0</v>
      </c>
      <c r="G221" s="136">
        <f t="shared" si="3"/>
        <v>1.4010340089599999E7</v>
      </c>
    </row>
    <row r="222" spans="8:8" ht="15.75">
      <c r="A222" s="116" t="s">
        <v>232</v>
      </c>
      <c r="B222" s="117" t="s">
        <v>196</v>
      </c>
      <c r="C222" s="97">
        <v>800.0</v>
      </c>
      <c r="D222" s="97">
        <v>1.2981640089599999E7</v>
      </c>
      <c r="E222" s="92">
        <v>627900.0</v>
      </c>
      <c r="F222" s="92">
        <v>400000.0</v>
      </c>
      <c r="G222" s="136">
        <f t="shared" si="3"/>
        <v>1.4010340089599999E7</v>
      </c>
    </row>
    <row r="223" spans="8:8" ht="15.75">
      <c r="A223" s="116" t="s">
        <v>233</v>
      </c>
      <c r="B223" s="117" t="s">
        <v>196</v>
      </c>
      <c r="C223" s="97">
        <v>800.0</v>
      </c>
      <c r="D223" s="97">
        <v>1.8545200128E7</v>
      </c>
      <c r="E223" s="92">
        <v>627900.0</v>
      </c>
      <c r="F223" s="92">
        <v>400000.0</v>
      </c>
      <c r="G223" s="136">
        <f t="shared" si="3"/>
        <v>1.9573900128E7</v>
      </c>
    </row>
    <row r="224" spans="8:8" ht="15.75">
      <c r="A224" s="116" t="s">
        <v>234</v>
      </c>
      <c r="B224" s="117" t="s">
        <v>196</v>
      </c>
      <c r="C224" s="97">
        <v>800.0</v>
      </c>
      <c r="D224" s="97">
        <v>1.8545200128E7</v>
      </c>
      <c r="E224" s="92">
        <v>627900.0</v>
      </c>
      <c r="F224" s="92">
        <v>400000.0</v>
      </c>
      <c r="G224" s="136">
        <f t="shared" si="3"/>
        <v>1.9573900128E7</v>
      </c>
    </row>
    <row r="225" spans="8:8" ht="15.75">
      <c r="A225" s="116" t="s">
        <v>235</v>
      </c>
      <c r="B225" s="117" t="s">
        <v>196</v>
      </c>
      <c r="C225" s="97">
        <v>800.0</v>
      </c>
      <c r="D225" s="97">
        <v>1.2981640089599999E7</v>
      </c>
      <c r="E225" s="92">
        <v>627900.0</v>
      </c>
      <c r="F225" s="92">
        <v>400000.0</v>
      </c>
      <c r="G225" s="136">
        <f t="shared" si="3"/>
        <v>1.4010340089599999E7</v>
      </c>
    </row>
    <row r="226" spans="8:8" ht="15.75">
      <c r="A226" s="116" t="s">
        <v>236</v>
      </c>
      <c r="B226" s="117" t="s">
        <v>196</v>
      </c>
      <c r="C226" s="97">
        <v>800.0</v>
      </c>
      <c r="D226" s="97">
        <v>1.2981640089599999E7</v>
      </c>
      <c r="E226" s="92">
        <v>627900.0</v>
      </c>
      <c r="F226" s="92">
        <v>400000.0</v>
      </c>
      <c r="G226" s="136">
        <f t="shared" si="3"/>
        <v>1.4010340089599999E7</v>
      </c>
    </row>
    <row r="227" spans="8:8" ht="15.75">
      <c r="A227" s="116" t="s">
        <v>237</v>
      </c>
      <c r="B227" s="117" t="s">
        <v>196</v>
      </c>
      <c r="C227" s="97">
        <v>800.0</v>
      </c>
      <c r="D227" s="97">
        <v>1.8545200128E7</v>
      </c>
      <c r="E227" s="92">
        <v>627900.0</v>
      </c>
      <c r="F227" s="92">
        <v>400000.0</v>
      </c>
      <c r="G227" s="136">
        <f t="shared" si="3"/>
        <v>1.9573900128E7</v>
      </c>
    </row>
    <row r="228" spans="8:8" ht="15.75">
      <c r="A228" s="116" t="s">
        <v>238</v>
      </c>
      <c r="B228" s="117" t="s">
        <v>196</v>
      </c>
      <c r="C228" s="97">
        <v>800.0</v>
      </c>
      <c r="D228" s="97">
        <v>1.2981640089599999E7</v>
      </c>
      <c r="E228" s="92">
        <v>627900.0</v>
      </c>
      <c r="F228" s="92">
        <v>400000.0</v>
      </c>
      <c r="G228" s="136">
        <f t="shared" si="3"/>
        <v>1.4010340089599999E7</v>
      </c>
    </row>
    <row r="229" spans="8:8" ht="15.75">
      <c r="A229" s="116" t="s">
        <v>239</v>
      </c>
      <c r="B229" s="117" t="s">
        <v>196</v>
      </c>
      <c r="C229" s="97">
        <v>800.0</v>
      </c>
      <c r="D229" s="97">
        <v>1.2981640089599999E7</v>
      </c>
      <c r="E229" s="92">
        <v>627900.0</v>
      </c>
      <c r="F229" s="92">
        <v>400000.0</v>
      </c>
      <c r="G229" s="136">
        <f t="shared" si="3"/>
        <v>1.4010340089599999E7</v>
      </c>
    </row>
    <row r="230" spans="8:8" ht="15.75">
      <c r="A230" s="116" t="s">
        <v>240</v>
      </c>
      <c r="B230" s="117" t="s">
        <v>196</v>
      </c>
      <c r="C230" s="97">
        <v>800.0</v>
      </c>
      <c r="D230" s="97">
        <v>1.2981640089599999E7</v>
      </c>
      <c r="E230" s="92">
        <v>627900.0</v>
      </c>
      <c r="F230" s="92">
        <v>400000.0</v>
      </c>
      <c r="G230" s="136">
        <f t="shared" si="3"/>
        <v>1.4010340089599999E7</v>
      </c>
    </row>
    <row r="231" spans="8:8" ht="15.75">
      <c r="A231" s="116" t="s">
        <v>241</v>
      </c>
      <c r="B231" s="117" t="s">
        <v>196</v>
      </c>
      <c r="C231" s="97">
        <v>800.0</v>
      </c>
      <c r="D231" s="97">
        <v>1.2981640089599999E7</v>
      </c>
      <c r="E231" s="92">
        <v>627900.0</v>
      </c>
      <c r="F231" s="92">
        <v>400000.0</v>
      </c>
      <c r="G231" s="136">
        <f t="shared" si="3"/>
        <v>1.4010340089599999E7</v>
      </c>
    </row>
    <row r="232" spans="8:8" ht="15.75">
      <c r="A232" s="116" t="s">
        <v>242</v>
      </c>
      <c r="B232" s="117" t="s">
        <v>196</v>
      </c>
      <c r="C232" s="97">
        <v>800.0</v>
      </c>
      <c r="D232" s="97">
        <v>1.2981640089599999E7</v>
      </c>
      <c r="E232" s="92">
        <v>627900.0</v>
      </c>
      <c r="F232" s="92">
        <v>400000.0</v>
      </c>
      <c r="G232" s="136">
        <f t="shared" si="3"/>
        <v>1.4010340089599999E7</v>
      </c>
    </row>
    <row r="233" spans="8:8" ht="15.75">
      <c r="A233" s="116" t="s">
        <v>243</v>
      </c>
      <c r="B233" s="117" t="s">
        <v>196</v>
      </c>
      <c r="C233" s="97">
        <v>800.0</v>
      </c>
      <c r="D233" s="97">
        <v>1.2981640089599999E7</v>
      </c>
      <c r="E233" s="92">
        <v>627900.0</v>
      </c>
      <c r="F233" s="92">
        <v>400000.0</v>
      </c>
      <c r="G233" s="136">
        <f t="shared" si="3"/>
        <v>1.4010340089599999E7</v>
      </c>
    </row>
    <row r="234" spans="8:8" ht="15.75">
      <c r="A234" s="116" t="s">
        <v>244</v>
      </c>
      <c r="B234" s="117" t="s">
        <v>196</v>
      </c>
      <c r="C234" s="97">
        <v>800.0</v>
      </c>
      <c r="D234" s="97">
        <v>1.2981640089599999E7</v>
      </c>
      <c r="E234" s="92">
        <v>627900.0</v>
      </c>
      <c r="F234" s="92">
        <v>400000.0</v>
      </c>
      <c r="G234" s="136">
        <f t="shared" si="3"/>
        <v>1.4010340089599999E7</v>
      </c>
    </row>
    <row r="235" spans="8:8" ht="15.75">
      <c r="A235" s="116" t="s">
        <v>245</v>
      </c>
      <c r="B235" s="117" t="s">
        <v>196</v>
      </c>
      <c r="C235" s="97">
        <v>800.0</v>
      </c>
      <c r="D235" s="97">
        <v>5.749012039680001E7</v>
      </c>
      <c r="E235" s="92">
        <v>627900.0</v>
      </c>
      <c r="F235" s="92">
        <v>400000.0</v>
      </c>
      <c r="G235" s="136">
        <f t="shared" si="3"/>
        <v>5.851882039680001E7</v>
      </c>
    </row>
    <row r="236" spans="8:8" ht="15.75">
      <c r="A236" s="116" t="s">
        <v>246</v>
      </c>
      <c r="B236" s="117" t="s">
        <v>196</v>
      </c>
      <c r="C236" s="97">
        <v>800.0</v>
      </c>
      <c r="D236" s="97">
        <v>1.8545200128E7</v>
      </c>
      <c r="E236" s="92">
        <v>627900.0</v>
      </c>
      <c r="F236" s="92">
        <v>400000.0</v>
      </c>
      <c r="G236" s="136">
        <f t="shared" si="3"/>
        <v>1.9573900128E7</v>
      </c>
    </row>
    <row r="237" spans="8:8" ht="15.75">
      <c r="A237" s="116" t="s">
        <v>247</v>
      </c>
      <c r="B237" s="117" t="s">
        <v>196</v>
      </c>
      <c r="C237" s="97">
        <v>800.0</v>
      </c>
      <c r="D237" s="97">
        <v>1.2981640089599999E7</v>
      </c>
      <c r="E237" s="92">
        <v>627900.0</v>
      </c>
      <c r="F237" s="92">
        <v>400000.0</v>
      </c>
      <c r="G237" s="136">
        <f t="shared" si="3"/>
        <v>1.4010340089599999E7</v>
      </c>
    </row>
    <row r="238" spans="8:8" ht="15.75">
      <c r="A238" s="116" t="s">
        <v>248</v>
      </c>
      <c r="B238" s="117" t="s">
        <v>196</v>
      </c>
      <c r="C238" s="97">
        <v>800.0</v>
      </c>
      <c r="D238" s="97">
        <v>1.2981640089599999E7</v>
      </c>
      <c r="E238" s="92">
        <v>627900.0</v>
      </c>
      <c r="F238" s="92">
        <v>400000.0</v>
      </c>
      <c r="G238" s="136">
        <f t="shared" si="3"/>
        <v>1.4010340089599999E7</v>
      </c>
    </row>
    <row r="239" spans="8:8" ht="15.75">
      <c r="A239" s="116" t="s">
        <v>249</v>
      </c>
      <c r="B239" s="117" t="s">
        <v>196</v>
      </c>
      <c r="C239" s="97">
        <v>800.0</v>
      </c>
      <c r="D239" s="97">
        <v>1.2981640089599999E7</v>
      </c>
      <c r="E239" s="92">
        <v>627900.0</v>
      </c>
      <c r="F239" s="92">
        <v>400000.0</v>
      </c>
      <c r="G239" s="136">
        <f t="shared" si="3"/>
        <v>1.4010340089599999E7</v>
      </c>
    </row>
    <row r="240" spans="8:8" ht="15.75">
      <c r="A240" s="116" t="s">
        <v>250</v>
      </c>
      <c r="B240" s="117" t="s">
        <v>196</v>
      </c>
      <c r="C240" s="97">
        <v>800.0</v>
      </c>
      <c r="D240" s="97">
        <v>1.2981640089599999E7</v>
      </c>
      <c r="E240" s="92">
        <v>627900.0</v>
      </c>
      <c r="F240" s="92">
        <v>400000.0</v>
      </c>
      <c r="G240" s="136">
        <f t="shared" si="3"/>
        <v>1.4010340089599999E7</v>
      </c>
    </row>
    <row r="241" spans="8:8" ht="15.75">
      <c r="A241" s="116" t="s">
        <v>251</v>
      </c>
      <c r="B241" s="117" t="s">
        <v>196</v>
      </c>
      <c r="C241" s="97">
        <v>800.0</v>
      </c>
      <c r="D241" s="97">
        <v>1.2981640089599999E7</v>
      </c>
      <c r="E241" s="92">
        <v>627900.0</v>
      </c>
      <c r="F241" s="92">
        <v>400000.0</v>
      </c>
      <c r="G241" s="136">
        <f t="shared" si="3"/>
        <v>1.4010340089599999E7</v>
      </c>
    </row>
    <row r="242" spans="8:8" ht="15.75">
      <c r="A242" s="116" t="s">
        <v>252</v>
      </c>
      <c r="B242" s="117" t="s">
        <v>196</v>
      </c>
      <c r="C242" s="97">
        <v>800.0</v>
      </c>
      <c r="D242" s="97">
        <v>1.2981640089599999E7</v>
      </c>
      <c r="E242" s="92">
        <v>627900.0</v>
      </c>
      <c r="F242" s="92">
        <v>400000.0</v>
      </c>
      <c r="G242" s="136">
        <f t="shared" si="3"/>
        <v>1.4010340089599999E7</v>
      </c>
    </row>
    <row r="243" spans="8:8" ht="15.75">
      <c r="A243" s="111" t="s">
        <v>253</v>
      </c>
      <c r="B243" s="119" t="s">
        <v>196</v>
      </c>
      <c r="C243" s="113">
        <v>800.0</v>
      </c>
      <c r="D243" s="113">
        <v>1.2981640089599999E7</v>
      </c>
      <c r="E243" s="114">
        <v>627900.0</v>
      </c>
      <c r="F243" s="114">
        <v>400000.0</v>
      </c>
      <c r="G243" s="137">
        <f t="shared" si="4" ref="G243:G280">(C243+D243+E243+F243)</f>
        <v>1.4010340089599999E7</v>
      </c>
    </row>
    <row r="244" spans="8:8" ht="16.5">
      <c r="A244" s="116" t="s">
        <v>254</v>
      </c>
      <c r="B244" s="117" t="s">
        <v>196</v>
      </c>
      <c r="C244" s="97">
        <v>800.0</v>
      </c>
      <c r="D244" s="97">
        <v>1.8545200128E7</v>
      </c>
      <c r="E244" s="101">
        <v>627900.0</v>
      </c>
      <c r="F244" s="101">
        <v>400000.0</v>
      </c>
      <c r="G244" s="138">
        <f t="shared" si="4"/>
        <v>1.9573900128E7</v>
      </c>
    </row>
    <row r="245" spans="8:8" ht="15.75">
      <c r="A245" s="116" t="s">
        <v>255</v>
      </c>
      <c r="B245" s="117" t="s">
        <v>196</v>
      </c>
      <c r="C245" s="97">
        <v>800.0</v>
      </c>
      <c r="D245" s="97">
        <v>1.2981640089599999E7</v>
      </c>
      <c r="E245" s="92">
        <v>627900.0</v>
      </c>
      <c r="F245" s="92">
        <v>400000.0</v>
      </c>
      <c r="G245" s="136">
        <f t="shared" si="4"/>
        <v>1.4010340089599999E7</v>
      </c>
    </row>
    <row r="246" spans="8:8" ht="15.75">
      <c r="A246" s="116" t="s">
        <v>256</v>
      </c>
      <c r="B246" s="117" t="s">
        <v>196</v>
      </c>
      <c r="C246" s="97">
        <v>800.0</v>
      </c>
      <c r="D246" s="97">
        <v>1.2981640089599999E7</v>
      </c>
      <c r="E246" s="92">
        <v>627900.0</v>
      </c>
      <c r="F246" s="92">
        <v>400000.0</v>
      </c>
      <c r="G246" s="136">
        <f t="shared" si="4"/>
        <v>1.4010340089599999E7</v>
      </c>
    </row>
    <row r="247" spans="8:8" ht="15.75">
      <c r="A247" s="116" t="s">
        <v>257</v>
      </c>
      <c r="B247" s="117" t="s">
        <v>196</v>
      </c>
      <c r="C247" s="97">
        <v>800.0</v>
      </c>
      <c r="D247" s="97">
        <v>2.03997201408E7</v>
      </c>
      <c r="E247" s="92">
        <v>627900.0</v>
      </c>
      <c r="F247" s="92">
        <v>400000.0</v>
      </c>
      <c r="G247" s="136">
        <f t="shared" si="4"/>
        <v>2.14284201408E7</v>
      </c>
    </row>
    <row r="248" spans="8:8" ht="15.75">
      <c r="A248" s="116" t="s">
        <v>258</v>
      </c>
      <c r="B248" s="117" t="s">
        <v>196</v>
      </c>
      <c r="C248" s="97">
        <v>800.0</v>
      </c>
      <c r="D248" s="97">
        <v>1.2981640089599999E7</v>
      </c>
      <c r="E248" s="92">
        <v>627900.0</v>
      </c>
      <c r="F248" s="92">
        <v>400000.0</v>
      </c>
      <c r="G248" s="136">
        <f t="shared" si="4"/>
        <v>1.4010340089599999E7</v>
      </c>
    </row>
    <row r="249" spans="8:8" ht="15.75">
      <c r="A249" s="116" t="s">
        <v>259</v>
      </c>
      <c r="B249" s="117" t="s">
        <v>196</v>
      </c>
      <c r="C249" s="97">
        <v>800.0</v>
      </c>
      <c r="D249" s="97">
        <v>1.2981640089599999E7</v>
      </c>
      <c r="E249" s="92">
        <v>627900.0</v>
      </c>
      <c r="F249" s="92">
        <v>400000.0</v>
      </c>
      <c r="G249" s="136">
        <f t="shared" si="4"/>
        <v>1.4010340089599999E7</v>
      </c>
    </row>
    <row r="250" spans="8:8" ht="15.75">
      <c r="A250" s="116" t="s">
        <v>260</v>
      </c>
      <c r="B250" s="117" t="s">
        <v>196</v>
      </c>
      <c r="C250" s="97">
        <v>800.0</v>
      </c>
      <c r="D250" s="97">
        <v>2.03997201408E7</v>
      </c>
      <c r="E250" s="92">
        <v>627900.0</v>
      </c>
      <c r="F250" s="92">
        <v>400000.0</v>
      </c>
      <c r="G250" s="136">
        <f t="shared" si="4"/>
        <v>2.14284201408E7</v>
      </c>
    </row>
    <row r="251" spans="8:8" ht="15.75">
      <c r="A251" s="116" t="s">
        <v>261</v>
      </c>
      <c r="B251" s="117" t="s">
        <v>196</v>
      </c>
      <c r="C251" s="97">
        <v>800.0</v>
      </c>
      <c r="D251" s="97">
        <v>1.8545200128E7</v>
      </c>
      <c r="E251" s="92">
        <v>627900.0</v>
      </c>
      <c r="F251" s="92">
        <v>400000.0</v>
      </c>
      <c r="G251" s="136">
        <f t="shared" si="4"/>
        <v>1.9573900128E7</v>
      </c>
    </row>
    <row r="252" spans="8:8" ht="15.75">
      <c r="A252" s="116" t="s">
        <v>262</v>
      </c>
      <c r="B252" s="117" t="s">
        <v>196</v>
      </c>
      <c r="C252" s="97">
        <v>800.0</v>
      </c>
      <c r="D252" s="97">
        <v>1.8545200128E7</v>
      </c>
      <c r="E252" s="92">
        <v>627900.0</v>
      </c>
      <c r="F252" s="92">
        <v>400000.0</v>
      </c>
      <c r="G252" s="136">
        <f t="shared" si="4"/>
        <v>1.9573900128E7</v>
      </c>
    </row>
    <row r="253" spans="8:8" ht="15.75">
      <c r="A253" s="116" t="s">
        <v>263</v>
      </c>
      <c r="B253" s="117" t="s">
        <v>196</v>
      </c>
      <c r="C253" s="97">
        <v>800.0</v>
      </c>
      <c r="D253" s="97">
        <v>1.2981640089599999E7</v>
      </c>
      <c r="E253" s="92">
        <v>627900.0</v>
      </c>
      <c r="F253" s="92">
        <v>400000.0</v>
      </c>
      <c r="G253" s="136">
        <f t="shared" si="4"/>
        <v>1.4010340089599999E7</v>
      </c>
    </row>
    <row r="254" spans="8:8" ht="15.75">
      <c r="A254" s="116" t="s">
        <v>264</v>
      </c>
      <c r="B254" s="117" t="s">
        <v>196</v>
      </c>
      <c r="C254" s="97">
        <v>800.0</v>
      </c>
      <c r="D254" s="97">
        <v>1.8545200128E7</v>
      </c>
      <c r="E254" s="92">
        <v>627900.0</v>
      </c>
      <c r="F254" s="92">
        <v>400000.0</v>
      </c>
      <c r="G254" s="136">
        <f t="shared" si="4"/>
        <v>1.9573900128E7</v>
      </c>
    </row>
    <row r="255" spans="8:8" ht="15.75">
      <c r="A255" s="116" t="s">
        <v>265</v>
      </c>
      <c r="B255" s="117" t="s">
        <v>196</v>
      </c>
      <c r="C255" s="97">
        <v>800.0</v>
      </c>
      <c r="D255" s="97">
        <v>1.2981640089599999E7</v>
      </c>
      <c r="E255" s="92">
        <v>627900.0</v>
      </c>
      <c r="F255" s="92">
        <v>400000.0</v>
      </c>
      <c r="G255" s="136">
        <f t="shared" si="4"/>
        <v>1.4010340089599999E7</v>
      </c>
    </row>
    <row r="256" spans="8:8" ht="15.75">
      <c r="A256" s="116" t="s">
        <v>266</v>
      </c>
      <c r="B256" s="117" t="s">
        <v>196</v>
      </c>
      <c r="C256" s="97">
        <v>800.0</v>
      </c>
      <c r="D256" s="97">
        <v>1.2981640089599999E7</v>
      </c>
      <c r="E256" s="92">
        <v>627900.0</v>
      </c>
      <c r="F256" s="92">
        <v>400000.0</v>
      </c>
      <c r="G256" s="136">
        <f t="shared" si="4"/>
        <v>1.4010340089599999E7</v>
      </c>
    </row>
    <row r="257" spans="8:8" ht="15.75">
      <c r="A257" s="116" t="s">
        <v>267</v>
      </c>
      <c r="B257" s="117" t="s">
        <v>196</v>
      </c>
      <c r="C257" s="97">
        <v>800.0</v>
      </c>
      <c r="D257" s="97">
        <v>1.2981640089599999E7</v>
      </c>
      <c r="E257" s="92">
        <v>627900.0</v>
      </c>
      <c r="F257" s="92">
        <v>400000.0</v>
      </c>
      <c r="G257" s="136">
        <f t="shared" si="4"/>
        <v>1.4010340089599999E7</v>
      </c>
    </row>
    <row r="258" spans="8:8" ht="15.75">
      <c r="A258" s="116" t="s">
        <v>268</v>
      </c>
      <c r="B258" s="117" t="s">
        <v>196</v>
      </c>
      <c r="C258" s="97">
        <v>800.0</v>
      </c>
      <c r="D258" s="97">
        <v>1.2981640089599999E7</v>
      </c>
      <c r="E258" s="92">
        <v>627900.0</v>
      </c>
      <c r="F258" s="92">
        <v>400000.0</v>
      </c>
      <c r="G258" s="136">
        <f t="shared" si="4"/>
        <v>1.4010340089599999E7</v>
      </c>
    </row>
    <row r="259" spans="8:8" ht="15.75">
      <c r="A259" s="111" t="s">
        <v>269</v>
      </c>
      <c r="B259" s="119" t="s">
        <v>196</v>
      </c>
      <c r="C259" s="113">
        <v>800.0</v>
      </c>
      <c r="D259" s="113">
        <v>1.3445270092800003E7</v>
      </c>
      <c r="E259" s="114">
        <v>627900.0</v>
      </c>
      <c r="F259" s="114">
        <v>400000.0</v>
      </c>
      <c r="G259" s="137">
        <f t="shared" si="4"/>
        <v>1.4473970092800003E7</v>
      </c>
    </row>
    <row r="260" spans="8:8" ht="16.5">
      <c r="A260" s="116" t="s">
        <v>270</v>
      </c>
      <c r="B260" s="117" t="s">
        <v>196</v>
      </c>
      <c r="C260" s="97">
        <v>800.0</v>
      </c>
      <c r="D260" s="97">
        <v>1.2981640089599999E7</v>
      </c>
      <c r="E260" s="101">
        <v>627900.0</v>
      </c>
      <c r="F260" s="101">
        <v>400000.0</v>
      </c>
      <c r="G260" s="138">
        <f t="shared" si="4"/>
        <v>1.4010340089599999E7</v>
      </c>
    </row>
    <row r="261" spans="8:8" ht="15.75">
      <c r="A261" s="116" t="s">
        <v>271</v>
      </c>
      <c r="B261" s="117" t="s">
        <v>196</v>
      </c>
      <c r="C261" s="97">
        <v>800.0</v>
      </c>
      <c r="D261" s="97">
        <v>1.2981640089599999E7</v>
      </c>
      <c r="E261" s="92">
        <v>627900.0</v>
      </c>
      <c r="F261" s="92">
        <v>400000.0</v>
      </c>
      <c r="G261" s="136">
        <f t="shared" si="4"/>
        <v>1.4010340089599999E7</v>
      </c>
    </row>
    <row r="262" spans="8:8" ht="15.75">
      <c r="A262" s="116" t="s">
        <v>272</v>
      </c>
      <c r="B262" s="117" t="s">
        <v>196</v>
      </c>
      <c r="C262" s="97">
        <v>800.0</v>
      </c>
      <c r="D262" s="97">
        <v>1.2981640089599999E7</v>
      </c>
      <c r="E262" s="92">
        <v>627900.0</v>
      </c>
      <c r="F262" s="92">
        <v>400000.0</v>
      </c>
      <c r="G262" s="136">
        <f t="shared" si="4"/>
        <v>1.4010340089599999E7</v>
      </c>
    </row>
    <row r="263" spans="8:8" ht="15.75">
      <c r="A263" s="116" t="s">
        <v>273</v>
      </c>
      <c r="B263" s="117" t="s">
        <v>196</v>
      </c>
      <c r="C263" s="97">
        <v>800.0</v>
      </c>
      <c r="D263" s="97">
        <v>1.8545200128E7</v>
      </c>
      <c r="E263" s="92">
        <v>627900.0</v>
      </c>
      <c r="F263" s="92">
        <v>400000.0</v>
      </c>
      <c r="G263" s="136">
        <f t="shared" si="4"/>
        <v>1.9573900128E7</v>
      </c>
    </row>
    <row r="264" spans="8:8" ht="15.75">
      <c r="A264" s="116" t="s">
        <v>274</v>
      </c>
      <c r="B264" s="117" t="s">
        <v>196</v>
      </c>
      <c r="C264" s="97">
        <v>800.0</v>
      </c>
      <c r="D264" s="97">
        <v>1.2981640089599999E7</v>
      </c>
      <c r="E264" s="92">
        <v>627900.0</v>
      </c>
      <c r="F264" s="92">
        <v>400000.0</v>
      </c>
      <c r="G264" s="136">
        <f t="shared" si="4"/>
        <v>1.4010340089599999E7</v>
      </c>
    </row>
    <row r="265" spans="8:8" ht="15.75">
      <c r="A265" s="116" t="s">
        <v>275</v>
      </c>
      <c r="B265" s="117" t="s">
        <v>196</v>
      </c>
      <c r="C265" s="97">
        <v>800.0</v>
      </c>
      <c r="D265" s="97">
        <v>1.2981640089599999E7</v>
      </c>
      <c r="E265" s="92">
        <v>627900.0</v>
      </c>
      <c r="F265" s="92">
        <v>400000.0</v>
      </c>
      <c r="G265" s="136">
        <f t="shared" si="4"/>
        <v>1.4010340089599999E7</v>
      </c>
    </row>
    <row r="266" spans="8:8" ht="15.75">
      <c r="A266" s="116" t="s">
        <v>276</v>
      </c>
      <c r="B266" s="117" t="s">
        <v>196</v>
      </c>
      <c r="C266" s="97">
        <v>800.0</v>
      </c>
      <c r="D266" s="97">
        <v>1.8545200128E7</v>
      </c>
      <c r="E266" s="92">
        <v>627900.0</v>
      </c>
      <c r="F266" s="92">
        <v>400000.0</v>
      </c>
      <c r="G266" s="136">
        <f t="shared" si="4"/>
        <v>1.9573900128E7</v>
      </c>
    </row>
    <row r="267" spans="8:8" ht="15.75">
      <c r="A267" s="111" t="s">
        <v>277</v>
      </c>
      <c r="B267" s="119" t="s">
        <v>196</v>
      </c>
      <c r="C267" s="113">
        <v>800.0</v>
      </c>
      <c r="D267" s="113">
        <v>1.2981640089599999E7</v>
      </c>
      <c r="E267" s="114">
        <v>627900.0</v>
      </c>
      <c r="F267" s="114">
        <v>400000.0</v>
      </c>
      <c r="G267" s="137">
        <f t="shared" si="4"/>
        <v>1.4010340089599999E7</v>
      </c>
    </row>
    <row r="268" spans="8:8" ht="16.5">
      <c r="A268" s="116" t="s">
        <v>278</v>
      </c>
      <c r="B268" s="117" t="s">
        <v>196</v>
      </c>
      <c r="C268" s="97">
        <v>800.0</v>
      </c>
      <c r="D268" s="97">
        <v>6.212642042880001E7</v>
      </c>
      <c r="E268" s="101">
        <v>627900.0</v>
      </c>
      <c r="F268" s="101">
        <v>400000.0</v>
      </c>
      <c r="G268" s="138">
        <f t="shared" si="4"/>
        <v>6.315512042880001E7</v>
      </c>
    </row>
    <row r="269" spans="8:8" ht="15.75">
      <c r="A269" s="116" t="s">
        <v>279</v>
      </c>
      <c r="B269" s="117" t="s">
        <v>196</v>
      </c>
      <c r="C269" s="97">
        <v>800.0</v>
      </c>
      <c r="D269" s="97">
        <v>4.35812203008E7</v>
      </c>
      <c r="E269" s="92">
        <v>627900.0</v>
      </c>
      <c r="F269" s="92">
        <v>400000.0</v>
      </c>
      <c r="G269" s="136">
        <f t="shared" si="4"/>
        <v>4.46099203008E7</v>
      </c>
    </row>
    <row r="270" spans="8:8" ht="15.75">
      <c r="A270" s="111" t="s">
        <v>280</v>
      </c>
      <c r="B270" s="119" t="s">
        <v>196</v>
      </c>
      <c r="C270" s="113">
        <v>9301219.200000001</v>
      </c>
      <c r="D270" s="113">
        <v>1.3747406400000002E7</v>
      </c>
      <c r="E270" s="114">
        <v>627900.0</v>
      </c>
      <c r="F270" s="114">
        <v>400000.0</v>
      </c>
      <c r="G270" s="137">
        <f t="shared" si="4"/>
        <v>2.40765256E7</v>
      </c>
    </row>
    <row r="271" spans="8:8" ht="16.5">
      <c r="A271" s="116" t="s">
        <v>281</v>
      </c>
      <c r="B271" s="117" t="s">
        <v>282</v>
      </c>
      <c r="C271" s="97">
        <v>6000000.0</v>
      </c>
      <c r="D271" s="101">
        <v>0.0</v>
      </c>
      <c r="E271" s="75"/>
      <c r="F271" s="75"/>
      <c r="G271" s="138">
        <f t="shared" si="4"/>
        <v>6000000.0</v>
      </c>
    </row>
    <row r="272" spans="8:8" ht="15.75">
      <c r="A272" s="116" t="s">
        <v>283</v>
      </c>
      <c r="B272" s="117" t="s">
        <v>282</v>
      </c>
      <c r="C272" s="97">
        <v>6000000.0</v>
      </c>
      <c r="D272" s="101">
        <v>0.0</v>
      </c>
      <c r="E272" s="75"/>
      <c r="F272" s="75"/>
      <c r="G272" s="136">
        <f t="shared" si="4"/>
        <v>6000000.0</v>
      </c>
    </row>
    <row r="273" spans="8:8" ht="15.75">
      <c r="A273" s="116" t="s">
        <v>284</v>
      </c>
      <c r="B273" s="126" t="s">
        <v>285</v>
      </c>
      <c r="C273" s="96">
        <v>100000.0</v>
      </c>
      <c r="D273" s="101">
        <v>0.0</v>
      </c>
      <c r="E273" s="75"/>
      <c r="F273" s="75"/>
      <c r="G273" s="136">
        <f t="shared" si="4"/>
        <v>100000.0</v>
      </c>
    </row>
    <row r="274" spans="8:8" ht="15.75">
      <c r="A274" s="116" t="s">
        <v>286</v>
      </c>
      <c r="B274" s="126" t="s">
        <v>285</v>
      </c>
      <c r="C274" s="96">
        <v>500000.0</v>
      </c>
      <c r="D274" s="101">
        <v>0.0</v>
      </c>
      <c r="E274" s="75"/>
      <c r="F274" s="75"/>
      <c r="G274" s="136">
        <f t="shared" si="4"/>
        <v>500000.0</v>
      </c>
    </row>
    <row r="275" spans="8:8" ht="15.75">
      <c r="A275" s="116" t="s">
        <v>4</v>
      </c>
      <c r="B275" s="126" t="s">
        <v>285</v>
      </c>
      <c r="C275" s="96">
        <v>627900.0</v>
      </c>
      <c r="D275" s="101">
        <v>0.0</v>
      </c>
      <c r="E275" s="75"/>
      <c r="F275" s="75"/>
      <c r="G275" s="136">
        <f t="shared" si="4"/>
        <v>627900.0</v>
      </c>
    </row>
    <row r="276" spans="8:8" ht="15.75">
      <c r="A276" s="116" t="s">
        <v>287</v>
      </c>
      <c r="B276" s="126" t="s">
        <v>285</v>
      </c>
      <c r="C276" s="96">
        <v>500000.0</v>
      </c>
      <c r="D276" s="101">
        <v>0.0</v>
      </c>
      <c r="E276" s="75"/>
      <c r="F276" s="75"/>
      <c r="G276" s="136">
        <f t="shared" si="4"/>
        <v>500000.0</v>
      </c>
    </row>
    <row r="277" spans="8:8" ht="15.75">
      <c r="A277" s="116" t="s">
        <v>5</v>
      </c>
      <c r="B277" s="126" t="s">
        <v>285</v>
      </c>
      <c r="C277" s="96">
        <v>400000.0</v>
      </c>
      <c r="D277" s="101">
        <v>0.0</v>
      </c>
      <c r="E277" s="75"/>
      <c r="F277" s="75"/>
      <c r="G277" s="136">
        <f t="shared" si="4"/>
        <v>400000.0</v>
      </c>
      <c r="I277" s="97"/>
    </row>
    <row r="278" spans="8:8" ht="15.75">
      <c r="A278" s="116" t="s">
        <v>288</v>
      </c>
      <c r="B278" s="126" t="s">
        <v>285</v>
      </c>
      <c r="C278" s="96">
        <v>7783200.0</v>
      </c>
      <c r="D278" s="101">
        <v>0.0</v>
      </c>
      <c r="E278" s="75"/>
      <c r="F278" s="75"/>
      <c r="G278" s="136">
        <f t="shared" si="4"/>
        <v>7783200.0</v>
      </c>
      <c r="I278" s="97"/>
    </row>
    <row r="279" spans="8:8" ht="15.75">
      <c r="A279" s="116" t="s">
        <v>289</v>
      </c>
      <c r="B279" s="126" t="s">
        <v>290</v>
      </c>
      <c r="C279" s="97">
        <v>4183130.0</v>
      </c>
      <c r="D279" s="97">
        <v>3956309.0</v>
      </c>
      <c r="E279" s="92">
        <v>627900.0</v>
      </c>
      <c r="F279" s="92">
        <v>400000.0</v>
      </c>
      <c r="G279" s="144">
        <f t="shared" si="4"/>
        <v>9167339.0</v>
      </c>
    </row>
    <row r="280" spans="8:8" ht="15.75">
      <c r="A280" s="116" t="s">
        <v>291</v>
      </c>
      <c r="B280" s="126" t="s">
        <v>290</v>
      </c>
      <c r="C280" s="97">
        <v>4182750.0</v>
      </c>
      <c r="D280" s="97">
        <v>2585700.0</v>
      </c>
      <c r="E280" s="92">
        <v>627900.0</v>
      </c>
      <c r="F280" s="92">
        <v>400000.0</v>
      </c>
      <c r="G280" s="145">
        <f t="shared" si="4"/>
        <v>7796350.0</v>
      </c>
    </row>
  </sheetData>
  <pageMargins left="0.7" right="0.7" top="0.31" bottom="0.39" header="0.3" footer="0.16"/>
</worksheet>
</file>

<file path=xl/worksheets/sheet8.xml><?xml version="1.0" encoding="utf-8"?>
<worksheet xmlns:r="http://schemas.openxmlformats.org/officeDocument/2006/relationships" xmlns="http://schemas.openxmlformats.org/spreadsheetml/2006/main">
  <dimension ref="A1:I277"/>
  <sheetViews>
    <sheetView workbookViewId="0" topLeftCell="A163">
      <selection activeCell="A204" sqref="A204"/>
    </sheetView>
  </sheetViews>
  <sheetFormatPr defaultRowHeight="15.0" defaultColWidth="10"/>
  <cols>
    <col min="1" max="1" customWidth="1" width="47.570312" style="73"/>
    <col min="2" max="2" customWidth="1" bestFit="1" width="12.5703125" style="0"/>
    <col min="3" max="3" hidden="1" customWidth="1" width="1.4257812" style="74"/>
    <col min="4" max="4" hidden="1" customWidth="1" width="2.0" style="74"/>
    <col min="5" max="5" hidden="1" customWidth="1" width="1.140625" style="74"/>
    <col min="6" max="6" hidden="1" customWidth="1" width="1.2851562" style="74"/>
    <col min="7" max="7" customWidth="1" bestFit="1" width="13.5703125" style="75"/>
    <col min="8" max="8" customWidth="1" width="4.5703125" style="116"/>
  </cols>
  <sheetData>
    <row r="1" spans="8:8" ht="15.75">
      <c r="A1" s="110" t="s">
        <v>0</v>
      </c>
      <c r="B1" s="110" t="s">
        <v>1</v>
      </c>
      <c r="C1" s="78" t="s">
        <v>2</v>
      </c>
      <c r="D1" s="78" t="s">
        <v>3</v>
      </c>
      <c r="E1" s="78" t="s">
        <v>4</v>
      </c>
      <c r="F1" s="78" t="s">
        <v>5</v>
      </c>
      <c r="G1" s="78" t="s">
        <v>6</v>
      </c>
    </row>
    <row r="2" spans="8:8" ht="15.75">
      <c r="A2" s="116" t="s">
        <v>7</v>
      </c>
      <c r="B2" s="135" t="s">
        <v>8</v>
      </c>
      <c r="C2" s="97">
        <v>320.0</v>
      </c>
      <c r="D2" s="97">
        <v>1409586.75</v>
      </c>
      <c r="E2" s="92">
        <v>345000.0</v>
      </c>
      <c r="F2" s="92">
        <v>200000.0</v>
      </c>
      <c r="G2" s="136">
        <f>(C2+D2+E2+F2)</f>
        <v>1954906.75</v>
      </c>
    </row>
    <row r="3" spans="8:8" ht="15.75">
      <c r="A3" s="116" t="s">
        <v>9</v>
      </c>
      <c r="B3" s="117" t="s">
        <v>8</v>
      </c>
      <c r="C3" s="97">
        <v>320.0</v>
      </c>
      <c r="D3" s="97">
        <v>1409586.75</v>
      </c>
      <c r="E3" s="92">
        <v>345000.0</v>
      </c>
      <c r="F3" s="101">
        <v>200000.0</v>
      </c>
      <c r="G3" s="136">
        <f t="shared" si="0" ref="G3:G66">(C3+D3+E3+F3)</f>
        <v>1954906.75</v>
      </c>
    </row>
    <row r="4" spans="8:8" ht="15.75">
      <c r="A4" s="116" t="s">
        <v>10</v>
      </c>
      <c r="B4" s="117" t="s">
        <v>8</v>
      </c>
      <c r="C4" s="97">
        <v>320.0</v>
      </c>
      <c r="D4" s="97">
        <v>2175970.148352</v>
      </c>
      <c r="E4" s="92">
        <v>345000.0</v>
      </c>
      <c r="F4" s="101">
        <v>200000.0</v>
      </c>
      <c r="G4" s="136">
        <f t="shared" si="0"/>
        <v>2721290.148352</v>
      </c>
    </row>
    <row r="5" spans="8:8" ht="15.75">
      <c r="A5" s="116" t="s">
        <v>11</v>
      </c>
      <c r="B5" s="117" t="s">
        <v>8</v>
      </c>
      <c r="C5" s="96">
        <v>320.0</v>
      </c>
      <c r="D5" s="97">
        <v>1320384.8680000002</v>
      </c>
      <c r="E5" s="92">
        <v>345000.0</v>
      </c>
      <c r="F5" s="101">
        <v>200000.0</v>
      </c>
      <c r="G5" s="136">
        <f t="shared" si="0"/>
        <v>1865704.8680000002</v>
      </c>
    </row>
    <row r="6" spans="8:8" ht="15.75">
      <c r="A6" s="146" t="s">
        <v>12</v>
      </c>
      <c r="B6" s="147" t="s">
        <v>13</v>
      </c>
      <c r="C6" s="108">
        <v>1258790.0975769602</v>
      </c>
      <c r="D6" s="108">
        <v>541371.8942521346</v>
      </c>
      <c r="E6" s="98">
        <v>345000.0</v>
      </c>
      <c r="F6" s="148">
        <v>200000.0</v>
      </c>
      <c r="G6" s="144">
        <f t="shared" si="0"/>
        <v>2345161.991829095</v>
      </c>
    </row>
    <row r="7" spans="8:8" ht="15.75">
      <c r="A7" s="116" t="s">
        <v>14</v>
      </c>
      <c r="B7" s="117" t="s">
        <v>13</v>
      </c>
      <c r="C7" s="97">
        <v>1523380.0607999996</v>
      </c>
      <c r="D7" s="97">
        <v>551817.7873108992</v>
      </c>
      <c r="E7" s="101">
        <v>345000.0</v>
      </c>
      <c r="F7" s="101">
        <v>200000.0</v>
      </c>
      <c r="G7" s="138">
        <f t="shared" si="0"/>
        <v>2620197.848110899</v>
      </c>
    </row>
    <row r="8" spans="8:8" ht="15.75">
      <c r="A8" s="116" t="s">
        <v>15</v>
      </c>
      <c r="B8" s="117" t="s">
        <v>13</v>
      </c>
      <c r="C8" s="97">
        <v>1987834.2951167999</v>
      </c>
      <c r="D8" s="97">
        <v>720325.2452917246</v>
      </c>
      <c r="E8" s="92">
        <v>345000.0</v>
      </c>
      <c r="F8" s="101">
        <v>200000.0</v>
      </c>
      <c r="G8" s="136">
        <f t="shared" si="0"/>
        <v>3253159.5404085247</v>
      </c>
    </row>
    <row r="9" spans="8:8" ht="15.75">
      <c r="A9" s="116" t="s">
        <v>16</v>
      </c>
      <c r="B9" s="117" t="s">
        <v>13</v>
      </c>
      <c r="C9" s="97">
        <v>2514576.8524031998</v>
      </c>
      <c r="D9" s="97">
        <v>910411.0739103744</v>
      </c>
      <c r="E9" s="92">
        <v>345000.0</v>
      </c>
      <c r="F9" s="101">
        <v>200000.0</v>
      </c>
      <c r="G9" s="136">
        <f t="shared" si="0"/>
        <v>3969987.9263135744</v>
      </c>
    </row>
    <row r="10" spans="8:8" ht="15.75">
      <c r="A10" s="116" t="s">
        <v>17</v>
      </c>
      <c r="B10" s="117" t="s">
        <v>13</v>
      </c>
      <c r="C10" s="97">
        <v>8747471.431295998</v>
      </c>
      <c r="D10" s="97">
        <v>3169274.145678949</v>
      </c>
      <c r="E10" s="92">
        <v>345000.0</v>
      </c>
      <c r="F10" s="101">
        <v>200000.0</v>
      </c>
      <c r="G10" s="136">
        <f t="shared" si="0"/>
        <v>1.2461745576974947E7</v>
      </c>
    </row>
    <row r="11" spans="8:8" ht="15.75">
      <c r="A11" s="116" t="s">
        <v>18</v>
      </c>
      <c r="B11" s="117" t="s">
        <v>13</v>
      </c>
      <c r="C11" s="97">
        <v>4637796.209279999</v>
      </c>
      <c r="D11" s="97">
        <v>1679385.736640102</v>
      </c>
      <c r="E11" s="92">
        <v>345000.0</v>
      </c>
      <c r="F11" s="101">
        <v>200000.0</v>
      </c>
      <c r="G11" s="136">
        <f t="shared" si="0"/>
        <v>6862181.945920101</v>
      </c>
    </row>
    <row r="12" spans="8:8" ht="15.75">
      <c r="A12" s="116" t="s">
        <v>19</v>
      </c>
      <c r="B12" s="117" t="s">
        <v>13</v>
      </c>
      <c r="C12" s="97">
        <v>2234279.3990400005</v>
      </c>
      <c r="D12" s="97">
        <v>827432.430457651</v>
      </c>
      <c r="E12" s="92">
        <v>345000.0</v>
      </c>
      <c r="F12" s="101">
        <v>200000.0</v>
      </c>
      <c r="G12" s="136">
        <f t="shared" si="0"/>
        <v>3606711.8294976517</v>
      </c>
    </row>
    <row r="13" spans="8:8" ht="15.75">
      <c r="A13" s="116" t="s">
        <v>20</v>
      </c>
      <c r="B13" s="117" t="s">
        <v>13</v>
      </c>
      <c r="C13" s="97">
        <v>2437393.49568</v>
      </c>
      <c r="D13" s="97">
        <v>851364.8051650557</v>
      </c>
      <c r="E13" s="92">
        <v>345000.0</v>
      </c>
      <c r="F13" s="101">
        <v>200000.0</v>
      </c>
      <c r="G13" s="136">
        <f t="shared" si="0"/>
        <v>3833758.300845056</v>
      </c>
    </row>
    <row r="14" spans="8:8" ht="15.75">
      <c r="A14" s="116" t="s">
        <v>21</v>
      </c>
      <c r="B14" s="117" t="s">
        <v>13</v>
      </c>
      <c r="C14" s="97">
        <v>5145581.45088</v>
      </c>
      <c r="D14" s="97">
        <v>1898896.6161285113</v>
      </c>
      <c r="E14" s="92">
        <v>345000.0</v>
      </c>
      <c r="F14" s="101">
        <v>200000.0</v>
      </c>
      <c r="G14" s="136">
        <f t="shared" si="0"/>
        <v>7589478.067008512</v>
      </c>
    </row>
    <row r="15" spans="8:8" ht="15.75">
      <c r="A15" s="116" t="s">
        <v>22</v>
      </c>
      <c r="B15" s="117" t="s">
        <v>13</v>
      </c>
      <c r="C15" s="97">
        <v>2437393.49568</v>
      </c>
      <c r="D15" s="97">
        <v>925908.2673684481</v>
      </c>
      <c r="E15" s="92">
        <v>345000.0</v>
      </c>
      <c r="F15" s="101">
        <v>200000.0</v>
      </c>
      <c r="G15" s="136">
        <f t="shared" si="0"/>
        <v>3908301.763048448</v>
      </c>
    </row>
    <row r="16" spans="8:8" ht="15.75">
      <c r="A16" s="116" t="s">
        <v>23</v>
      </c>
      <c r="B16" s="117" t="s">
        <v>13</v>
      </c>
      <c r="C16" s="97">
        <v>5145581.45088</v>
      </c>
      <c r="D16" s="97">
        <v>2047198.8725121021</v>
      </c>
      <c r="E16" s="92">
        <v>345000.0</v>
      </c>
      <c r="F16" s="101">
        <v>200000.0</v>
      </c>
      <c r="G16" s="136">
        <f t="shared" si="0"/>
        <v>7737780.3233921025</v>
      </c>
    </row>
    <row r="17" spans="8:8" ht="15.75">
      <c r="A17" s="116" t="s">
        <v>24</v>
      </c>
      <c r="B17" s="117" t="s">
        <v>13</v>
      </c>
      <c r="C17" s="97">
        <v>2166574.70016</v>
      </c>
      <c r="D17" s="97">
        <v>800557.5506632704</v>
      </c>
      <c r="E17" s="92">
        <v>345000.0</v>
      </c>
      <c r="F17" s="101">
        <v>200000.0</v>
      </c>
      <c r="G17" s="136">
        <f t="shared" si="0"/>
        <v>3512132.2508232705</v>
      </c>
    </row>
    <row r="18" spans="8:8" ht="15.75">
      <c r="A18" s="116" t="s">
        <v>25</v>
      </c>
      <c r="B18" s="117" t="s">
        <v>13</v>
      </c>
      <c r="C18" s="97">
        <v>2031165.3024000004</v>
      </c>
      <c r="D18" s="97">
        <v>751711.9662194687</v>
      </c>
      <c r="E18" s="92">
        <v>345000.0</v>
      </c>
      <c r="F18" s="101">
        <v>200000.0</v>
      </c>
      <c r="G18" s="136">
        <f t="shared" si="0"/>
        <v>3327877.2686194694</v>
      </c>
    </row>
    <row r="19" spans="8:8" ht="15.75">
      <c r="A19" s="116" t="s">
        <v>26</v>
      </c>
      <c r="B19" s="117" t="s">
        <v>13</v>
      </c>
      <c r="C19" s="97">
        <v>2979031.08672</v>
      </c>
      <c r="D19" s="97">
        <v>1078133.863868006</v>
      </c>
      <c r="E19" s="92">
        <v>345000.0</v>
      </c>
      <c r="F19" s="101">
        <v>200000.0</v>
      </c>
      <c r="G19" s="136">
        <f t="shared" si="0"/>
        <v>4602164.9505880065</v>
      </c>
    </row>
    <row r="20" spans="8:8" ht="15.75">
      <c r="A20" s="116" t="s">
        <v>27</v>
      </c>
      <c r="B20" s="117" t="s">
        <v>13</v>
      </c>
      <c r="C20" s="97">
        <v>2166574.70016</v>
      </c>
      <c r="D20" s="97">
        <v>801146.0516806655</v>
      </c>
      <c r="E20" s="92">
        <v>345000.0</v>
      </c>
      <c r="F20" s="101">
        <v>200000.0</v>
      </c>
      <c r="G20" s="136">
        <f t="shared" si="0"/>
        <v>3512720.7518406655</v>
      </c>
    </row>
    <row r="21" spans="8:8" ht="15.75">
      <c r="A21" s="116" t="s">
        <v>28</v>
      </c>
      <c r="B21" s="117" t="s">
        <v>13</v>
      </c>
      <c r="C21" s="97">
        <v>2979031.08672</v>
      </c>
      <c r="D21" s="97">
        <v>1078133.863868006</v>
      </c>
      <c r="E21" s="92">
        <v>345000.0</v>
      </c>
      <c r="F21" s="101">
        <v>200000.0</v>
      </c>
      <c r="G21" s="136">
        <f t="shared" si="0"/>
        <v>4602164.9505880065</v>
      </c>
    </row>
    <row r="22" spans="8:8" ht="15.75">
      <c r="A22" s="116" t="s">
        <v>29</v>
      </c>
      <c r="B22" s="117" t="s">
        <v>13</v>
      </c>
      <c r="C22" s="97">
        <v>2708212.2912000003</v>
      </c>
      <c r="D22" s="97">
        <v>1122075.273166848</v>
      </c>
      <c r="E22" s="92">
        <v>345000.0</v>
      </c>
      <c r="F22" s="101">
        <v>200000.0</v>
      </c>
      <c r="G22" s="136">
        <f t="shared" si="0"/>
        <v>4375287.564366848</v>
      </c>
    </row>
    <row r="23" spans="8:8" ht="15.75">
      <c r="A23" s="116" t="s">
        <v>30</v>
      </c>
      <c r="B23" s="117" t="s">
        <v>13</v>
      </c>
      <c r="C23" s="97">
        <v>2031165.3024000004</v>
      </c>
      <c r="D23" s="97">
        <v>751711.9662194687</v>
      </c>
      <c r="E23" s="92">
        <v>345000.0</v>
      </c>
      <c r="F23" s="101">
        <v>200000.0</v>
      </c>
      <c r="G23" s="136">
        <f t="shared" si="0"/>
        <v>3327877.2686194694</v>
      </c>
    </row>
    <row r="24" spans="8:8" ht="15.75">
      <c r="A24" s="116" t="s">
        <v>31</v>
      </c>
      <c r="B24" s="117" t="s">
        <v>13</v>
      </c>
      <c r="C24" s="97">
        <v>2031165.3024000004</v>
      </c>
      <c r="D24" s="97">
        <v>751711.9662194687</v>
      </c>
      <c r="E24" s="92">
        <v>345000.0</v>
      </c>
      <c r="F24" s="101">
        <v>200000.0</v>
      </c>
      <c r="G24" s="136">
        <f t="shared" si="0"/>
        <v>3327877.2686194694</v>
      </c>
    </row>
    <row r="25" spans="8:8" ht="15.75">
      <c r="A25" s="116" t="s">
        <v>32</v>
      </c>
      <c r="B25" s="117" t="s">
        <v>13</v>
      </c>
      <c r="C25" s="97">
        <v>3656078.0755199995</v>
      </c>
      <c r="D25" s="97">
        <v>1329227.6312899585</v>
      </c>
      <c r="E25" s="92">
        <v>345000.0</v>
      </c>
      <c r="F25" s="101">
        <v>200000.0</v>
      </c>
      <c r="G25" s="136">
        <f t="shared" si="0"/>
        <v>5530305.706809958</v>
      </c>
    </row>
    <row r="26" spans="8:8" ht="15.75">
      <c r="A26" s="116" t="s">
        <v>33</v>
      </c>
      <c r="B26" s="117" t="s">
        <v>13</v>
      </c>
      <c r="C26" s="97">
        <v>3656078.0755199995</v>
      </c>
      <c r="D26" s="97">
        <v>1329227.6312899585</v>
      </c>
      <c r="E26" s="92">
        <v>345000.0</v>
      </c>
      <c r="F26" s="101">
        <v>200000.0</v>
      </c>
      <c r="G26" s="136">
        <f t="shared" si="0"/>
        <v>5530305.706809958</v>
      </c>
    </row>
    <row r="27" spans="8:8" ht="15.75">
      <c r="A27" s="116" t="s">
        <v>34</v>
      </c>
      <c r="B27" s="117" t="s">
        <v>13</v>
      </c>
      <c r="C27" s="97">
        <v>2708212.2912000003</v>
      </c>
      <c r="D27" s="97">
        <v>1001236.3975950335</v>
      </c>
      <c r="E27" s="92">
        <v>345000.0</v>
      </c>
      <c r="F27" s="101">
        <v>200000.0</v>
      </c>
      <c r="G27" s="136">
        <f t="shared" si="0"/>
        <v>4254448.688795034</v>
      </c>
    </row>
    <row r="28" spans="8:8" ht="15.75">
      <c r="A28" s="116" t="s">
        <v>35</v>
      </c>
      <c r="B28" s="117" t="s">
        <v>13</v>
      </c>
      <c r="C28" s="97">
        <v>3642537.135744001</v>
      </c>
      <c r="D28" s="97">
        <v>1319419.2810000384</v>
      </c>
      <c r="E28" s="92">
        <v>345000.0</v>
      </c>
      <c r="F28" s="101">
        <v>200000.0</v>
      </c>
      <c r="G28" s="136">
        <f t="shared" si="0"/>
        <v>5506956.416744039</v>
      </c>
    </row>
    <row r="29" spans="8:8" ht="15.75">
      <c r="A29" s="116" t="s">
        <v>36</v>
      </c>
      <c r="B29" s="117" t="s">
        <v>13</v>
      </c>
      <c r="C29" s="97">
        <v>2748835.1105279997</v>
      </c>
      <c r="D29" s="97">
        <v>996136.055444275</v>
      </c>
      <c r="E29" s="92">
        <v>345000.0</v>
      </c>
      <c r="F29" s="101">
        <v>200000.0</v>
      </c>
      <c r="G29" s="136">
        <f t="shared" si="0"/>
        <v>4289971.165972275</v>
      </c>
    </row>
    <row r="30" spans="8:8" ht="15.75">
      <c r="A30" s="146" t="s">
        <v>37</v>
      </c>
      <c r="B30" s="147" t="s">
        <v>13</v>
      </c>
      <c r="C30" s="108">
        <v>1394741.1329280003</v>
      </c>
      <c r="D30" s="108">
        <v>505718.54094827536</v>
      </c>
      <c r="E30" s="98">
        <v>345000.0</v>
      </c>
      <c r="F30" s="148">
        <v>200000.0</v>
      </c>
      <c r="G30" s="144">
        <f t="shared" si="0"/>
        <v>2445459.673876276</v>
      </c>
    </row>
    <row r="31" spans="8:8" ht="15.75">
      <c r="A31" s="116" t="s">
        <v>38</v>
      </c>
      <c r="B31" s="117" t="s">
        <v>13</v>
      </c>
      <c r="C31" s="97">
        <v>1489527.7113599998</v>
      </c>
      <c r="D31" s="97">
        <v>527296.9115860993</v>
      </c>
      <c r="E31" s="101">
        <v>345000.0</v>
      </c>
      <c r="F31" s="101">
        <v>200000.0</v>
      </c>
      <c r="G31" s="138">
        <f t="shared" si="0"/>
        <v>2561824.6229460994</v>
      </c>
    </row>
    <row r="32" spans="8:8" ht="15.75">
      <c r="A32" s="116" t="s">
        <v>39</v>
      </c>
      <c r="B32" s="117" t="s">
        <v>13</v>
      </c>
      <c r="C32" s="97">
        <v>1692641.808</v>
      </c>
      <c r="D32" s="97">
        <v>626557.4165200898</v>
      </c>
      <c r="E32" s="92">
        <v>345000.0</v>
      </c>
      <c r="F32" s="101">
        <v>200000.0</v>
      </c>
      <c r="G32" s="136">
        <f t="shared" si="0"/>
        <v>2864199.22452009</v>
      </c>
    </row>
    <row r="33" spans="8:8" ht="15.75">
      <c r="A33" s="116" t="s">
        <v>40</v>
      </c>
      <c r="B33" s="117" t="s">
        <v>13</v>
      </c>
      <c r="C33" s="97">
        <v>2708212.2912000003</v>
      </c>
      <c r="D33" s="97">
        <v>1001236.3975950335</v>
      </c>
      <c r="E33" s="92">
        <v>345000.0</v>
      </c>
      <c r="F33" s="101">
        <v>200000.0</v>
      </c>
      <c r="G33" s="136">
        <f t="shared" si="0"/>
        <v>4254448.688795034</v>
      </c>
    </row>
    <row r="34" spans="8:8" ht="15.75">
      <c r="A34" s="146" t="s">
        <v>41</v>
      </c>
      <c r="B34" s="147" t="s">
        <v>13</v>
      </c>
      <c r="C34" s="108">
        <v>1218708.91584</v>
      </c>
      <c r="D34" s="108">
        <v>451184.1133363201</v>
      </c>
      <c r="E34" s="98">
        <v>345000.0</v>
      </c>
      <c r="F34" s="148">
        <v>200000.0</v>
      </c>
      <c r="G34" s="144">
        <f t="shared" si="0"/>
        <v>2214893.02917632</v>
      </c>
    </row>
    <row r="35" spans="8:8" ht="15.75">
      <c r="A35" s="149" t="s">
        <v>42</v>
      </c>
      <c r="B35" s="150" t="s">
        <v>13</v>
      </c>
      <c r="C35" s="151">
        <v>1218708.91584</v>
      </c>
      <c r="D35" s="151">
        <v>451184.1133363201</v>
      </c>
      <c r="E35" s="98">
        <v>345000.0</v>
      </c>
      <c r="F35" s="98">
        <v>200000.0</v>
      </c>
      <c r="G35" s="144">
        <f t="shared" si="0"/>
        <v>2214893.02917632</v>
      </c>
    </row>
    <row r="36" spans="8:8" ht="15.75">
      <c r="A36" s="116" t="s">
        <v>43</v>
      </c>
      <c r="B36" s="117" t="s">
        <v>13</v>
      </c>
      <c r="C36" s="97">
        <v>2748835.1105279997</v>
      </c>
      <c r="D36" s="97">
        <v>996136.055444275</v>
      </c>
      <c r="E36" s="101">
        <v>345000.0</v>
      </c>
      <c r="F36" s="101">
        <v>200000.0</v>
      </c>
      <c r="G36" s="138">
        <f t="shared" si="0"/>
        <v>4289971.165972275</v>
      </c>
    </row>
    <row r="37" spans="8:8" ht="15.75">
      <c r="A37" s="116" t="s">
        <v>44</v>
      </c>
      <c r="B37" s="117" t="s">
        <v>13</v>
      </c>
      <c r="C37" s="97">
        <v>1489527.7113599998</v>
      </c>
      <c r="D37" s="97">
        <v>574376.9929777152</v>
      </c>
      <c r="E37" s="92">
        <v>345000.0</v>
      </c>
      <c r="F37" s="101">
        <v>200000.0</v>
      </c>
      <c r="G37" s="136">
        <f t="shared" si="0"/>
        <v>2608904.704337715</v>
      </c>
    </row>
    <row r="38" spans="8:8" ht="15.75">
      <c r="A38" s="116" t="s">
        <v>45</v>
      </c>
      <c r="B38" s="117" t="s">
        <v>13</v>
      </c>
      <c r="C38" s="97">
        <v>5687219.04192</v>
      </c>
      <c r="D38" s="97">
        <v>2055045.552744038</v>
      </c>
      <c r="E38" s="92">
        <v>345000.0</v>
      </c>
      <c r="F38" s="101">
        <v>200000.0</v>
      </c>
      <c r="G38" s="136">
        <f t="shared" si="0"/>
        <v>8287264.594664037</v>
      </c>
    </row>
    <row r="39" spans="8:8" ht="15.75">
      <c r="A39" s="116" t="s">
        <v>46</v>
      </c>
      <c r="B39" s="117" t="s">
        <v>13</v>
      </c>
      <c r="C39" s="97">
        <v>5687219.04192</v>
      </c>
      <c r="D39" s="97">
        <v>2055045.552744038</v>
      </c>
      <c r="E39" s="92">
        <v>345000.0</v>
      </c>
      <c r="F39" s="101">
        <v>200000.0</v>
      </c>
      <c r="G39" s="136">
        <f t="shared" si="0"/>
        <v>8287264.594664037</v>
      </c>
    </row>
    <row r="40" spans="8:8" ht="15.75">
      <c r="A40" s="116" t="s">
        <v>47</v>
      </c>
      <c r="B40" s="117" t="s">
        <v>13</v>
      </c>
      <c r="C40" s="97">
        <v>7989178.80384</v>
      </c>
      <c r="D40" s="97">
        <v>2907979.693955481</v>
      </c>
      <c r="E40" s="92">
        <v>345000.0</v>
      </c>
      <c r="F40" s="101">
        <v>200000.0</v>
      </c>
      <c r="G40" s="136">
        <f t="shared" si="0"/>
        <v>1.1442158497795481E7</v>
      </c>
    </row>
    <row r="41" spans="8:8" ht="15.75">
      <c r="A41" s="116" t="s">
        <v>48</v>
      </c>
      <c r="B41" s="117" t="s">
        <v>13</v>
      </c>
      <c r="C41" s="97">
        <v>3249849.8822399997</v>
      </c>
      <c r="D41" s="97">
        <v>1202896.0795557885</v>
      </c>
      <c r="E41" s="92">
        <v>345000.0</v>
      </c>
      <c r="F41" s="101">
        <v>200000.0</v>
      </c>
      <c r="G41" s="136">
        <f t="shared" si="0"/>
        <v>4997745.961795788</v>
      </c>
    </row>
    <row r="42" spans="8:8" ht="15.75">
      <c r="A42" s="146" t="s">
        <v>49</v>
      </c>
      <c r="B42" s="147" t="s">
        <v>13</v>
      </c>
      <c r="C42" s="108">
        <v>1218708.91584</v>
      </c>
      <c r="D42" s="108">
        <v>451184.1133363201</v>
      </c>
      <c r="E42" s="98">
        <v>345000.0</v>
      </c>
      <c r="F42" s="148">
        <v>200000.0</v>
      </c>
      <c r="G42" s="144">
        <f t="shared" si="0"/>
        <v>2214893.02917632</v>
      </c>
    </row>
    <row r="43" spans="8:8" ht="15.75">
      <c r="A43" s="149" t="s">
        <v>50</v>
      </c>
      <c r="B43" s="150" t="s">
        <v>13</v>
      </c>
      <c r="C43" s="151">
        <v>1218708.91584</v>
      </c>
      <c r="D43" s="151">
        <v>451184.1133363201</v>
      </c>
      <c r="E43" s="98">
        <v>345000.0</v>
      </c>
      <c r="F43" s="98">
        <v>200000.0</v>
      </c>
      <c r="G43" s="144">
        <f t="shared" si="0"/>
        <v>2214893.02917632</v>
      </c>
    </row>
    <row r="44" spans="8:8" ht="15.75">
      <c r="A44" s="116" t="s">
        <v>51</v>
      </c>
      <c r="B44" s="117" t="s">
        <v>13</v>
      </c>
      <c r="C44" s="97">
        <v>1218708.91584</v>
      </c>
      <c r="D44" s="97">
        <v>451184.1133363201</v>
      </c>
      <c r="E44" s="101">
        <v>345000.0</v>
      </c>
      <c r="F44" s="101">
        <v>200000.0</v>
      </c>
      <c r="G44" s="138">
        <f t="shared" si="0"/>
        <v>2214893.02917632</v>
      </c>
    </row>
    <row r="45" spans="8:8" ht="15.75">
      <c r="A45" s="116" t="s">
        <v>52</v>
      </c>
      <c r="B45" s="117" t="s">
        <v>13</v>
      </c>
      <c r="C45" s="97">
        <v>1218708.91584</v>
      </c>
      <c r="D45" s="97">
        <v>438629.42496522237</v>
      </c>
      <c r="E45" s="92">
        <v>345000.0</v>
      </c>
      <c r="F45" s="101">
        <v>200000.0</v>
      </c>
      <c r="G45" s="136">
        <f t="shared" si="0"/>
        <v>2202338.3408052223</v>
      </c>
    </row>
    <row r="46" spans="8:8" ht="15.75">
      <c r="A46" s="116" t="s">
        <v>53</v>
      </c>
      <c r="B46" s="117" t="s">
        <v>13</v>
      </c>
      <c r="C46" s="97">
        <v>1665559.9284479998</v>
      </c>
      <c r="D46" s="97">
        <v>606940.7159402495</v>
      </c>
      <c r="E46" s="92">
        <v>345000.0</v>
      </c>
      <c r="F46" s="101">
        <v>200000.0</v>
      </c>
      <c r="G46" s="136">
        <f t="shared" si="0"/>
        <v>2817500.644388249</v>
      </c>
    </row>
    <row r="47" spans="8:8" ht="15.75">
      <c r="A47" s="116" t="s">
        <v>54</v>
      </c>
      <c r="B47" s="117" t="s">
        <v>13</v>
      </c>
      <c r="C47" s="97">
        <v>2640507.5923200008</v>
      </c>
      <c r="D47" s="97">
        <v>952194.6461454334</v>
      </c>
      <c r="E47" s="92">
        <v>345000.0</v>
      </c>
      <c r="F47" s="101">
        <v>200000.0</v>
      </c>
      <c r="G47" s="136">
        <f t="shared" si="0"/>
        <v>4137702.238465434</v>
      </c>
    </row>
    <row r="48" spans="8:8" ht="15.75">
      <c r="A48" s="116" t="s">
        <v>55</v>
      </c>
      <c r="B48" s="117" t="s">
        <v>13</v>
      </c>
      <c r="C48" s="97">
        <v>1394741.1329280003</v>
      </c>
      <c r="D48" s="97">
        <v>505718.54094827536</v>
      </c>
      <c r="E48" s="92">
        <v>345000.0</v>
      </c>
      <c r="F48" s="101">
        <v>200000.0</v>
      </c>
      <c r="G48" s="136">
        <f t="shared" si="0"/>
        <v>2445459.673876276</v>
      </c>
    </row>
    <row r="49" spans="8:8" ht="15.75">
      <c r="A49" s="116" t="s">
        <v>56</v>
      </c>
      <c r="B49" s="117" t="s">
        <v>13</v>
      </c>
      <c r="C49" s="97">
        <v>1828051.2057599998</v>
      </c>
      <c r="D49" s="97">
        <v>675991.5019812864</v>
      </c>
      <c r="E49" s="92">
        <v>345000.0</v>
      </c>
      <c r="F49" s="101">
        <v>200000.0</v>
      </c>
      <c r="G49" s="136">
        <f t="shared" si="0"/>
        <v>3049042.707741286</v>
      </c>
    </row>
    <row r="50" spans="8:8" ht="15.75">
      <c r="A50" s="116" t="s">
        <v>59</v>
      </c>
      <c r="B50" s="117" t="s">
        <v>60</v>
      </c>
      <c r="C50" s="97">
        <v>560.0</v>
      </c>
      <c r="D50" s="97">
        <v>1968263.9069183997</v>
      </c>
      <c r="E50" s="92">
        <v>345000.0</v>
      </c>
      <c r="F50" s="101">
        <v>200000.0</v>
      </c>
      <c r="G50" s="136">
        <f t="shared" si="0"/>
        <v>2513823.9069184</v>
      </c>
    </row>
    <row r="51" spans="8:8" ht="15.75">
      <c r="A51" s="116" t="s">
        <v>61</v>
      </c>
      <c r="B51" s="117" t="s">
        <v>60</v>
      </c>
      <c r="C51" s="97">
        <v>1140750.0</v>
      </c>
      <c r="D51" s="97">
        <v>1978154.6803200003</v>
      </c>
      <c r="E51" s="92">
        <v>345000.0</v>
      </c>
      <c r="F51" s="101">
        <v>200000.0</v>
      </c>
      <c r="G51" s="136">
        <f t="shared" si="0"/>
        <v>3663904.6803200003</v>
      </c>
    </row>
    <row r="52" spans="8:8" ht="15.75">
      <c r="A52" s="116" t="s">
        <v>62</v>
      </c>
      <c r="B52" s="117" t="s">
        <v>60</v>
      </c>
      <c r="C52" s="97">
        <v>380.0</v>
      </c>
      <c r="D52" s="97">
        <v>1127548.1677824</v>
      </c>
      <c r="E52" s="92">
        <v>345000.0</v>
      </c>
      <c r="F52" s="101">
        <v>200000.0</v>
      </c>
      <c r="G52" s="136">
        <f t="shared" si="0"/>
        <v>1672928.1677824</v>
      </c>
    </row>
    <row r="53" spans="8:8" ht="15.75">
      <c r="A53" s="116" t="s">
        <v>63</v>
      </c>
      <c r="B53" s="117" t="s">
        <v>60</v>
      </c>
      <c r="C53" s="97">
        <v>560.0</v>
      </c>
      <c r="D53" s="97">
        <v>265863.98903500807</v>
      </c>
      <c r="E53" s="92">
        <v>345000.0</v>
      </c>
      <c r="F53" s="101">
        <v>200000.0</v>
      </c>
      <c r="G53" s="136">
        <f t="shared" si="0"/>
        <v>811423.989035008</v>
      </c>
    </row>
    <row r="54" spans="8:8" ht="15.75">
      <c r="A54" s="146" t="s">
        <v>64</v>
      </c>
      <c r="B54" s="147" t="s">
        <v>65</v>
      </c>
      <c r="C54" s="108">
        <v>208.0</v>
      </c>
      <c r="D54" s="108">
        <v>1272942.5367859197</v>
      </c>
      <c r="E54" s="98">
        <v>345000.0</v>
      </c>
      <c r="F54" s="148">
        <v>200000.0</v>
      </c>
      <c r="G54" s="144">
        <f t="shared" si="0"/>
        <v>1818150.5367859197</v>
      </c>
    </row>
    <row r="55" spans="8:8" ht="15.75">
      <c r="A55" s="116" t="s">
        <v>66</v>
      </c>
      <c r="B55" s="117" t="s">
        <v>65</v>
      </c>
      <c r="C55" s="97">
        <v>247.0</v>
      </c>
      <c r="D55" s="97">
        <v>2138261.5747583997</v>
      </c>
      <c r="E55" s="101">
        <v>345000.0</v>
      </c>
      <c r="F55" s="101">
        <v>200000.0</v>
      </c>
      <c r="G55" s="138">
        <f t="shared" si="0"/>
        <v>2683508.5747583997</v>
      </c>
    </row>
    <row r="56" spans="8:8" ht="15.75">
      <c r="A56" s="116" t="s">
        <v>67</v>
      </c>
      <c r="B56" s="117" t="s">
        <v>65</v>
      </c>
      <c r="C56" s="97">
        <v>208.0</v>
      </c>
      <c r="D56" s="97">
        <v>1272942.5367859197</v>
      </c>
      <c r="E56" s="92">
        <v>345000.0</v>
      </c>
      <c r="F56" s="101">
        <v>200000.0</v>
      </c>
      <c r="G56" s="136">
        <f t="shared" si="0"/>
        <v>1818150.5367859197</v>
      </c>
    </row>
    <row r="57" spans="8:8" ht="15.75">
      <c r="A57" s="116" t="s">
        <v>68</v>
      </c>
      <c r="B57" s="117" t="s">
        <v>65</v>
      </c>
      <c r="C57" s="97">
        <v>247.0</v>
      </c>
      <c r="D57" s="97">
        <v>2138261.5747583997</v>
      </c>
      <c r="E57" s="92">
        <v>345000.0</v>
      </c>
      <c r="F57" s="101">
        <v>200000.0</v>
      </c>
      <c r="G57" s="136">
        <f t="shared" si="0"/>
        <v>2683508.5747583997</v>
      </c>
    </row>
    <row r="58" spans="8:8" ht="15.75">
      <c r="A58" s="116" t="s">
        <v>69</v>
      </c>
      <c r="B58" s="117" t="s">
        <v>65</v>
      </c>
      <c r="C58" s="97">
        <v>325.0</v>
      </c>
      <c r="D58" s="97">
        <v>3152684.02176</v>
      </c>
      <c r="E58" s="92">
        <v>345000.0</v>
      </c>
      <c r="F58" s="101">
        <v>200000.0</v>
      </c>
      <c r="G58" s="136">
        <f t="shared" si="0"/>
        <v>3698009.02176</v>
      </c>
    </row>
    <row r="59" spans="8:8" ht="15.75">
      <c r="A59" s="116" t="s">
        <v>70</v>
      </c>
      <c r="B59" s="117" t="s">
        <v>65</v>
      </c>
      <c r="C59" s="97">
        <v>208.0</v>
      </c>
      <c r="D59" s="97">
        <v>1272942.5367859197</v>
      </c>
      <c r="E59" s="92">
        <v>345000.0</v>
      </c>
      <c r="F59" s="101">
        <v>200000.0</v>
      </c>
      <c r="G59" s="136">
        <f t="shared" si="0"/>
        <v>1818150.5367859197</v>
      </c>
    </row>
    <row r="60" spans="8:8" ht="15.75">
      <c r="A60" s="116" t="s">
        <v>71</v>
      </c>
      <c r="B60" s="117" t="s">
        <v>65</v>
      </c>
      <c r="C60" s="97">
        <v>286.0</v>
      </c>
      <c r="D60" s="97">
        <v>2842979.1796224</v>
      </c>
      <c r="E60" s="92">
        <v>345000.0</v>
      </c>
      <c r="F60" s="101">
        <v>200000.0</v>
      </c>
      <c r="G60" s="136">
        <f t="shared" si="0"/>
        <v>3388265.1796224</v>
      </c>
    </row>
    <row r="61" spans="8:8" ht="15.75">
      <c r="A61" s="116" t="s">
        <v>72</v>
      </c>
      <c r="B61" s="117" t="s">
        <v>65</v>
      </c>
      <c r="C61" s="97">
        <v>247.0</v>
      </c>
      <c r="D61" s="97">
        <v>2138261.5747583997</v>
      </c>
      <c r="E61" s="92">
        <v>345000.0</v>
      </c>
      <c r="F61" s="101">
        <v>200000.0</v>
      </c>
      <c r="G61" s="136">
        <f t="shared" si="0"/>
        <v>2683508.5747583997</v>
      </c>
    </row>
    <row r="62" spans="8:8" ht="15.75">
      <c r="A62" s="116" t="s">
        <v>73</v>
      </c>
      <c r="B62" s="117" t="s">
        <v>65</v>
      </c>
      <c r="C62" s="97">
        <v>208.0</v>
      </c>
      <c r="D62" s="97">
        <v>1112217.46900992</v>
      </c>
      <c r="E62" s="92">
        <v>345000.0</v>
      </c>
      <c r="F62" s="101">
        <v>200000.0</v>
      </c>
      <c r="G62" s="136">
        <f t="shared" si="0"/>
        <v>1657425.46900992</v>
      </c>
    </row>
    <row r="63" spans="8:8" ht="15.75">
      <c r="A63" s="116" t="s">
        <v>74</v>
      </c>
      <c r="B63" s="117" t="s">
        <v>65</v>
      </c>
      <c r="C63" s="97">
        <v>247.0</v>
      </c>
      <c r="D63" s="97">
        <v>2045535.5741184005</v>
      </c>
      <c r="E63" s="92">
        <v>345000.0</v>
      </c>
      <c r="F63" s="101">
        <v>200000.0</v>
      </c>
      <c r="G63" s="136">
        <f t="shared" si="0"/>
        <v>2590782.5741184005</v>
      </c>
    </row>
    <row r="64" spans="8:8" ht="15.75">
      <c r="A64" s="116" t="s">
        <v>75</v>
      </c>
      <c r="B64" s="117" t="s">
        <v>65</v>
      </c>
      <c r="C64" s="97">
        <v>247.0</v>
      </c>
      <c r="D64" s="97">
        <v>4829170.113331201</v>
      </c>
      <c r="E64" s="92">
        <v>345000.0</v>
      </c>
      <c r="F64" s="101">
        <v>200000.0</v>
      </c>
      <c r="G64" s="136">
        <f t="shared" si="0"/>
        <v>5374417.113331201</v>
      </c>
    </row>
    <row r="65" spans="8:8" ht="15.75">
      <c r="A65" s="116" t="s">
        <v>76</v>
      </c>
      <c r="B65" s="117" t="s">
        <v>65</v>
      </c>
      <c r="C65" s="97">
        <v>208.0</v>
      </c>
      <c r="D65" s="97">
        <v>1272942.5367859197</v>
      </c>
      <c r="E65" s="92">
        <v>345000.0</v>
      </c>
      <c r="F65" s="101">
        <v>200000.0</v>
      </c>
      <c r="G65" s="136">
        <f t="shared" si="0"/>
        <v>1818150.5367859197</v>
      </c>
    </row>
    <row r="66" spans="8:8" ht="15.75">
      <c r="A66" s="116" t="s">
        <v>77</v>
      </c>
      <c r="B66" s="117" t="s">
        <v>65</v>
      </c>
      <c r="C66" s="97">
        <v>247.0</v>
      </c>
      <c r="D66" s="97">
        <v>2045535.5741184005</v>
      </c>
      <c r="E66" s="92">
        <v>345000.0</v>
      </c>
      <c r="F66" s="101">
        <v>200000.0</v>
      </c>
      <c r="G66" s="136">
        <f t="shared" si="0"/>
        <v>2590782.5741184005</v>
      </c>
    </row>
    <row r="67" spans="8:8" ht="15.75">
      <c r="A67" s="116" t="s">
        <v>78</v>
      </c>
      <c r="B67" s="117" t="s">
        <v>65</v>
      </c>
      <c r="C67" s="97">
        <v>286.0</v>
      </c>
      <c r="D67" s="97">
        <v>2626618.5114623997</v>
      </c>
      <c r="E67" s="92">
        <v>345000.0</v>
      </c>
      <c r="F67" s="101">
        <v>200000.0</v>
      </c>
      <c r="G67" s="136">
        <f t="shared" si="1" ref="G67:G130">(C67+D67+E67+F67)</f>
        <v>3171904.5114623997</v>
      </c>
    </row>
    <row r="68" spans="8:8" ht="15.75">
      <c r="A68" s="116" t="s">
        <v>79</v>
      </c>
      <c r="B68" s="117" t="s">
        <v>65</v>
      </c>
      <c r="C68" s="97">
        <v>325.0</v>
      </c>
      <c r="D68" s="97">
        <v>3152684.02176</v>
      </c>
      <c r="E68" s="92">
        <v>345000.0</v>
      </c>
      <c r="F68" s="101">
        <v>200000.0</v>
      </c>
      <c r="G68" s="136">
        <f t="shared" si="1"/>
        <v>3698009.02176</v>
      </c>
    </row>
    <row r="69" spans="8:8" ht="15.75">
      <c r="A69" s="116" t="s">
        <v>80</v>
      </c>
      <c r="B69" s="117" t="s">
        <v>65</v>
      </c>
      <c r="C69" s="97">
        <v>208.0</v>
      </c>
      <c r="D69" s="97">
        <v>1112217.46900992</v>
      </c>
      <c r="E69" s="92">
        <v>345000.0</v>
      </c>
      <c r="F69" s="101">
        <v>200000.0</v>
      </c>
      <c r="G69" s="136">
        <f t="shared" si="1"/>
        <v>1657425.46900992</v>
      </c>
    </row>
    <row r="70" spans="8:8" ht="15.75">
      <c r="A70" s="116" t="s">
        <v>81</v>
      </c>
      <c r="B70" s="117" t="s">
        <v>65</v>
      </c>
      <c r="C70" s="97">
        <v>247.0</v>
      </c>
      <c r="D70" s="97">
        <v>2045535.5741184005</v>
      </c>
      <c r="E70" s="92">
        <v>345000.0</v>
      </c>
      <c r="F70" s="101">
        <v>200000.0</v>
      </c>
      <c r="G70" s="136">
        <f t="shared" si="1"/>
        <v>2590782.5741184005</v>
      </c>
    </row>
    <row r="71" spans="8:8" ht="15.75">
      <c r="A71" s="116" t="s">
        <v>82</v>
      </c>
      <c r="B71" s="117" t="s">
        <v>65</v>
      </c>
      <c r="C71" s="97">
        <v>208.0</v>
      </c>
      <c r="D71" s="97">
        <v>2117861.8546176</v>
      </c>
      <c r="E71" s="92">
        <v>345000.0</v>
      </c>
      <c r="F71" s="101">
        <v>200000.0</v>
      </c>
      <c r="G71" s="136">
        <f t="shared" si="1"/>
        <v>2663069.8546176</v>
      </c>
    </row>
    <row r="72" spans="8:8" ht="15.75">
      <c r="A72" s="116" t="s">
        <v>83</v>
      </c>
      <c r="B72" s="117" t="s">
        <v>65</v>
      </c>
      <c r="C72" s="97">
        <v>247.0</v>
      </c>
      <c r="D72" s="97">
        <v>4396448.7770112</v>
      </c>
      <c r="E72" s="92">
        <v>345000.0</v>
      </c>
      <c r="F72" s="101">
        <v>200000.0</v>
      </c>
      <c r="G72" s="136">
        <f t="shared" si="1"/>
        <v>4941695.7770112</v>
      </c>
    </row>
    <row r="73" spans="8:8" ht="15.75">
      <c r="A73" s="116" t="s">
        <v>84</v>
      </c>
      <c r="B73" s="117" t="s">
        <v>65</v>
      </c>
      <c r="C73" s="97">
        <v>247.0</v>
      </c>
      <c r="D73" s="97">
        <v>2045535.5741184005</v>
      </c>
      <c r="E73" s="92">
        <v>345000.0</v>
      </c>
      <c r="F73" s="101">
        <v>200000.0</v>
      </c>
      <c r="G73" s="136">
        <f t="shared" si="1"/>
        <v>2590782.5741184005</v>
      </c>
    </row>
    <row r="74" spans="8:8" ht="15.75">
      <c r="A74" s="116" t="s">
        <v>85</v>
      </c>
      <c r="B74" s="117" t="s">
        <v>65</v>
      </c>
      <c r="C74" s="97">
        <v>247.0</v>
      </c>
      <c r="D74" s="97">
        <v>4396448.7770112</v>
      </c>
      <c r="E74" s="92">
        <v>345000.0</v>
      </c>
      <c r="F74" s="101">
        <v>200000.0</v>
      </c>
      <c r="G74" s="136">
        <f t="shared" si="1"/>
        <v>4941695.7770112</v>
      </c>
    </row>
    <row r="75" spans="8:8" ht="15.75">
      <c r="A75" s="146" t="s">
        <v>86</v>
      </c>
      <c r="B75" s="147" t="s">
        <v>65</v>
      </c>
      <c r="C75" s="108">
        <v>247.0</v>
      </c>
      <c r="D75" s="108">
        <v>2045535.5741184005</v>
      </c>
      <c r="E75" s="98">
        <v>345000.0</v>
      </c>
      <c r="F75" s="148">
        <v>200000.0</v>
      </c>
      <c r="G75" s="144">
        <f t="shared" si="1"/>
        <v>2590782.5741184005</v>
      </c>
    </row>
    <row r="76" spans="8:8" ht="15.75">
      <c r="A76" s="116" t="s">
        <v>87</v>
      </c>
      <c r="B76" s="117" t="s">
        <v>65</v>
      </c>
      <c r="C76" s="97">
        <v>286.0</v>
      </c>
      <c r="D76" s="97">
        <v>2410257.8433023994</v>
      </c>
      <c r="E76" s="101">
        <v>345000.0</v>
      </c>
      <c r="F76" s="101">
        <v>200000.0</v>
      </c>
      <c r="G76" s="138">
        <f t="shared" si="1"/>
        <v>2955543.8433023994</v>
      </c>
    </row>
    <row r="77" spans="8:8" ht="15.75">
      <c r="A77" s="116" t="s">
        <v>88</v>
      </c>
      <c r="B77" s="117" t="s">
        <v>65</v>
      </c>
      <c r="C77" s="97">
        <v>325.0</v>
      </c>
      <c r="D77" s="97">
        <v>3152684.02176</v>
      </c>
      <c r="E77" s="92">
        <v>345000.0</v>
      </c>
      <c r="F77" s="101">
        <v>200000.0</v>
      </c>
      <c r="G77" s="136">
        <f t="shared" si="1"/>
        <v>3698009.02176</v>
      </c>
    </row>
    <row r="78" spans="8:8" ht="15.75">
      <c r="A78" s="116" t="s">
        <v>89</v>
      </c>
      <c r="B78" s="117" t="s">
        <v>65</v>
      </c>
      <c r="C78" s="97">
        <v>364.0</v>
      </c>
      <c r="D78" s="97">
        <v>3994636.1075711995</v>
      </c>
      <c r="E78" s="92">
        <v>345000.0</v>
      </c>
      <c r="F78" s="101">
        <v>200000.0</v>
      </c>
      <c r="G78" s="136">
        <f t="shared" si="1"/>
        <v>4540000.1075712</v>
      </c>
    </row>
    <row r="79" spans="8:8" ht="15.75">
      <c r="A79" s="116" t="s">
        <v>90</v>
      </c>
      <c r="B79" s="117" t="s">
        <v>65</v>
      </c>
      <c r="C79" s="97">
        <v>403.0</v>
      </c>
      <c r="D79" s="97">
        <v>4781570.766336</v>
      </c>
      <c r="E79" s="92">
        <v>345000.0</v>
      </c>
      <c r="F79" s="101">
        <v>200000.0</v>
      </c>
      <c r="G79" s="136">
        <f t="shared" si="1"/>
        <v>5326973.766336</v>
      </c>
    </row>
    <row r="80" spans="8:8" ht="15.75">
      <c r="A80" s="116" t="s">
        <v>91</v>
      </c>
      <c r="B80" s="117" t="s">
        <v>65</v>
      </c>
      <c r="C80" s="97">
        <v>442.0</v>
      </c>
      <c r="D80" s="97">
        <v>3271398.0295127044</v>
      </c>
      <c r="E80" s="92">
        <v>345000.0</v>
      </c>
      <c r="F80" s="101">
        <v>200000.0</v>
      </c>
      <c r="G80" s="136">
        <f t="shared" si="1"/>
        <v>3816840.0295127044</v>
      </c>
    </row>
    <row r="81" spans="8:8" ht="15.75">
      <c r="A81" s="116" t="s">
        <v>92</v>
      </c>
      <c r="B81" s="117" t="s">
        <v>65</v>
      </c>
      <c r="C81" s="97">
        <v>208.0</v>
      </c>
      <c r="D81" s="97">
        <v>1272942.5367859197</v>
      </c>
      <c r="E81" s="92">
        <v>345000.0</v>
      </c>
      <c r="F81" s="101">
        <v>200000.0</v>
      </c>
      <c r="G81" s="136">
        <f t="shared" si="1"/>
        <v>1818150.5367859197</v>
      </c>
    </row>
    <row r="82" spans="8:8" ht="15.75">
      <c r="A82" s="116" t="s">
        <v>93</v>
      </c>
      <c r="B82" s="117" t="s">
        <v>65</v>
      </c>
      <c r="C82" s="97">
        <v>247.0</v>
      </c>
      <c r="D82" s="97">
        <v>2138261.5747583997</v>
      </c>
      <c r="E82" s="92">
        <v>345000.0</v>
      </c>
      <c r="F82" s="101">
        <v>200000.0</v>
      </c>
      <c r="G82" s="136">
        <f t="shared" si="1"/>
        <v>2683508.5747583997</v>
      </c>
    </row>
    <row r="83" spans="8:8" ht="15.75">
      <c r="A83" s="116" t="s">
        <v>94</v>
      </c>
      <c r="B83" s="117" t="s">
        <v>65</v>
      </c>
      <c r="C83" s="97">
        <v>325.0</v>
      </c>
      <c r="D83" s="97">
        <v>2758598.5190400006</v>
      </c>
      <c r="E83" s="92">
        <v>345000.0</v>
      </c>
      <c r="F83" s="101">
        <v>200000.0</v>
      </c>
      <c r="G83" s="136">
        <f t="shared" si="1"/>
        <v>3303923.5190400006</v>
      </c>
    </row>
    <row r="84" spans="8:8" ht="15.75">
      <c r="A84" s="146" t="s">
        <v>95</v>
      </c>
      <c r="B84" s="147" t="s">
        <v>65</v>
      </c>
      <c r="C84" s="97">
        <v>247.0</v>
      </c>
      <c r="D84" s="97">
        <v>3621877.5849984</v>
      </c>
      <c r="E84" s="92">
        <v>345000.0</v>
      </c>
      <c r="F84" s="101">
        <v>200000.0</v>
      </c>
      <c r="G84" s="136">
        <f t="shared" si="1"/>
        <v>4167124.5849984</v>
      </c>
    </row>
    <row r="85" spans="8:8" ht="15.75">
      <c r="A85" s="116" t="s">
        <v>96</v>
      </c>
      <c r="B85" s="117" t="s">
        <v>65</v>
      </c>
      <c r="C85" s="97">
        <v>325.0</v>
      </c>
      <c r="D85" s="97">
        <v>4489483.86432</v>
      </c>
      <c r="E85" s="92">
        <v>345000.0</v>
      </c>
      <c r="F85" s="101">
        <v>200000.0</v>
      </c>
      <c r="G85" s="136">
        <f t="shared" si="1"/>
        <v>5034808.86432</v>
      </c>
    </row>
    <row r="86" spans="8:8" ht="15.75">
      <c r="A86" s="116" t="s">
        <v>97</v>
      </c>
      <c r="B86" s="117" t="s">
        <v>65</v>
      </c>
      <c r="C86" s="97">
        <v>208.0</v>
      </c>
      <c r="D86" s="97">
        <v>1594392.67233792</v>
      </c>
      <c r="E86" s="92">
        <v>345000.0</v>
      </c>
      <c r="F86" s="101">
        <v>200000.0</v>
      </c>
      <c r="G86" s="136">
        <f t="shared" si="1"/>
        <v>2139600.67233792</v>
      </c>
    </row>
    <row r="87" spans="8:8" ht="15.75">
      <c r="A87" s="116" t="s">
        <v>98</v>
      </c>
      <c r="B87" s="117" t="s">
        <v>65</v>
      </c>
      <c r="C87" s="97">
        <v>247.0</v>
      </c>
      <c r="D87" s="97">
        <v>2138261.5747583997</v>
      </c>
      <c r="E87" s="92">
        <v>345000.0</v>
      </c>
      <c r="F87" s="101">
        <v>200000.0</v>
      </c>
      <c r="G87" s="136">
        <f t="shared" si="1"/>
        <v>2683508.5747583997</v>
      </c>
    </row>
    <row r="88" spans="8:8" ht="15.75">
      <c r="A88" s="116" t="s">
        <v>99</v>
      </c>
      <c r="B88" s="117" t="s">
        <v>65</v>
      </c>
      <c r="C88" s="97">
        <v>325.0</v>
      </c>
      <c r="D88" s="97">
        <v>2758598.5190400006</v>
      </c>
      <c r="E88" s="92">
        <v>345000.0</v>
      </c>
      <c r="F88" s="101">
        <v>200000.0</v>
      </c>
      <c r="G88" s="136">
        <f t="shared" si="1"/>
        <v>3303923.5190400006</v>
      </c>
    </row>
    <row r="89" spans="8:8" ht="15.75">
      <c r="A89" s="116" t="s">
        <v>100</v>
      </c>
      <c r="B89" s="117" t="s">
        <v>65</v>
      </c>
      <c r="C89" s="97">
        <v>403.0</v>
      </c>
      <c r="D89" s="97">
        <v>4317940.763135999</v>
      </c>
      <c r="E89" s="92">
        <v>345000.0</v>
      </c>
      <c r="F89" s="101">
        <v>200000.0</v>
      </c>
      <c r="G89" s="136">
        <f t="shared" si="1"/>
        <v>4863343.763135999</v>
      </c>
    </row>
    <row r="90" spans="8:8" ht="15.75">
      <c r="A90" s="116" t="s">
        <v>101</v>
      </c>
      <c r="B90" s="117" t="s">
        <v>65</v>
      </c>
      <c r="C90" s="97">
        <v>442.0</v>
      </c>
      <c r="D90" s="97">
        <v>3110672.961736704</v>
      </c>
      <c r="E90" s="92">
        <v>345000.0</v>
      </c>
      <c r="F90" s="101">
        <v>200000.0</v>
      </c>
      <c r="G90" s="136">
        <f t="shared" si="1"/>
        <v>3656114.961736704</v>
      </c>
    </row>
    <row r="91" spans="8:8" ht="15.75">
      <c r="A91" s="116" t="s">
        <v>102</v>
      </c>
      <c r="B91" s="117" t="s">
        <v>65</v>
      </c>
      <c r="C91" s="97">
        <v>247.0</v>
      </c>
      <c r="D91" s="97">
        <v>1767357.5721984003</v>
      </c>
      <c r="E91" s="92">
        <v>345000.0</v>
      </c>
      <c r="F91" s="101">
        <v>200000.0</v>
      </c>
      <c r="G91" s="136">
        <f t="shared" si="1"/>
        <v>2312604.5721984003</v>
      </c>
    </row>
    <row r="92" spans="8:8" ht="15.75">
      <c r="A92" s="146" t="s">
        <v>103</v>
      </c>
      <c r="B92" s="147" t="s">
        <v>65</v>
      </c>
      <c r="C92" s="108">
        <v>208.0</v>
      </c>
      <c r="D92" s="108">
        <v>1272942.5367859197</v>
      </c>
      <c r="E92" s="98">
        <v>345000.0</v>
      </c>
      <c r="F92" s="148">
        <v>200000.0</v>
      </c>
      <c r="G92" s="144">
        <f t="shared" si="1"/>
        <v>1818150.5367859197</v>
      </c>
    </row>
    <row r="93" spans="8:8" ht="15.75">
      <c r="A93" s="116" t="s">
        <v>104</v>
      </c>
      <c r="B93" s="117" t="s">
        <v>65</v>
      </c>
      <c r="C93" s="97">
        <v>247.0</v>
      </c>
      <c r="D93" s="97">
        <v>2138261.5747583997</v>
      </c>
      <c r="E93" s="101">
        <v>345000.0</v>
      </c>
      <c r="F93" s="101">
        <v>200000.0</v>
      </c>
      <c r="G93" s="138">
        <f t="shared" si="1"/>
        <v>2683508.5747583997</v>
      </c>
    </row>
    <row r="94" spans="8:8" ht="15.75">
      <c r="A94" s="116" t="s">
        <v>105</v>
      </c>
      <c r="B94" s="117" t="s">
        <v>65</v>
      </c>
      <c r="C94" s="97">
        <v>286.0</v>
      </c>
      <c r="D94" s="97">
        <v>2842979.1796224</v>
      </c>
      <c r="E94" s="92">
        <v>345000.0</v>
      </c>
      <c r="F94" s="101">
        <v>200000.0</v>
      </c>
      <c r="G94" s="136">
        <f t="shared" si="1"/>
        <v>3388265.1796224</v>
      </c>
    </row>
    <row r="95" spans="8:8" ht="15.75">
      <c r="A95" s="116" t="s">
        <v>106</v>
      </c>
      <c r="B95" s="117" t="s">
        <v>65</v>
      </c>
      <c r="C95" s="97">
        <v>208.0</v>
      </c>
      <c r="D95" s="97">
        <v>1272942.5367859197</v>
      </c>
      <c r="E95" s="92">
        <v>345000.0</v>
      </c>
      <c r="F95" s="101">
        <v>200000.0</v>
      </c>
      <c r="G95" s="136">
        <f t="shared" si="1"/>
        <v>1818150.5367859197</v>
      </c>
    </row>
    <row r="96" spans="8:8" ht="15.75">
      <c r="A96" s="116" t="s">
        <v>107</v>
      </c>
      <c r="B96" s="117" t="s">
        <v>65</v>
      </c>
      <c r="C96" s="97">
        <v>247.0</v>
      </c>
      <c r="D96" s="97">
        <v>2138261.5747583997</v>
      </c>
      <c r="E96" s="92">
        <v>345000.0</v>
      </c>
      <c r="F96" s="101">
        <v>200000.0</v>
      </c>
      <c r="G96" s="136">
        <f t="shared" si="1"/>
        <v>2683508.5747583997</v>
      </c>
    </row>
    <row r="97" spans="8:8" ht="15.75">
      <c r="A97" s="116" t="s">
        <v>108</v>
      </c>
      <c r="B97" s="117" t="s">
        <v>65</v>
      </c>
      <c r="C97" s="97">
        <v>247.0</v>
      </c>
      <c r="D97" s="97">
        <v>1767357.5721984003</v>
      </c>
      <c r="E97" s="92">
        <v>345000.0</v>
      </c>
      <c r="F97" s="101">
        <v>200000.0</v>
      </c>
      <c r="G97" s="136">
        <f t="shared" si="1"/>
        <v>2312604.5721984003</v>
      </c>
    </row>
    <row r="98" spans="8:8" ht="15.75">
      <c r="A98" s="116" t="s">
        <v>109</v>
      </c>
      <c r="B98" s="117" t="s">
        <v>65</v>
      </c>
      <c r="C98" s="97">
        <v>286.0</v>
      </c>
      <c r="D98" s="97">
        <v>2626618.5114623997</v>
      </c>
      <c r="E98" s="92">
        <v>345000.0</v>
      </c>
      <c r="F98" s="101">
        <v>200000.0</v>
      </c>
      <c r="G98" s="136">
        <f t="shared" si="1"/>
        <v>3171904.5114623997</v>
      </c>
    </row>
    <row r="99" spans="8:8" ht="15.75">
      <c r="A99" s="146" t="s">
        <v>110</v>
      </c>
      <c r="B99" s="147" t="s">
        <v>65</v>
      </c>
      <c r="C99" s="108">
        <v>975000.0</v>
      </c>
      <c r="D99" s="108">
        <v>1211836.1023641601</v>
      </c>
      <c r="E99" s="98">
        <v>345000.0</v>
      </c>
      <c r="F99" s="148">
        <v>200000.0</v>
      </c>
      <c r="G99" s="144">
        <f t="shared" si="1"/>
        <v>2731836.10236416</v>
      </c>
    </row>
    <row r="100" spans="8:8" ht="15.75">
      <c r="A100" s="116" t="s">
        <v>111</v>
      </c>
      <c r="B100" s="117" t="s">
        <v>65</v>
      </c>
      <c r="C100" s="97">
        <v>208.0</v>
      </c>
      <c r="D100" s="97">
        <v>1112217.46900992</v>
      </c>
      <c r="E100" s="101">
        <v>345000.0</v>
      </c>
      <c r="F100" s="101">
        <v>200000.0</v>
      </c>
      <c r="G100" s="138">
        <f t="shared" si="1"/>
        <v>1657425.46900992</v>
      </c>
    </row>
    <row r="101" spans="8:8" ht="15.75">
      <c r="A101" s="116" t="s">
        <v>112</v>
      </c>
      <c r="B101" s="117" t="s">
        <v>65</v>
      </c>
      <c r="C101" s="97">
        <v>247.0</v>
      </c>
      <c r="D101" s="97">
        <v>1839683.8526976001</v>
      </c>
      <c r="E101" s="92">
        <v>345000.0</v>
      </c>
      <c r="F101" s="101">
        <v>200000.0</v>
      </c>
      <c r="G101" s="136">
        <f t="shared" si="1"/>
        <v>2384930.8526976</v>
      </c>
    </row>
    <row r="102" spans="8:8" ht="15.75">
      <c r="A102" s="116" t="s">
        <v>113</v>
      </c>
      <c r="B102" s="117" t="s">
        <v>65</v>
      </c>
      <c r="C102" s="97">
        <v>286.0</v>
      </c>
      <c r="D102" s="97">
        <v>2386458.1698048003</v>
      </c>
      <c r="E102" s="92">
        <v>345000.0</v>
      </c>
      <c r="F102" s="101">
        <v>200000.0</v>
      </c>
      <c r="G102" s="136">
        <f t="shared" si="1"/>
        <v>2931744.1698048003</v>
      </c>
    </row>
    <row r="103" spans="8:8" ht="15.75">
      <c r="A103" s="116" t="s">
        <v>114</v>
      </c>
      <c r="B103" s="117" t="s">
        <v>65</v>
      </c>
      <c r="C103" s="97">
        <v>208.0</v>
      </c>
      <c r="D103" s="97">
        <v>986851.9161446402</v>
      </c>
      <c r="E103" s="92">
        <v>345000.0</v>
      </c>
      <c r="F103" s="101">
        <v>200000.0</v>
      </c>
      <c r="G103" s="136">
        <f t="shared" si="1"/>
        <v>1532059.9161446402</v>
      </c>
    </row>
    <row r="104" spans="8:8" ht="15.75">
      <c r="A104" s="116" t="s">
        <v>115</v>
      </c>
      <c r="B104" s="117" t="s">
        <v>65</v>
      </c>
      <c r="C104" s="97">
        <v>247.0</v>
      </c>
      <c r="D104" s="97">
        <v>2117861.8546176</v>
      </c>
      <c r="E104" s="92">
        <v>345000.0</v>
      </c>
      <c r="F104" s="101">
        <v>200000.0</v>
      </c>
      <c r="G104" s="136">
        <f t="shared" si="1"/>
        <v>2663108.8546176</v>
      </c>
    </row>
    <row r="105" spans="8:8" ht="15.75">
      <c r="A105" s="116" t="s">
        <v>116</v>
      </c>
      <c r="B105" s="117" t="s">
        <v>65</v>
      </c>
      <c r="C105" s="97">
        <v>286.0</v>
      </c>
      <c r="D105" s="97">
        <v>2819179.5061248</v>
      </c>
      <c r="E105" s="92">
        <v>345000.0</v>
      </c>
      <c r="F105" s="101">
        <v>200000.0</v>
      </c>
      <c r="G105" s="136">
        <f t="shared" si="1"/>
        <v>3364465.5061248</v>
      </c>
    </row>
    <row r="106" spans="8:8" ht="15.75">
      <c r="A106" s="116" t="s">
        <v>117</v>
      </c>
      <c r="B106" s="117" t="s">
        <v>65</v>
      </c>
      <c r="C106" s="97">
        <v>247.0</v>
      </c>
      <c r="D106" s="97">
        <v>2065935.2942592003</v>
      </c>
      <c r="E106" s="92">
        <v>345000.0</v>
      </c>
      <c r="F106" s="101">
        <v>200000.0</v>
      </c>
      <c r="G106" s="136">
        <f t="shared" si="1"/>
        <v>2611182.2942592003</v>
      </c>
    </row>
    <row r="107" spans="8:8" ht="15.75">
      <c r="A107" s="116" t="s">
        <v>118</v>
      </c>
      <c r="B107" s="117" t="s">
        <v>65</v>
      </c>
      <c r="C107" s="97">
        <v>208.0</v>
      </c>
      <c r="D107" s="97">
        <v>1049534.6925772799</v>
      </c>
      <c r="E107" s="92">
        <v>345000.0</v>
      </c>
      <c r="F107" s="101">
        <v>200000.0</v>
      </c>
      <c r="G107" s="136">
        <f t="shared" si="1"/>
        <v>1594742.6925772799</v>
      </c>
    </row>
    <row r="108" spans="8:8" ht="15.75">
      <c r="A108" s="116" t="s">
        <v>119</v>
      </c>
      <c r="B108" s="117" t="s">
        <v>65</v>
      </c>
      <c r="C108" s="97">
        <v>247.0</v>
      </c>
      <c r="D108" s="97">
        <v>2117861.8546176</v>
      </c>
      <c r="E108" s="92">
        <v>345000.0</v>
      </c>
      <c r="F108" s="101">
        <v>200000.0</v>
      </c>
      <c r="G108" s="136">
        <f t="shared" si="1"/>
        <v>2663108.8546176</v>
      </c>
    </row>
    <row r="109" spans="8:8" ht="15.75">
      <c r="A109" s="116" t="s">
        <v>120</v>
      </c>
      <c r="B109" s="117" t="s">
        <v>65</v>
      </c>
      <c r="C109" s="97">
        <v>208.0</v>
      </c>
      <c r="D109" s="97">
        <v>2045535.5741184005</v>
      </c>
      <c r="E109" s="92">
        <v>345000.0</v>
      </c>
      <c r="F109" s="101">
        <v>200000.0</v>
      </c>
      <c r="G109" s="136">
        <f t="shared" si="1"/>
        <v>2590743.5741184005</v>
      </c>
    </row>
    <row r="110" spans="8:8" ht="15.75">
      <c r="A110" s="116" t="s">
        <v>121</v>
      </c>
      <c r="B110" s="117" t="s">
        <v>65</v>
      </c>
      <c r="C110" s="97">
        <v>247.0</v>
      </c>
      <c r="D110" s="97">
        <v>4492883.8176768</v>
      </c>
      <c r="E110" s="92">
        <v>345000.0</v>
      </c>
      <c r="F110" s="101">
        <v>200000.0</v>
      </c>
      <c r="G110" s="136">
        <f t="shared" si="1"/>
        <v>5038130.8176768</v>
      </c>
    </row>
    <row r="111" spans="8:8" ht="15.75">
      <c r="A111" s="116" t="s">
        <v>122</v>
      </c>
      <c r="B111" s="117" t="s">
        <v>65</v>
      </c>
      <c r="C111" s="97">
        <v>208.0</v>
      </c>
      <c r="D111" s="97">
        <v>1210259.76035328</v>
      </c>
      <c r="E111" s="92">
        <v>345000.0</v>
      </c>
      <c r="F111" s="101">
        <v>200000.0</v>
      </c>
      <c r="G111" s="136">
        <f t="shared" si="1"/>
        <v>1755467.76035328</v>
      </c>
    </row>
    <row r="112" spans="8:8" ht="15.75">
      <c r="A112" s="116" t="s">
        <v>123</v>
      </c>
      <c r="B112" s="117" t="s">
        <v>65</v>
      </c>
      <c r="C112" s="97">
        <v>247.0</v>
      </c>
      <c r="D112" s="97">
        <v>2210587.8552575996</v>
      </c>
      <c r="E112" s="92">
        <v>345000.0</v>
      </c>
      <c r="F112" s="101">
        <v>200000.0</v>
      </c>
      <c r="G112" s="136">
        <f t="shared" si="1"/>
        <v>2755834.8552575996</v>
      </c>
    </row>
    <row r="113" spans="8:8" ht="15.75">
      <c r="A113" s="116" t="s">
        <v>124</v>
      </c>
      <c r="B113" s="117" t="s">
        <v>65</v>
      </c>
      <c r="C113" s="97">
        <v>286.0</v>
      </c>
      <c r="D113" s="97">
        <v>2927359.8402047995</v>
      </c>
      <c r="E113" s="92">
        <v>345000.0</v>
      </c>
      <c r="F113" s="101">
        <v>200000.0</v>
      </c>
      <c r="G113" s="136">
        <f t="shared" si="1"/>
        <v>3472645.8402047995</v>
      </c>
    </row>
    <row r="114" spans="8:8" ht="15.75">
      <c r="A114" s="116" t="s">
        <v>125</v>
      </c>
      <c r="B114" s="117" t="s">
        <v>65</v>
      </c>
      <c r="C114" s="97">
        <v>325.0</v>
      </c>
      <c r="D114" s="97">
        <v>3743657.7325055995</v>
      </c>
      <c r="E114" s="92">
        <v>345000.0</v>
      </c>
      <c r="F114" s="101">
        <v>200000.0</v>
      </c>
      <c r="G114" s="136">
        <f t="shared" si="1"/>
        <v>4288982.732505599</v>
      </c>
    </row>
    <row r="115" spans="8:8" ht="15.75">
      <c r="A115" s="116" t="s">
        <v>126</v>
      </c>
      <c r="B115" s="117" t="s">
        <v>65</v>
      </c>
      <c r="C115" s="97">
        <v>364.0</v>
      </c>
      <c r="D115" s="97">
        <v>4659481.532160001</v>
      </c>
      <c r="E115" s="92">
        <v>345000.0</v>
      </c>
      <c r="F115" s="101">
        <v>200000.0</v>
      </c>
      <c r="G115" s="136">
        <f t="shared" si="1"/>
        <v>5204845.532160001</v>
      </c>
    </row>
    <row r="116" spans="8:8" ht="15.75">
      <c r="A116" s="116" t="s">
        <v>127</v>
      </c>
      <c r="B116" s="117" t="s">
        <v>65</v>
      </c>
      <c r="C116" s="97">
        <v>208.0</v>
      </c>
      <c r="D116" s="97">
        <v>861486.3632793596</v>
      </c>
      <c r="E116" s="92">
        <v>345000.0</v>
      </c>
      <c r="F116" s="101">
        <v>200000.0</v>
      </c>
      <c r="G116" s="136">
        <f t="shared" si="1"/>
        <v>1406694.3632793596</v>
      </c>
    </row>
    <row r="117" spans="8:8" ht="15.75">
      <c r="A117" s="116" t="s">
        <v>128</v>
      </c>
      <c r="B117" s="117" t="s">
        <v>65</v>
      </c>
      <c r="C117" s="97">
        <v>247.0</v>
      </c>
      <c r="D117" s="97">
        <v>2823815.806156799</v>
      </c>
      <c r="E117" s="92">
        <v>345000.0</v>
      </c>
      <c r="F117" s="101">
        <v>200000.0</v>
      </c>
      <c r="G117" s="136">
        <f t="shared" si="1"/>
        <v>3369062.806156799</v>
      </c>
    </row>
    <row r="118" spans="8:8" ht="15.75">
      <c r="A118" s="116" t="s">
        <v>129</v>
      </c>
      <c r="B118" s="117" t="s">
        <v>65</v>
      </c>
      <c r="C118" s="97">
        <v>286.0</v>
      </c>
      <c r="D118" s="97">
        <v>4336485.963264</v>
      </c>
      <c r="E118" s="92">
        <v>345000.0</v>
      </c>
      <c r="F118" s="101">
        <v>200000.0</v>
      </c>
      <c r="G118" s="136">
        <f t="shared" si="1"/>
        <v>4881771.963264</v>
      </c>
    </row>
    <row r="119" spans="8:8" ht="15.75">
      <c r="A119" s="116" t="s">
        <v>130</v>
      </c>
      <c r="B119" s="117" t="s">
        <v>65</v>
      </c>
      <c r="C119" s="97">
        <v>325.0</v>
      </c>
      <c r="D119" s="97">
        <v>6171842.602598401</v>
      </c>
      <c r="E119" s="92">
        <v>345000.0</v>
      </c>
      <c r="F119" s="101">
        <v>200000.0</v>
      </c>
      <c r="G119" s="136">
        <f t="shared" si="1"/>
        <v>6717167.602598401</v>
      </c>
    </row>
    <row r="120" spans="8:8" ht="15.75">
      <c r="A120" s="116" t="s">
        <v>131</v>
      </c>
      <c r="B120" s="117" t="s">
        <v>65</v>
      </c>
      <c r="C120" s="97">
        <v>364.0</v>
      </c>
      <c r="D120" s="97">
        <v>7680803.71968</v>
      </c>
      <c r="E120" s="92">
        <v>345000.0</v>
      </c>
      <c r="F120" s="101">
        <v>200000.0</v>
      </c>
      <c r="G120" s="136">
        <f t="shared" si="1"/>
        <v>8226167.71968</v>
      </c>
    </row>
    <row r="121" spans="8:8" ht="15.75">
      <c r="A121" s="116" t="s">
        <v>132</v>
      </c>
      <c r="B121" s="117" t="s">
        <v>65</v>
      </c>
      <c r="C121" s="97">
        <v>208.0</v>
      </c>
      <c r="D121" s="97">
        <v>861486.3632793596</v>
      </c>
      <c r="E121" s="92">
        <v>345000.0</v>
      </c>
      <c r="F121" s="101">
        <v>200000.0</v>
      </c>
      <c r="G121" s="136">
        <f t="shared" si="1"/>
        <v>1406694.3632793596</v>
      </c>
    </row>
    <row r="122" spans="8:8" ht="15.75">
      <c r="A122" s="116" t="s">
        <v>133</v>
      </c>
      <c r="B122" s="117" t="s">
        <v>65</v>
      </c>
      <c r="C122" s="97">
        <v>247.0</v>
      </c>
      <c r="D122" s="97">
        <v>2117861.8546176</v>
      </c>
      <c r="E122" s="92">
        <v>345000.0</v>
      </c>
      <c r="F122" s="101">
        <v>200000.0</v>
      </c>
      <c r="G122" s="136">
        <f t="shared" si="1"/>
        <v>2663108.8546176</v>
      </c>
    </row>
    <row r="123" spans="8:8" ht="15.75">
      <c r="A123" s="116" t="s">
        <v>134</v>
      </c>
      <c r="B123" s="117" t="s">
        <v>65</v>
      </c>
      <c r="C123" s="97">
        <v>286.0</v>
      </c>
      <c r="D123" s="97">
        <v>3035540.1742848</v>
      </c>
      <c r="E123" s="92">
        <v>345000.0</v>
      </c>
      <c r="F123" s="101">
        <v>200000.0</v>
      </c>
      <c r="G123" s="136">
        <f t="shared" si="1"/>
        <v>3580826.1742848</v>
      </c>
    </row>
    <row r="124" spans="8:8" ht="15.75">
      <c r="A124" s="116" t="s">
        <v>135</v>
      </c>
      <c r="B124" s="117" t="s">
        <v>65</v>
      </c>
      <c r="C124" s="97">
        <v>208.0</v>
      </c>
      <c r="D124" s="97">
        <v>986851.9161446402</v>
      </c>
      <c r="E124" s="92">
        <v>345000.0</v>
      </c>
      <c r="F124" s="101">
        <v>200000.0</v>
      </c>
      <c r="G124" s="136">
        <f t="shared" si="1"/>
        <v>1532059.9161446402</v>
      </c>
    </row>
    <row r="125" spans="8:8" ht="15.75">
      <c r="A125" s="116" t="s">
        <v>136</v>
      </c>
      <c r="B125" s="117" t="s">
        <v>65</v>
      </c>
      <c r="C125" s="97">
        <v>247.0</v>
      </c>
      <c r="D125" s="97">
        <v>2117861.8546176</v>
      </c>
      <c r="E125" s="92">
        <v>345000.0</v>
      </c>
      <c r="F125" s="101">
        <v>200000.0</v>
      </c>
      <c r="G125" s="136">
        <f t="shared" si="1"/>
        <v>2663108.8546176</v>
      </c>
    </row>
    <row r="126" spans="8:8" ht="15.75">
      <c r="A126" s="116" t="s">
        <v>137</v>
      </c>
      <c r="B126" s="117" t="s">
        <v>65</v>
      </c>
      <c r="C126" s="97">
        <v>208.0</v>
      </c>
      <c r="D126" s="97">
        <v>1772797.4975692802</v>
      </c>
      <c r="E126" s="92">
        <v>345000.0</v>
      </c>
      <c r="F126" s="101">
        <v>200000.0</v>
      </c>
      <c r="G126" s="136">
        <f t="shared" si="1"/>
        <v>2318005.49756928</v>
      </c>
    </row>
    <row r="127" spans="8:8" ht="15.75">
      <c r="A127" s="116" t="s">
        <v>138</v>
      </c>
      <c r="B127" s="117" t="s">
        <v>65</v>
      </c>
      <c r="C127" s="97">
        <v>247.0</v>
      </c>
      <c r="D127" s="97">
        <v>3369662.8632576</v>
      </c>
      <c r="E127" s="92">
        <v>345000.0</v>
      </c>
      <c r="F127" s="101">
        <v>200000.0</v>
      </c>
      <c r="G127" s="136">
        <f t="shared" si="1"/>
        <v>3914909.8632576</v>
      </c>
    </row>
    <row r="128" spans="8:8" ht="15.75">
      <c r="A128" s="116" t="s">
        <v>139</v>
      </c>
      <c r="B128" s="117" t="s">
        <v>65</v>
      </c>
      <c r="C128" s="97">
        <v>208.0</v>
      </c>
      <c r="D128" s="97">
        <v>1112217.46900992</v>
      </c>
      <c r="E128" s="92">
        <v>345000.0</v>
      </c>
      <c r="F128" s="101">
        <v>200000.0</v>
      </c>
      <c r="G128" s="136">
        <f t="shared" si="1"/>
        <v>1657425.46900992</v>
      </c>
    </row>
    <row r="129" spans="8:8" ht="15.75">
      <c r="A129" s="116" t="s">
        <v>140</v>
      </c>
      <c r="B129" s="117" t="s">
        <v>65</v>
      </c>
      <c r="C129" s="97">
        <v>247.0</v>
      </c>
      <c r="D129" s="97">
        <v>2045535.5741184005</v>
      </c>
      <c r="E129" s="92">
        <v>345000.0</v>
      </c>
      <c r="F129" s="101">
        <v>200000.0</v>
      </c>
      <c r="G129" s="136">
        <f t="shared" si="1"/>
        <v>2590782.5741184005</v>
      </c>
    </row>
    <row r="130" spans="8:8" ht="15.75">
      <c r="A130" s="116" t="s">
        <v>141</v>
      </c>
      <c r="B130" s="117" t="s">
        <v>65</v>
      </c>
      <c r="C130" s="97">
        <v>286.0</v>
      </c>
      <c r="D130" s="97">
        <v>2951159.5137024</v>
      </c>
      <c r="E130" s="92">
        <v>345000.0</v>
      </c>
      <c r="F130" s="101">
        <v>200000.0</v>
      </c>
      <c r="G130" s="136">
        <f t="shared" si="1"/>
        <v>3496445.5137024</v>
      </c>
    </row>
    <row r="131" spans="8:8" ht="15.75">
      <c r="A131" s="116" t="s">
        <v>142</v>
      </c>
      <c r="B131" s="117" t="s">
        <v>65</v>
      </c>
      <c r="C131" s="97">
        <v>208.0</v>
      </c>
      <c r="D131" s="97">
        <v>1835480.2740019197</v>
      </c>
      <c r="E131" s="92">
        <v>345000.0</v>
      </c>
      <c r="F131" s="101">
        <v>200000.0</v>
      </c>
      <c r="G131" s="136">
        <f t="shared" si="2" ref="G131:G194">(C131+D131+E131+F131)</f>
        <v>2380688.2740019197</v>
      </c>
    </row>
    <row r="132" spans="8:8" ht="15.75">
      <c r="A132" s="116" t="s">
        <v>143</v>
      </c>
      <c r="B132" s="117" t="s">
        <v>65</v>
      </c>
      <c r="C132" s="97">
        <v>247.0</v>
      </c>
      <c r="D132" s="97">
        <v>1973209.2936192001</v>
      </c>
      <c r="E132" s="92">
        <v>345000.0</v>
      </c>
      <c r="F132" s="101">
        <v>200000.0</v>
      </c>
      <c r="G132" s="136">
        <f t="shared" si="2"/>
        <v>2518456.2936192</v>
      </c>
    </row>
    <row r="133" spans="8:8" ht="15.75">
      <c r="A133" s="116" t="s">
        <v>144</v>
      </c>
      <c r="B133" s="117" t="s">
        <v>65</v>
      </c>
      <c r="C133" s="97">
        <v>286.0</v>
      </c>
      <c r="D133" s="97">
        <v>3372753.7299456005</v>
      </c>
      <c r="E133" s="92">
        <v>345000.0</v>
      </c>
      <c r="F133" s="101">
        <v>200000.0</v>
      </c>
      <c r="G133" s="136">
        <f t="shared" si="2"/>
        <v>3918039.7299456005</v>
      </c>
    </row>
    <row r="134" spans="8:8" ht="15.75">
      <c r="A134" s="116" t="s">
        <v>145</v>
      </c>
      <c r="B134" s="117" t="s">
        <v>65</v>
      </c>
      <c r="C134" s="97">
        <v>208.0</v>
      </c>
      <c r="D134" s="97">
        <v>1112217.46900992</v>
      </c>
      <c r="E134" s="92">
        <v>345000.0</v>
      </c>
      <c r="F134" s="101">
        <v>200000.0</v>
      </c>
      <c r="G134" s="136">
        <f t="shared" si="2"/>
        <v>1657425.46900992</v>
      </c>
    </row>
    <row r="135" spans="8:8" ht="15.75">
      <c r="A135" s="116" t="s">
        <v>146</v>
      </c>
      <c r="B135" s="117" t="s">
        <v>65</v>
      </c>
      <c r="C135" s="97">
        <v>247.0</v>
      </c>
      <c r="D135" s="97">
        <v>2045535.5741184005</v>
      </c>
      <c r="E135" s="92">
        <v>345000.0</v>
      </c>
      <c r="F135" s="101">
        <v>200000.0</v>
      </c>
      <c r="G135" s="136">
        <f t="shared" si="2"/>
        <v>2590782.5741184005</v>
      </c>
    </row>
    <row r="136" spans="8:8" ht="15.75">
      <c r="A136" s="116" t="s">
        <v>147</v>
      </c>
      <c r="B136" s="117" t="s">
        <v>65</v>
      </c>
      <c r="C136" s="97">
        <v>286.0</v>
      </c>
      <c r="D136" s="97">
        <v>2951159.5137024</v>
      </c>
      <c r="E136" s="92">
        <v>345000.0</v>
      </c>
      <c r="F136" s="101">
        <v>200000.0</v>
      </c>
      <c r="G136" s="136">
        <f t="shared" si="2"/>
        <v>3496445.5137024</v>
      </c>
    </row>
    <row r="137" spans="8:8" ht="15.75">
      <c r="A137" s="116" t="s">
        <v>148</v>
      </c>
      <c r="B137" s="117" t="s">
        <v>65</v>
      </c>
      <c r="C137" s="97">
        <v>247.0</v>
      </c>
      <c r="D137" s="97">
        <v>2045535.5741184005</v>
      </c>
      <c r="E137" s="92">
        <v>345000.0</v>
      </c>
      <c r="F137" s="101">
        <v>200000.0</v>
      </c>
      <c r="G137" s="136">
        <f t="shared" si="2"/>
        <v>2590782.5741184005</v>
      </c>
    </row>
    <row r="138" spans="8:8" ht="15.75">
      <c r="A138" s="116" t="s">
        <v>149</v>
      </c>
      <c r="B138" s="117" t="s">
        <v>65</v>
      </c>
      <c r="C138" s="97">
        <v>286.0</v>
      </c>
      <c r="D138" s="97">
        <v>2951159.5137024</v>
      </c>
      <c r="E138" s="92">
        <v>345000.0</v>
      </c>
      <c r="F138" s="101">
        <v>200000.0</v>
      </c>
      <c r="G138" s="136">
        <f t="shared" si="2"/>
        <v>3496445.5137024</v>
      </c>
    </row>
    <row r="139" spans="8:8" ht="15.75">
      <c r="A139" s="116" t="s">
        <v>150</v>
      </c>
      <c r="B139" s="117" t="s">
        <v>65</v>
      </c>
      <c r="C139" s="97">
        <v>403.0</v>
      </c>
      <c r="D139" s="97">
        <v>5013385.767936</v>
      </c>
      <c r="E139" s="92">
        <v>345000.0</v>
      </c>
      <c r="F139" s="101">
        <v>200000.0</v>
      </c>
      <c r="G139" s="136">
        <f t="shared" si="2"/>
        <v>5558788.767936</v>
      </c>
    </row>
    <row r="140" spans="8:8" ht="15.75">
      <c r="A140" s="116" t="s">
        <v>151</v>
      </c>
      <c r="B140" s="117" t="s">
        <v>65</v>
      </c>
      <c r="C140" s="97">
        <v>247.0</v>
      </c>
      <c r="D140" s="97">
        <v>5323708.7834112</v>
      </c>
      <c r="E140" s="92">
        <v>345000.0</v>
      </c>
      <c r="F140" s="101">
        <v>200000.0</v>
      </c>
      <c r="G140" s="136">
        <f t="shared" si="2"/>
        <v>5868955.7834112</v>
      </c>
    </row>
    <row r="141" spans="8:8" ht="15.75">
      <c r="A141" s="116" t="s">
        <v>152</v>
      </c>
      <c r="B141" s="117" t="s">
        <v>65</v>
      </c>
      <c r="C141" s="97">
        <v>286.0</v>
      </c>
      <c r="D141" s="97">
        <v>7461352.184832001</v>
      </c>
      <c r="E141" s="92">
        <v>345000.0</v>
      </c>
      <c r="F141" s="101">
        <v>200000.0</v>
      </c>
      <c r="G141" s="136">
        <f t="shared" si="2"/>
        <v>8006638.184832001</v>
      </c>
    </row>
    <row r="142" spans="8:8" ht="15.75">
      <c r="A142" s="116" t="s">
        <v>153</v>
      </c>
      <c r="B142" s="117" t="s">
        <v>65</v>
      </c>
      <c r="C142" s="97">
        <v>403.0</v>
      </c>
      <c r="D142" s="97">
        <v>1.44485654197248E7</v>
      </c>
      <c r="E142" s="92">
        <v>345000.0</v>
      </c>
      <c r="F142" s="101">
        <v>200000.0</v>
      </c>
      <c r="G142" s="136">
        <f t="shared" si="2"/>
        <v>1.49939684197248E7</v>
      </c>
    </row>
    <row r="143" spans="8:8" ht="15.75">
      <c r="A143" s="116" t="s">
        <v>154</v>
      </c>
      <c r="B143" s="117" t="s">
        <v>65</v>
      </c>
      <c r="C143" s="97">
        <v>800.0</v>
      </c>
      <c r="D143" s="97">
        <v>321450.135552</v>
      </c>
      <c r="E143" s="92">
        <v>345000.0</v>
      </c>
      <c r="F143" s="101">
        <v>200000.0</v>
      </c>
      <c r="G143" s="136">
        <f t="shared" si="2"/>
        <v>867250.135552</v>
      </c>
    </row>
    <row r="144" spans="8:8" ht="15.75">
      <c r="A144" s="116" t="s">
        <v>155</v>
      </c>
      <c r="B144" s="117" t="s">
        <v>65</v>
      </c>
      <c r="C144" s="97">
        <v>208.0</v>
      </c>
      <c r="D144" s="97">
        <v>1272942.5367859197</v>
      </c>
      <c r="E144" s="92">
        <v>345000.0</v>
      </c>
      <c r="F144" s="101">
        <v>200000.0</v>
      </c>
      <c r="G144" s="136">
        <f t="shared" si="2"/>
        <v>1818150.5367859197</v>
      </c>
    </row>
    <row r="145" spans="8:8" ht="15.75">
      <c r="A145" s="116" t="s">
        <v>156</v>
      </c>
      <c r="B145" s="117" t="s">
        <v>65</v>
      </c>
      <c r="C145" s="97">
        <v>247.0</v>
      </c>
      <c r="D145" s="97">
        <v>2138261.5747583997</v>
      </c>
      <c r="E145" s="92">
        <v>345000.0</v>
      </c>
      <c r="F145" s="101">
        <v>200000.0</v>
      </c>
      <c r="G145" s="136">
        <f t="shared" si="2"/>
        <v>2683508.5747583997</v>
      </c>
    </row>
    <row r="146" spans="8:8" ht="15.75">
      <c r="A146" s="116" t="s">
        <v>157</v>
      </c>
      <c r="B146" s="117" t="s">
        <v>65</v>
      </c>
      <c r="C146" s="97">
        <v>208.0</v>
      </c>
      <c r="D146" s="97">
        <v>1272942.5367859197</v>
      </c>
      <c r="E146" s="92">
        <v>345000.0</v>
      </c>
      <c r="F146" s="101">
        <v>200000.0</v>
      </c>
      <c r="G146" s="136">
        <f t="shared" si="2"/>
        <v>1818150.5367859197</v>
      </c>
    </row>
    <row r="147" spans="8:8" ht="15.75">
      <c r="A147" s="116" t="s">
        <v>158</v>
      </c>
      <c r="B147" s="117" t="s">
        <v>65</v>
      </c>
      <c r="C147" s="97">
        <v>247.0</v>
      </c>
      <c r="D147" s="97">
        <v>2138261.5747583997</v>
      </c>
      <c r="E147" s="92">
        <v>345000.0</v>
      </c>
      <c r="F147" s="101">
        <v>200000.0</v>
      </c>
      <c r="G147" s="136">
        <f t="shared" si="2"/>
        <v>2683508.5747583997</v>
      </c>
    </row>
    <row r="148" spans="8:8" ht="15.75">
      <c r="A148" s="116" t="s">
        <v>159</v>
      </c>
      <c r="B148" s="117" t="s">
        <v>65</v>
      </c>
      <c r="C148" s="97">
        <v>286.0</v>
      </c>
      <c r="D148" s="97">
        <v>3059339.8477824004</v>
      </c>
      <c r="E148" s="92">
        <v>345000.0</v>
      </c>
      <c r="F148" s="101">
        <v>200000.0</v>
      </c>
      <c r="G148" s="136">
        <f t="shared" si="2"/>
        <v>3604625.8477824004</v>
      </c>
    </row>
    <row r="149" spans="8:8" ht="15.75">
      <c r="A149" s="116" t="s">
        <v>160</v>
      </c>
      <c r="B149" s="117" t="s">
        <v>65</v>
      </c>
      <c r="C149" s="97">
        <v>247.0</v>
      </c>
      <c r="D149" s="97">
        <v>2045535.5741184005</v>
      </c>
      <c r="E149" s="92">
        <v>345000.0</v>
      </c>
      <c r="F149" s="101">
        <v>200000.0</v>
      </c>
      <c r="G149" s="136">
        <f t="shared" si="2"/>
        <v>2590782.5741184005</v>
      </c>
    </row>
    <row r="150" spans="8:8" ht="15.75">
      <c r="A150" s="116" t="s">
        <v>161</v>
      </c>
      <c r="B150" s="117" t="s">
        <v>65</v>
      </c>
      <c r="C150" s="97">
        <v>286.0</v>
      </c>
      <c r="D150" s="97">
        <v>2951159.5137024</v>
      </c>
      <c r="E150" s="92">
        <v>345000.0</v>
      </c>
      <c r="F150" s="101">
        <v>200000.0</v>
      </c>
      <c r="G150" s="136">
        <f t="shared" si="2"/>
        <v>3496445.5137024</v>
      </c>
    </row>
    <row r="151" spans="8:8" ht="15.75">
      <c r="A151" s="116" t="s">
        <v>162</v>
      </c>
      <c r="B151" s="117" t="s">
        <v>65</v>
      </c>
      <c r="C151" s="97">
        <v>247.0</v>
      </c>
      <c r="D151" s="97">
        <v>4396448.7770112</v>
      </c>
      <c r="E151" s="92">
        <v>345000.0</v>
      </c>
      <c r="F151" s="101">
        <v>200000.0</v>
      </c>
      <c r="G151" s="136">
        <f t="shared" si="2"/>
        <v>4941695.7770112</v>
      </c>
    </row>
    <row r="152" spans="8:8" ht="15.75">
      <c r="A152" s="116" t="s">
        <v>163</v>
      </c>
      <c r="B152" s="117" t="s">
        <v>65</v>
      </c>
      <c r="C152" s="97">
        <v>286.0</v>
      </c>
      <c r="D152" s="97">
        <v>5227273.7427456</v>
      </c>
      <c r="E152" s="92">
        <v>345000.0</v>
      </c>
      <c r="F152" s="101">
        <v>200000.0</v>
      </c>
      <c r="G152" s="136">
        <f t="shared" si="2"/>
        <v>5772559.7427456</v>
      </c>
    </row>
    <row r="153" spans="8:8" ht="15.75">
      <c r="A153" s="116" t="s">
        <v>164</v>
      </c>
      <c r="B153" s="117" t="s">
        <v>65</v>
      </c>
      <c r="C153" s="97">
        <v>971.46</v>
      </c>
      <c r="D153" s="97">
        <v>382216.57463807997</v>
      </c>
      <c r="E153" s="92">
        <v>345000.0</v>
      </c>
      <c r="F153" s="101">
        <v>200000.0</v>
      </c>
      <c r="G153" s="136">
        <f t="shared" si="2"/>
        <v>928188.03463808</v>
      </c>
    </row>
    <row r="154" spans="8:8" ht="15.75">
      <c r="A154" s="116" t="s">
        <v>165</v>
      </c>
      <c r="B154" s="117" t="s">
        <v>65</v>
      </c>
      <c r="C154" s="97">
        <v>247.0</v>
      </c>
      <c r="D154" s="97">
        <v>2045535.5741184005</v>
      </c>
      <c r="E154" s="92">
        <v>345000.0</v>
      </c>
      <c r="F154" s="101">
        <v>200000.0</v>
      </c>
      <c r="G154" s="136">
        <f t="shared" si="2"/>
        <v>2590782.5741184005</v>
      </c>
    </row>
    <row r="155" spans="8:8" ht="15.75">
      <c r="A155" s="116" t="s">
        <v>166</v>
      </c>
      <c r="B155" s="117" t="s">
        <v>65</v>
      </c>
      <c r="C155" s="97">
        <v>208.0</v>
      </c>
      <c r="D155" s="97">
        <v>1112217.46900992</v>
      </c>
      <c r="E155" s="92">
        <v>345000.0</v>
      </c>
      <c r="F155" s="101">
        <v>200000.0</v>
      </c>
      <c r="G155" s="136">
        <f t="shared" si="2"/>
        <v>1657425.46900992</v>
      </c>
    </row>
    <row r="156" spans="8:8" ht="15.75">
      <c r="A156" s="116" t="s">
        <v>167</v>
      </c>
      <c r="B156" s="117" t="s">
        <v>65</v>
      </c>
      <c r="C156" s="97">
        <v>247.0</v>
      </c>
      <c r="D156" s="97">
        <v>2727380.7654912006</v>
      </c>
      <c r="E156" s="92">
        <v>345000.0</v>
      </c>
      <c r="F156" s="101">
        <v>200000.0</v>
      </c>
      <c r="G156" s="136">
        <f t="shared" si="2"/>
        <v>3272627.7654912006</v>
      </c>
    </row>
    <row r="157" spans="8:8" ht="15.75">
      <c r="A157" s="116" t="s">
        <v>168</v>
      </c>
      <c r="B157" s="117" t="s">
        <v>65</v>
      </c>
      <c r="C157" s="97">
        <v>208.0</v>
      </c>
      <c r="D157" s="97">
        <v>2117861.8546176</v>
      </c>
      <c r="E157" s="92">
        <v>345000.0</v>
      </c>
      <c r="F157" s="101">
        <v>200000.0</v>
      </c>
      <c r="G157" s="136">
        <f t="shared" si="2"/>
        <v>2663069.8546176</v>
      </c>
    </row>
    <row r="158" spans="8:8" ht="15.75">
      <c r="A158" s="116" t="s">
        <v>169</v>
      </c>
      <c r="B158" s="117" t="s">
        <v>65</v>
      </c>
      <c r="C158" s="97">
        <v>247.0</v>
      </c>
      <c r="D158" s="97">
        <v>3592823.4381312006</v>
      </c>
      <c r="E158" s="92">
        <v>345000.0</v>
      </c>
      <c r="F158" s="101">
        <v>200000.0</v>
      </c>
      <c r="G158" s="136">
        <f t="shared" si="2"/>
        <v>4138070.4381312006</v>
      </c>
    </row>
    <row r="159" spans="8:8" ht="15.75">
      <c r="A159" s="116" t="s">
        <v>170</v>
      </c>
      <c r="B159" s="117" t="s">
        <v>65</v>
      </c>
      <c r="C159" s="97">
        <v>208.0</v>
      </c>
      <c r="D159" s="97">
        <v>1112217.46900992</v>
      </c>
      <c r="E159" s="92">
        <v>345000.0</v>
      </c>
      <c r="F159" s="101">
        <v>200000.0</v>
      </c>
      <c r="G159" s="136">
        <f t="shared" si="2"/>
        <v>1657425.46900992</v>
      </c>
    </row>
    <row r="160" spans="8:8" ht="15.75">
      <c r="A160" s="116" t="s">
        <v>171</v>
      </c>
      <c r="B160" s="117" t="s">
        <v>65</v>
      </c>
      <c r="C160" s="97">
        <v>247.0</v>
      </c>
      <c r="D160" s="97">
        <v>2302077.5092223994</v>
      </c>
      <c r="E160" s="92">
        <v>345000.0</v>
      </c>
      <c r="F160" s="101">
        <v>200000.0</v>
      </c>
      <c r="G160" s="136">
        <f t="shared" si="2"/>
        <v>2847324.5092223994</v>
      </c>
    </row>
    <row r="161" spans="8:8" ht="15.75">
      <c r="A161" s="116" t="s">
        <v>172</v>
      </c>
      <c r="B161" s="117" t="s">
        <v>65</v>
      </c>
      <c r="C161" s="97">
        <v>286.0</v>
      </c>
      <c r="D161" s="97">
        <v>2866778.853119999</v>
      </c>
      <c r="E161" s="92">
        <v>345000.0</v>
      </c>
      <c r="F161" s="101">
        <v>200000.0</v>
      </c>
      <c r="G161" s="136">
        <f t="shared" si="2"/>
        <v>3412064.853119999</v>
      </c>
    </row>
    <row r="162" spans="8:8" ht="15.75">
      <c r="A162" s="116" t="s">
        <v>173</v>
      </c>
      <c r="B162" s="117" t="s">
        <v>65</v>
      </c>
      <c r="C162" s="97">
        <v>208.0</v>
      </c>
      <c r="D162" s="97">
        <v>2117861.8546176</v>
      </c>
      <c r="E162" s="92">
        <v>345000.0</v>
      </c>
      <c r="F162" s="101">
        <v>200000.0</v>
      </c>
      <c r="G162" s="136">
        <f t="shared" si="2"/>
        <v>2663069.8546176</v>
      </c>
    </row>
    <row r="163" spans="8:8" ht="15.75">
      <c r="A163" s="116" t="s">
        <v>174</v>
      </c>
      <c r="B163" s="117" t="s">
        <v>65</v>
      </c>
      <c r="C163" s="97">
        <v>247.0</v>
      </c>
      <c r="D163" s="97">
        <v>3592823.4381312006</v>
      </c>
      <c r="E163" s="92">
        <v>345000.0</v>
      </c>
      <c r="F163" s="101">
        <v>200000.0</v>
      </c>
      <c r="G163" s="136">
        <f t="shared" si="2"/>
        <v>4138070.4381312006</v>
      </c>
    </row>
    <row r="164" spans="8:8" ht="15.75">
      <c r="A164" s="116" t="s">
        <v>175</v>
      </c>
      <c r="B164" s="117" t="s">
        <v>65</v>
      </c>
      <c r="C164" s="97">
        <v>286.0</v>
      </c>
      <c r="D164" s="97">
        <v>5375017.170432</v>
      </c>
      <c r="E164" s="92">
        <v>345000.0</v>
      </c>
      <c r="F164" s="101">
        <v>200000.0</v>
      </c>
      <c r="G164" s="136">
        <f t="shared" si="2"/>
        <v>5920303.170432</v>
      </c>
    </row>
    <row r="165" spans="8:8" ht="15.75">
      <c r="A165" s="146" t="s">
        <v>176</v>
      </c>
      <c r="B165" s="147" t="s">
        <v>65</v>
      </c>
      <c r="C165" s="108">
        <v>286.0</v>
      </c>
      <c r="D165" s="108">
        <v>2410257.8433023994</v>
      </c>
      <c r="E165" s="98">
        <v>345000.0</v>
      </c>
      <c r="F165" s="148">
        <v>200000.0</v>
      </c>
      <c r="G165" s="144">
        <f t="shared" si="2"/>
        <v>2955543.8433023994</v>
      </c>
    </row>
    <row r="166" spans="8:8" ht="15.75">
      <c r="A166" s="116" t="s">
        <v>177</v>
      </c>
      <c r="B166" s="117" t="s">
        <v>65</v>
      </c>
      <c r="C166" s="97">
        <v>286.0</v>
      </c>
      <c r="D166" s="97">
        <v>2410257.8433023994</v>
      </c>
      <c r="E166" s="101">
        <v>345000.0</v>
      </c>
      <c r="F166" s="101">
        <v>200000.0</v>
      </c>
      <c r="G166" s="138">
        <f t="shared" si="2"/>
        <v>2955543.8433023994</v>
      </c>
    </row>
    <row r="167" spans="8:8" ht="15.75">
      <c r="A167" s="116" t="s">
        <v>178</v>
      </c>
      <c r="B167" s="117" t="s">
        <v>65</v>
      </c>
      <c r="C167" s="97">
        <v>1235110.3285248003</v>
      </c>
      <c r="D167" s="97">
        <v>7871324.7423283225</v>
      </c>
      <c r="E167" s="92">
        <v>345000.0</v>
      </c>
      <c r="F167" s="101">
        <v>200000.0</v>
      </c>
      <c r="G167" s="136">
        <f t="shared" si="2"/>
        <v>9651435.070853123</v>
      </c>
    </row>
    <row r="168" spans="8:8" ht="15.75">
      <c r="A168" s="116" t="s">
        <v>179</v>
      </c>
      <c r="B168" s="117" t="s">
        <v>65</v>
      </c>
      <c r="C168" s="97">
        <v>247.0</v>
      </c>
      <c r="D168" s="97">
        <v>2015863.2539136005</v>
      </c>
      <c r="E168" s="92">
        <v>345000.0</v>
      </c>
      <c r="F168" s="101">
        <v>200000.0</v>
      </c>
      <c r="G168" s="136">
        <f t="shared" si="2"/>
        <v>2561110.2539136005</v>
      </c>
    </row>
    <row r="169" spans="8:8" ht="15.75">
      <c r="A169" s="116" t="s">
        <v>180</v>
      </c>
      <c r="B169" s="117" t="s">
        <v>65</v>
      </c>
      <c r="C169" s="97">
        <v>247.0</v>
      </c>
      <c r="D169" s="97">
        <v>2045535.5741184005</v>
      </c>
      <c r="E169" s="92">
        <v>345000.0</v>
      </c>
      <c r="F169" s="101">
        <v>200000.0</v>
      </c>
      <c r="G169" s="136">
        <f t="shared" si="2"/>
        <v>2590782.5741184005</v>
      </c>
    </row>
    <row r="170" spans="8:8" ht="15.75">
      <c r="A170" s="116" t="s">
        <v>181</v>
      </c>
      <c r="B170" s="117" t="s">
        <v>65</v>
      </c>
      <c r="C170" s="97">
        <v>247.0</v>
      </c>
      <c r="D170" s="97">
        <v>4396448.7770112</v>
      </c>
      <c r="E170" s="92">
        <v>345000.0</v>
      </c>
      <c r="F170" s="101">
        <v>200000.0</v>
      </c>
      <c r="G170" s="136">
        <f t="shared" si="2"/>
        <v>4941695.7770112</v>
      </c>
    </row>
    <row r="171" spans="8:8" ht="15.75">
      <c r="A171" s="116" t="s">
        <v>182</v>
      </c>
      <c r="B171" s="117" t="s">
        <v>65</v>
      </c>
      <c r="C171" s="97">
        <v>208.0</v>
      </c>
      <c r="D171" s="97">
        <v>1112217.46900992</v>
      </c>
      <c r="E171" s="92">
        <v>345000.0</v>
      </c>
      <c r="F171" s="101">
        <v>200000.0</v>
      </c>
      <c r="G171" s="136">
        <f t="shared" si="2"/>
        <v>1657425.46900992</v>
      </c>
    </row>
    <row r="172" spans="8:8" ht="15.75">
      <c r="A172" s="116" t="s">
        <v>183</v>
      </c>
      <c r="B172" s="117" t="s">
        <v>65</v>
      </c>
      <c r="C172" s="97">
        <v>247.0</v>
      </c>
      <c r="D172" s="97">
        <v>2045535.5741184005</v>
      </c>
      <c r="E172" s="92">
        <v>345000.0</v>
      </c>
      <c r="F172" s="101">
        <v>200000.0</v>
      </c>
      <c r="G172" s="136">
        <f t="shared" si="2"/>
        <v>2590782.5741184005</v>
      </c>
    </row>
    <row r="173" spans="8:8" ht="15.75">
      <c r="A173" s="116" t="s">
        <v>184</v>
      </c>
      <c r="B173" s="117" t="s">
        <v>65</v>
      </c>
      <c r="C173" s="97">
        <v>286.0</v>
      </c>
      <c r="D173" s="97">
        <v>2302077.5092223994</v>
      </c>
      <c r="E173" s="92">
        <v>345000.0</v>
      </c>
      <c r="F173" s="101">
        <v>200000.0</v>
      </c>
      <c r="G173" s="136">
        <f t="shared" si="2"/>
        <v>2847363.5092223994</v>
      </c>
    </row>
    <row r="174" spans="8:8" ht="15.75">
      <c r="A174" s="116" t="s">
        <v>185</v>
      </c>
      <c r="B174" s="117" t="s">
        <v>65</v>
      </c>
      <c r="C174" s="97">
        <v>208.0</v>
      </c>
      <c r="D174" s="97">
        <v>1835480.2740019197</v>
      </c>
      <c r="E174" s="92">
        <v>345000.0</v>
      </c>
      <c r="F174" s="101">
        <v>200000.0</v>
      </c>
      <c r="G174" s="136">
        <f t="shared" si="2"/>
        <v>2380688.2740019197</v>
      </c>
    </row>
    <row r="175" spans="8:8" ht="15.75">
      <c r="A175" s="116" t="s">
        <v>186</v>
      </c>
      <c r="B175" s="117" t="s">
        <v>65</v>
      </c>
      <c r="C175" s="97">
        <v>247.0</v>
      </c>
      <c r="D175" s="97">
        <v>2694617.5785983996</v>
      </c>
      <c r="E175" s="92">
        <v>345000.0</v>
      </c>
      <c r="F175" s="101">
        <v>200000.0</v>
      </c>
      <c r="G175" s="136">
        <f t="shared" si="2"/>
        <v>3239864.5785983996</v>
      </c>
    </row>
    <row r="176" spans="8:8" ht="15.75">
      <c r="A176" s="116" t="s">
        <v>187</v>
      </c>
      <c r="B176" s="117" t="s">
        <v>65</v>
      </c>
      <c r="C176" s="97">
        <v>286.0</v>
      </c>
      <c r="D176" s="97">
        <v>3762512.0193024003</v>
      </c>
      <c r="E176" s="92">
        <v>345000.0</v>
      </c>
      <c r="F176" s="101">
        <v>200000.0</v>
      </c>
      <c r="G176" s="136">
        <f t="shared" si="2"/>
        <v>4307798.0193024</v>
      </c>
    </row>
    <row r="177" spans="8:8" ht="15.75">
      <c r="A177" s="146" t="s">
        <v>188</v>
      </c>
      <c r="B177" s="147" t="s">
        <v>65</v>
      </c>
      <c r="C177" s="108">
        <v>208.0</v>
      </c>
      <c r="D177" s="108">
        <v>1272942.5367859197</v>
      </c>
      <c r="E177" s="98">
        <v>345000.0</v>
      </c>
      <c r="F177" s="148">
        <v>200000.0</v>
      </c>
      <c r="G177" s="144">
        <f t="shared" si="2"/>
        <v>1818150.5367859197</v>
      </c>
    </row>
    <row r="178" spans="8:8" ht="15.75">
      <c r="A178" s="116" t="s">
        <v>189</v>
      </c>
      <c r="B178" s="117" t="s">
        <v>65</v>
      </c>
      <c r="C178" s="97">
        <v>247.0</v>
      </c>
      <c r="D178" s="97">
        <v>2138261.5747583997</v>
      </c>
      <c r="E178" s="101">
        <v>345000.0</v>
      </c>
      <c r="F178" s="101">
        <v>200000.0</v>
      </c>
      <c r="G178" s="138">
        <f t="shared" si="2"/>
        <v>2683508.5747583997</v>
      </c>
    </row>
    <row r="179" spans="8:8" ht="15.75">
      <c r="A179" s="116" t="s">
        <v>190</v>
      </c>
      <c r="B179" s="117" t="s">
        <v>65</v>
      </c>
      <c r="C179" s="97">
        <v>208.0</v>
      </c>
      <c r="D179" s="97">
        <v>1272942.5367859197</v>
      </c>
      <c r="E179" s="92">
        <v>345000.0</v>
      </c>
      <c r="F179" s="101">
        <v>200000.0</v>
      </c>
      <c r="G179" s="136">
        <f t="shared" si="2"/>
        <v>1818150.5367859197</v>
      </c>
    </row>
    <row r="180" spans="8:8" ht="15.75">
      <c r="A180" s="116" t="s">
        <v>191</v>
      </c>
      <c r="B180" s="117" t="s">
        <v>65</v>
      </c>
      <c r="C180" s="97">
        <v>247.0</v>
      </c>
      <c r="D180" s="97">
        <v>2138261.5747583997</v>
      </c>
      <c r="E180" s="92">
        <v>345000.0</v>
      </c>
      <c r="F180" s="101">
        <v>200000.0</v>
      </c>
      <c r="G180" s="136">
        <f t="shared" si="2"/>
        <v>2683508.5747583997</v>
      </c>
    </row>
    <row r="181" spans="8:8" ht="15.75">
      <c r="A181" s="116" t="s">
        <v>192</v>
      </c>
      <c r="B181" s="117" t="s">
        <v>65</v>
      </c>
      <c r="C181" s="97">
        <v>286.0</v>
      </c>
      <c r="D181" s="97">
        <v>3059339.8477824004</v>
      </c>
      <c r="E181" s="92">
        <v>345000.0</v>
      </c>
      <c r="F181" s="101">
        <v>200000.0</v>
      </c>
      <c r="G181" s="136">
        <f t="shared" si="2"/>
        <v>3604625.8477824004</v>
      </c>
    </row>
    <row r="182" spans="8:8" ht="15.75">
      <c r="A182" s="116" t="s">
        <v>193</v>
      </c>
      <c r="B182" s="117" t="s">
        <v>65</v>
      </c>
      <c r="C182" s="97">
        <v>208.0</v>
      </c>
      <c r="D182" s="97">
        <v>1272942.5367859197</v>
      </c>
      <c r="E182" s="92">
        <v>345000.0</v>
      </c>
      <c r="F182" s="101">
        <v>200000.0</v>
      </c>
      <c r="G182" s="136">
        <f t="shared" si="2"/>
        <v>1818150.5367859197</v>
      </c>
    </row>
    <row r="183" spans="8:8" ht="15.75">
      <c r="A183" s="116" t="s">
        <v>194</v>
      </c>
      <c r="B183" s="117" t="s">
        <v>65</v>
      </c>
      <c r="C183" s="97">
        <v>247.0</v>
      </c>
      <c r="D183" s="97">
        <v>2138261.5747583997</v>
      </c>
      <c r="E183" s="92">
        <v>345000.0</v>
      </c>
      <c r="F183" s="101">
        <v>200000.0</v>
      </c>
      <c r="G183" s="136">
        <f t="shared" si="2"/>
        <v>2683508.5747583997</v>
      </c>
    </row>
    <row r="184" spans="8:8" ht="15.75">
      <c r="A184" s="116" t="s">
        <v>197</v>
      </c>
      <c r="B184" s="117" t="s">
        <v>196</v>
      </c>
      <c r="C184" s="97">
        <v>800.0</v>
      </c>
      <c r="D184" s="97">
        <v>5254473.3696</v>
      </c>
      <c r="E184" s="92">
        <v>345000.0</v>
      </c>
      <c r="F184" s="101">
        <v>200000.0</v>
      </c>
      <c r="G184" s="136">
        <f t="shared" si="2"/>
        <v>5800273.3696</v>
      </c>
    </row>
    <row r="185" spans="8:8" ht="15.75">
      <c r="A185" s="116" t="s">
        <v>198</v>
      </c>
      <c r="B185" s="117" t="s">
        <v>196</v>
      </c>
      <c r="C185" s="97">
        <v>800.0</v>
      </c>
      <c r="D185" s="97">
        <v>7205428.423065599</v>
      </c>
      <c r="E185" s="92">
        <v>345000.0</v>
      </c>
      <c r="F185" s="101">
        <v>200000.0</v>
      </c>
      <c r="G185" s="136">
        <f t="shared" si="2"/>
        <v>7751228.423065599</v>
      </c>
    </row>
    <row r="186" spans="8:8" ht="15.75">
      <c r="A186" s="146" t="s">
        <v>199</v>
      </c>
      <c r="B186" s="147" t="s">
        <v>196</v>
      </c>
      <c r="C186" s="108">
        <v>800.0</v>
      </c>
      <c r="D186" s="108">
        <v>4018126.6944</v>
      </c>
      <c r="E186" s="98">
        <v>345000.0</v>
      </c>
      <c r="F186" s="148">
        <v>200000.0</v>
      </c>
      <c r="G186" s="144">
        <f t="shared" si="2"/>
        <v>4563926.694399999</v>
      </c>
    </row>
    <row r="187" spans="8:8" ht="15.75">
      <c r="A187" s="116" t="s">
        <v>200</v>
      </c>
      <c r="B187" s="117" t="s">
        <v>196</v>
      </c>
      <c r="C187" s="97">
        <v>800.0</v>
      </c>
      <c r="D187" s="97">
        <v>9581686.732800001</v>
      </c>
      <c r="E187" s="101">
        <v>345000.0</v>
      </c>
      <c r="F187" s="101">
        <v>200000.0</v>
      </c>
      <c r="G187" s="138">
        <f t="shared" si="2"/>
        <v>1.0127486732800001E7</v>
      </c>
    </row>
    <row r="188" spans="8:8" ht="15.75">
      <c r="A188" s="116" t="s">
        <v>201</v>
      </c>
      <c r="B188" s="117" t="s">
        <v>196</v>
      </c>
      <c r="C188" s="97">
        <v>800.0</v>
      </c>
      <c r="D188" s="97">
        <v>5563560.038400002</v>
      </c>
      <c r="E188" s="92">
        <v>345000.0</v>
      </c>
      <c r="F188" s="101">
        <v>200000.0</v>
      </c>
      <c r="G188" s="136">
        <f t="shared" si="2"/>
        <v>6109360.038400002</v>
      </c>
    </row>
    <row r="189" spans="8:8" ht="15.75">
      <c r="A189" s="116" t="s">
        <v>202</v>
      </c>
      <c r="B189" s="117" t="s">
        <v>196</v>
      </c>
      <c r="C189" s="97">
        <v>800.0</v>
      </c>
      <c r="D189" s="97">
        <v>3709040.0255999994</v>
      </c>
      <c r="E189" s="92">
        <v>345000.0</v>
      </c>
      <c r="F189" s="101">
        <v>200000.0</v>
      </c>
      <c r="G189" s="136">
        <f t="shared" si="2"/>
        <v>4254840.025599999</v>
      </c>
    </row>
    <row r="190" spans="8:8" ht="15.75">
      <c r="A190" s="116" t="s">
        <v>203</v>
      </c>
      <c r="B190" s="117" t="s">
        <v>196</v>
      </c>
      <c r="C190" s="97">
        <v>800.0</v>
      </c>
      <c r="D190" s="97">
        <v>3709040.0255999994</v>
      </c>
      <c r="E190" s="92">
        <v>345000.0</v>
      </c>
      <c r="F190" s="101">
        <v>200000.0</v>
      </c>
      <c r="G190" s="136">
        <f t="shared" si="2"/>
        <v>4254840.025599999</v>
      </c>
    </row>
    <row r="191" spans="8:8" ht="15.75">
      <c r="A191" s="116" t="s">
        <v>204</v>
      </c>
      <c r="B191" s="117" t="s">
        <v>196</v>
      </c>
      <c r="C191" s="97">
        <v>800.0</v>
      </c>
      <c r="D191" s="97">
        <v>3709040.0255999994</v>
      </c>
      <c r="E191" s="92">
        <v>345000.0</v>
      </c>
      <c r="F191" s="101">
        <v>200000.0</v>
      </c>
      <c r="G191" s="136">
        <f t="shared" si="2"/>
        <v>4254840.025599999</v>
      </c>
    </row>
    <row r="192" spans="8:8" ht="15.75">
      <c r="A192" s="116" t="s">
        <v>205</v>
      </c>
      <c r="B192" s="117" t="s">
        <v>196</v>
      </c>
      <c r="C192" s="97">
        <v>800.0</v>
      </c>
      <c r="D192" s="97">
        <v>3709040.0255999994</v>
      </c>
      <c r="E192" s="92">
        <v>345000.0</v>
      </c>
      <c r="F192" s="101">
        <v>200000.0</v>
      </c>
      <c r="G192" s="136">
        <f t="shared" si="2"/>
        <v>4254840.025599999</v>
      </c>
    </row>
    <row r="193" spans="8:8" ht="15.75">
      <c r="A193" s="116" t="s">
        <v>206</v>
      </c>
      <c r="B193" s="117" t="s">
        <v>196</v>
      </c>
      <c r="C193" s="97">
        <v>800.0</v>
      </c>
      <c r="D193" s="97">
        <v>4945386.700800001</v>
      </c>
      <c r="E193" s="92">
        <v>345000.0</v>
      </c>
      <c r="F193" s="101">
        <v>200000.0</v>
      </c>
      <c r="G193" s="136">
        <f t="shared" si="2"/>
        <v>5491186.700800001</v>
      </c>
    </row>
    <row r="194" spans="8:8" ht="15.75">
      <c r="A194" s="116" t="s">
        <v>207</v>
      </c>
      <c r="B194" s="117" t="s">
        <v>196</v>
      </c>
      <c r="C194" s="97">
        <v>800.0</v>
      </c>
      <c r="D194" s="97">
        <v>4327213.3632</v>
      </c>
      <c r="E194" s="92">
        <v>345000.0</v>
      </c>
      <c r="F194" s="101">
        <v>200000.0</v>
      </c>
      <c r="G194" s="136">
        <f t="shared" si="2"/>
        <v>4873013.3632</v>
      </c>
    </row>
    <row r="195" spans="8:8" ht="15.75">
      <c r="A195" s="116" t="s">
        <v>208</v>
      </c>
      <c r="B195" s="117" t="s">
        <v>196</v>
      </c>
      <c r="C195" s="97">
        <v>800.0</v>
      </c>
      <c r="D195" s="97">
        <v>4327213.3632</v>
      </c>
      <c r="E195" s="92">
        <v>345000.0</v>
      </c>
      <c r="F195" s="101">
        <v>200000.0</v>
      </c>
      <c r="G195" s="136">
        <f t="shared" si="3" ref="G195:G258">(C195+D195+E195+F195)</f>
        <v>4873013.3632</v>
      </c>
    </row>
    <row r="196" spans="8:8" ht="15.75">
      <c r="A196" s="116" t="s">
        <v>209</v>
      </c>
      <c r="B196" s="117" t="s">
        <v>196</v>
      </c>
      <c r="C196" s="97">
        <v>800.0</v>
      </c>
      <c r="D196" s="97">
        <v>5872646.707199999</v>
      </c>
      <c r="E196" s="92">
        <v>345000.0</v>
      </c>
      <c r="F196" s="101">
        <v>200000.0</v>
      </c>
      <c r="G196" s="136">
        <f t="shared" si="3"/>
        <v>6418446.707199999</v>
      </c>
    </row>
    <row r="197" spans="8:8" ht="15.75">
      <c r="A197" s="116" t="s">
        <v>210</v>
      </c>
      <c r="B197" s="117" t="s">
        <v>196</v>
      </c>
      <c r="C197" s="97">
        <v>800.0</v>
      </c>
      <c r="D197" s="97">
        <v>4327213.3632</v>
      </c>
      <c r="E197" s="92">
        <v>345000.0</v>
      </c>
      <c r="F197" s="101">
        <v>200000.0</v>
      </c>
      <c r="G197" s="136">
        <f t="shared" si="3"/>
        <v>4873013.3632</v>
      </c>
    </row>
    <row r="198" spans="8:8" ht="15.75">
      <c r="A198" s="116" t="s">
        <v>211</v>
      </c>
      <c r="B198" s="117" t="s">
        <v>196</v>
      </c>
      <c r="C198" s="97">
        <v>800.0</v>
      </c>
      <c r="D198" s="97">
        <v>4327213.3632</v>
      </c>
      <c r="E198" s="92">
        <v>345000.0</v>
      </c>
      <c r="F198" s="101">
        <v>200000.0</v>
      </c>
      <c r="G198" s="136">
        <f t="shared" si="3"/>
        <v>4873013.3632</v>
      </c>
    </row>
    <row r="199" spans="8:8" ht="15.75">
      <c r="A199" s="116" t="s">
        <v>212</v>
      </c>
      <c r="B199" s="117" t="s">
        <v>196</v>
      </c>
      <c r="C199" s="97">
        <v>800.0</v>
      </c>
      <c r="D199" s="97">
        <v>4327213.3632</v>
      </c>
      <c r="E199" s="92">
        <v>345000.0</v>
      </c>
      <c r="F199" s="101">
        <v>200000.0</v>
      </c>
      <c r="G199" s="136">
        <f t="shared" si="3"/>
        <v>4873013.3632</v>
      </c>
    </row>
    <row r="200" spans="8:8" ht="15.75">
      <c r="A200" s="116" t="s">
        <v>213</v>
      </c>
      <c r="B200" s="117" t="s">
        <v>196</v>
      </c>
      <c r="C200" s="97">
        <v>800.0</v>
      </c>
      <c r="D200" s="97">
        <v>1.29816400896E7</v>
      </c>
      <c r="E200" s="92">
        <v>345000.0</v>
      </c>
      <c r="F200" s="101">
        <v>200000.0</v>
      </c>
      <c r="G200" s="136">
        <f t="shared" si="3"/>
        <v>1.35274400896E7</v>
      </c>
    </row>
    <row r="201" spans="8:8" ht="15.75">
      <c r="A201" s="116" t="s">
        <v>214</v>
      </c>
      <c r="B201" s="117" t="s">
        <v>196</v>
      </c>
      <c r="C201" s="97">
        <v>800.0</v>
      </c>
      <c r="D201" s="97">
        <v>4327213.3632</v>
      </c>
      <c r="E201" s="92">
        <v>345000.0</v>
      </c>
      <c r="F201" s="101">
        <v>200000.0</v>
      </c>
      <c r="G201" s="136">
        <f t="shared" si="3"/>
        <v>4873013.3632</v>
      </c>
    </row>
    <row r="202" spans="8:8" ht="15.75">
      <c r="A202" s="116" t="s">
        <v>215</v>
      </c>
      <c r="B202" s="117" t="s">
        <v>196</v>
      </c>
      <c r="C202" s="97">
        <v>1500.0</v>
      </c>
      <c r="D202" s="97">
        <v>4636300.032</v>
      </c>
      <c r="E202" s="92">
        <v>345000.0</v>
      </c>
      <c r="F202" s="101">
        <v>200000.0</v>
      </c>
      <c r="G202" s="136">
        <f t="shared" si="3"/>
        <v>5182800.032</v>
      </c>
    </row>
    <row r="203" spans="8:8" ht="15.75">
      <c r="A203" s="116" t="s">
        <v>216</v>
      </c>
      <c r="B203" s="117" t="s">
        <v>196</v>
      </c>
      <c r="C203" s="97">
        <v>800.0</v>
      </c>
      <c r="D203" s="97">
        <v>4636300.032</v>
      </c>
      <c r="E203" s="92">
        <v>345000.0</v>
      </c>
      <c r="F203" s="101">
        <v>200000.0</v>
      </c>
      <c r="G203" s="136">
        <f t="shared" si="3"/>
        <v>5182100.032</v>
      </c>
    </row>
    <row r="204" spans="8:8" ht="15.75">
      <c r="A204" s="116" t="s">
        <v>217</v>
      </c>
      <c r="B204" s="117" t="s">
        <v>196</v>
      </c>
      <c r="C204" s="97">
        <v>800.0</v>
      </c>
      <c r="D204" s="97">
        <v>4327213.3632</v>
      </c>
      <c r="E204" s="92">
        <v>345000.0</v>
      </c>
      <c r="F204" s="101">
        <v>200000.0</v>
      </c>
      <c r="G204" s="136">
        <f t="shared" si="3"/>
        <v>4873013.3632</v>
      </c>
    </row>
    <row r="205" spans="8:8" ht="15.75">
      <c r="A205" s="116" t="s">
        <v>218</v>
      </c>
      <c r="B205" s="117" t="s">
        <v>196</v>
      </c>
      <c r="C205" s="97">
        <v>800.0</v>
      </c>
      <c r="D205" s="97">
        <v>4327213.3632</v>
      </c>
      <c r="E205" s="92">
        <v>345000.0</v>
      </c>
      <c r="F205" s="101">
        <v>200000.0</v>
      </c>
      <c r="G205" s="136">
        <f t="shared" si="3"/>
        <v>4873013.3632</v>
      </c>
    </row>
    <row r="206" spans="8:8" ht="15.75">
      <c r="A206" s="116" t="s">
        <v>219</v>
      </c>
      <c r="B206" s="117" t="s">
        <v>196</v>
      </c>
      <c r="C206" s="97">
        <v>800.0</v>
      </c>
      <c r="D206" s="97">
        <v>6181733.376</v>
      </c>
      <c r="E206" s="92">
        <v>345000.0</v>
      </c>
      <c r="F206" s="101">
        <v>200000.0</v>
      </c>
      <c r="G206" s="136">
        <f t="shared" si="3"/>
        <v>6727533.376</v>
      </c>
    </row>
    <row r="207" spans="8:8" ht="15.75">
      <c r="A207" s="146" t="s">
        <v>220</v>
      </c>
      <c r="B207" s="147" t="s">
        <v>196</v>
      </c>
      <c r="C207" s="108">
        <v>800.0</v>
      </c>
      <c r="D207" s="108">
        <v>6181733.376</v>
      </c>
      <c r="E207" s="98">
        <v>345000.0</v>
      </c>
      <c r="F207" s="148">
        <v>200000.0</v>
      </c>
      <c r="G207" s="144">
        <f t="shared" si="3"/>
        <v>6727533.376</v>
      </c>
    </row>
    <row r="208" spans="8:8" ht="15.75">
      <c r="A208" s="116" t="s">
        <v>221</v>
      </c>
      <c r="B208" s="117" t="s">
        <v>196</v>
      </c>
      <c r="C208" s="97">
        <v>800.0</v>
      </c>
      <c r="D208" s="97">
        <v>5932638.5976</v>
      </c>
      <c r="E208" s="101">
        <v>345000.0</v>
      </c>
      <c r="F208" s="101">
        <v>200000.0</v>
      </c>
      <c r="G208" s="138">
        <f t="shared" si="3"/>
        <v>6478438.5976</v>
      </c>
    </row>
    <row r="209" spans="8:8" ht="15.75">
      <c r="A209" s="116" t="s">
        <v>222</v>
      </c>
      <c r="B209" s="117" t="s">
        <v>196</v>
      </c>
      <c r="C209" s="97">
        <v>800.0</v>
      </c>
      <c r="D209" s="97">
        <v>4481756.697600001</v>
      </c>
      <c r="E209" s="92">
        <v>345000.0</v>
      </c>
      <c r="F209" s="101">
        <v>200000.0</v>
      </c>
      <c r="G209" s="136">
        <f t="shared" si="3"/>
        <v>5027556.697600001</v>
      </c>
    </row>
    <row r="210" spans="8:8" ht="15.75">
      <c r="A210" s="116" t="s">
        <v>223</v>
      </c>
      <c r="B210" s="117" t="s">
        <v>196</v>
      </c>
      <c r="C210" s="97">
        <v>800.0</v>
      </c>
      <c r="D210" s="97">
        <v>6181733.376</v>
      </c>
      <c r="E210" s="92">
        <v>345000.0</v>
      </c>
      <c r="F210" s="101">
        <v>200000.0</v>
      </c>
      <c r="G210" s="136">
        <f t="shared" si="3"/>
        <v>6727533.376</v>
      </c>
    </row>
    <row r="211" spans="8:8" ht="15.75">
      <c r="A211" s="116" t="s">
        <v>224</v>
      </c>
      <c r="B211" s="117" t="s">
        <v>196</v>
      </c>
      <c r="C211" s="97">
        <v>800.0</v>
      </c>
      <c r="D211" s="97">
        <v>4327213.3632</v>
      </c>
      <c r="E211" s="92">
        <v>345000.0</v>
      </c>
      <c r="F211" s="101">
        <v>200000.0</v>
      </c>
      <c r="G211" s="136">
        <f t="shared" si="3"/>
        <v>4873013.3632</v>
      </c>
    </row>
    <row r="212" spans="8:8" ht="15.75">
      <c r="A212" s="116" t="s">
        <v>225</v>
      </c>
      <c r="B212" s="117" t="s">
        <v>196</v>
      </c>
      <c r="C212" s="97">
        <v>800.0</v>
      </c>
      <c r="D212" s="97">
        <v>4327213.3632</v>
      </c>
      <c r="E212" s="92">
        <v>345000.0</v>
      </c>
      <c r="F212" s="101">
        <v>200000.0</v>
      </c>
      <c r="G212" s="136">
        <f t="shared" si="3"/>
        <v>4873013.3632</v>
      </c>
    </row>
    <row r="213" spans="8:8" ht="15.75">
      <c r="A213" s="116" t="s">
        <v>226</v>
      </c>
      <c r="B213" s="117" t="s">
        <v>196</v>
      </c>
      <c r="C213" s="97">
        <v>800.0</v>
      </c>
      <c r="D213" s="97">
        <v>1.60725067776E7</v>
      </c>
      <c r="E213" s="92">
        <v>345000.0</v>
      </c>
      <c r="F213" s="101">
        <v>200000.0</v>
      </c>
      <c r="G213" s="136">
        <f t="shared" si="3"/>
        <v>1.66183067776E7</v>
      </c>
    </row>
    <row r="214" spans="8:8" ht="15.75">
      <c r="A214" s="116" t="s">
        <v>227</v>
      </c>
      <c r="B214" s="117" t="s">
        <v>196</v>
      </c>
      <c r="C214" s="97">
        <v>800.0</v>
      </c>
      <c r="D214" s="97">
        <v>1.9781546803200003E7</v>
      </c>
      <c r="E214" s="92">
        <v>345000.0</v>
      </c>
      <c r="F214" s="101">
        <v>200000.0</v>
      </c>
      <c r="G214" s="136">
        <f t="shared" si="3"/>
        <v>2.0327346803200003E7</v>
      </c>
    </row>
    <row r="215" spans="8:8" ht="15.75">
      <c r="A215" s="116" t="s">
        <v>228</v>
      </c>
      <c r="B215" s="117" t="s">
        <v>196</v>
      </c>
      <c r="C215" s="97">
        <v>800.0</v>
      </c>
      <c r="D215" s="97">
        <v>6181733.376</v>
      </c>
      <c r="E215" s="92">
        <v>345000.0</v>
      </c>
      <c r="F215" s="101">
        <v>200000.0</v>
      </c>
      <c r="G215" s="136">
        <f t="shared" si="3"/>
        <v>6727533.376</v>
      </c>
    </row>
    <row r="216" spans="8:8" ht="15.75">
      <c r="A216" s="116" t="s">
        <v>229</v>
      </c>
      <c r="B216" s="117" t="s">
        <v>196</v>
      </c>
      <c r="C216" s="97">
        <v>800.0</v>
      </c>
      <c r="D216" s="97">
        <v>4327213.3632</v>
      </c>
      <c r="E216" s="92">
        <v>345000.0</v>
      </c>
      <c r="F216" s="101">
        <v>200000.0</v>
      </c>
      <c r="G216" s="136">
        <f t="shared" si="3"/>
        <v>4873013.3632</v>
      </c>
    </row>
    <row r="217" spans="8:8" ht="15.75">
      <c r="A217" s="116" t="s">
        <v>230</v>
      </c>
      <c r="B217" s="117" t="s">
        <v>196</v>
      </c>
      <c r="C217" s="97">
        <v>800.0</v>
      </c>
      <c r="D217" s="97">
        <v>4327213.3632</v>
      </c>
      <c r="E217" s="92">
        <v>345000.0</v>
      </c>
      <c r="F217" s="101">
        <v>200000.0</v>
      </c>
      <c r="G217" s="136">
        <f t="shared" si="3"/>
        <v>4873013.3632</v>
      </c>
    </row>
    <row r="218" spans="8:8" ht="15.75">
      <c r="A218" s="116" t="s">
        <v>231</v>
      </c>
      <c r="B218" s="117" t="s">
        <v>196</v>
      </c>
      <c r="C218" s="97">
        <v>800.0</v>
      </c>
      <c r="D218" s="97">
        <v>4327213.3632</v>
      </c>
      <c r="E218" s="92">
        <v>345000.0</v>
      </c>
      <c r="F218" s="101">
        <v>200000.0</v>
      </c>
      <c r="G218" s="136">
        <f t="shared" si="3"/>
        <v>4873013.3632</v>
      </c>
    </row>
    <row r="219" spans="8:8" ht="15.75">
      <c r="A219" s="116" t="s">
        <v>232</v>
      </c>
      <c r="B219" s="117" t="s">
        <v>196</v>
      </c>
      <c r="C219" s="97">
        <v>800.0</v>
      </c>
      <c r="D219" s="97">
        <v>4327213.3632</v>
      </c>
      <c r="E219" s="92">
        <v>345000.0</v>
      </c>
      <c r="F219" s="101">
        <v>200000.0</v>
      </c>
      <c r="G219" s="136">
        <f t="shared" si="3"/>
        <v>4873013.3632</v>
      </c>
    </row>
    <row r="220" spans="8:8" ht="15.75">
      <c r="A220" s="116" t="s">
        <v>233</v>
      </c>
      <c r="B220" s="117" t="s">
        <v>196</v>
      </c>
      <c r="C220" s="97">
        <v>800.0</v>
      </c>
      <c r="D220" s="97">
        <v>6181733.376</v>
      </c>
      <c r="E220" s="92">
        <v>345000.0</v>
      </c>
      <c r="F220" s="101">
        <v>200000.0</v>
      </c>
      <c r="G220" s="136">
        <f t="shared" si="3"/>
        <v>6727533.376</v>
      </c>
    </row>
    <row r="221" spans="8:8" ht="15.75">
      <c r="A221" s="116" t="s">
        <v>234</v>
      </c>
      <c r="B221" s="117" t="s">
        <v>196</v>
      </c>
      <c r="C221" s="97">
        <v>800.0</v>
      </c>
      <c r="D221" s="97">
        <v>6181733.376</v>
      </c>
      <c r="E221" s="92">
        <v>345000.0</v>
      </c>
      <c r="F221" s="101">
        <v>200000.0</v>
      </c>
      <c r="G221" s="136">
        <f t="shared" si="3"/>
        <v>6727533.376</v>
      </c>
    </row>
    <row r="222" spans="8:8" ht="15.75">
      <c r="A222" s="116" t="s">
        <v>235</v>
      </c>
      <c r="B222" s="117" t="s">
        <v>196</v>
      </c>
      <c r="C222" s="97">
        <v>800.0</v>
      </c>
      <c r="D222" s="97">
        <v>4327213.3632</v>
      </c>
      <c r="E222" s="92">
        <v>345000.0</v>
      </c>
      <c r="F222" s="101">
        <v>200000.0</v>
      </c>
      <c r="G222" s="136">
        <f t="shared" si="3"/>
        <v>4873013.3632</v>
      </c>
    </row>
    <row r="223" spans="8:8" ht="15.75">
      <c r="A223" s="116" t="s">
        <v>236</v>
      </c>
      <c r="B223" s="117" t="s">
        <v>196</v>
      </c>
      <c r="C223" s="97">
        <v>800.0</v>
      </c>
      <c r="D223" s="97">
        <v>4327213.3632</v>
      </c>
      <c r="E223" s="92">
        <v>345000.0</v>
      </c>
      <c r="F223" s="101">
        <v>200000.0</v>
      </c>
      <c r="G223" s="136">
        <f t="shared" si="3"/>
        <v>4873013.3632</v>
      </c>
    </row>
    <row r="224" spans="8:8" ht="15.75">
      <c r="A224" s="116" t="s">
        <v>237</v>
      </c>
      <c r="B224" s="117" t="s">
        <v>196</v>
      </c>
      <c r="C224" s="97">
        <v>800.0</v>
      </c>
      <c r="D224" s="97">
        <v>6181733.376</v>
      </c>
      <c r="E224" s="92">
        <v>345000.0</v>
      </c>
      <c r="F224" s="101">
        <v>200000.0</v>
      </c>
      <c r="G224" s="136">
        <f t="shared" si="3"/>
        <v>6727533.376</v>
      </c>
    </row>
    <row r="225" spans="8:8" ht="15.75">
      <c r="A225" s="116" t="s">
        <v>238</v>
      </c>
      <c r="B225" s="117" t="s">
        <v>196</v>
      </c>
      <c r="C225" s="97">
        <v>800.0</v>
      </c>
      <c r="D225" s="97">
        <v>4327213.3632</v>
      </c>
      <c r="E225" s="92">
        <v>345000.0</v>
      </c>
      <c r="F225" s="101">
        <v>200000.0</v>
      </c>
      <c r="G225" s="136">
        <f t="shared" si="3"/>
        <v>4873013.3632</v>
      </c>
    </row>
    <row r="226" spans="8:8" ht="15.75">
      <c r="A226" s="116" t="s">
        <v>239</v>
      </c>
      <c r="B226" s="117" t="s">
        <v>196</v>
      </c>
      <c r="C226" s="97">
        <v>800.0</v>
      </c>
      <c r="D226" s="97">
        <v>4327213.3632</v>
      </c>
      <c r="E226" s="92">
        <v>345000.0</v>
      </c>
      <c r="F226" s="101">
        <v>200000.0</v>
      </c>
      <c r="G226" s="136">
        <f t="shared" si="3"/>
        <v>4873013.3632</v>
      </c>
    </row>
    <row r="227" spans="8:8" ht="15.75">
      <c r="A227" s="116" t="s">
        <v>240</v>
      </c>
      <c r="B227" s="117" t="s">
        <v>196</v>
      </c>
      <c r="C227" s="97">
        <v>800.0</v>
      </c>
      <c r="D227" s="97">
        <v>4327213.3632</v>
      </c>
      <c r="E227" s="92">
        <v>345000.0</v>
      </c>
      <c r="F227" s="101">
        <v>200000.0</v>
      </c>
      <c r="G227" s="136">
        <f t="shared" si="3"/>
        <v>4873013.3632</v>
      </c>
    </row>
    <row r="228" spans="8:8" ht="15.75">
      <c r="A228" s="116" t="s">
        <v>241</v>
      </c>
      <c r="B228" s="117" t="s">
        <v>196</v>
      </c>
      <c r="C228" s="97">
        <v>800.0</v>
      </c>
      <c r="D228" s="97">
        <v>4327213.3632</v>
      </c>
      <c r="E228" s="92">
        <v>345000.0</v>
      </c>
      <c r="F228" s="101">
        <v>200000.0</v>
      </c>
      <c r="G228" s="136">
        <f t="shared" si="3"/>
        <v>4873013.3632</v>
      </c>
    </row>
    <row r="229" spans="8:8" ht="15.75">
      <c r="A229" s="116" t="s">
        <v>242</v>
      </c>
      <c r="B229" s="117" t="s">
        <v>196</v>
      </c>
      <c r="C229" s="97">
        <v>800.0</v>
      </c>
      <c r="D229" s="97">
        <v>4327213.3632</v>
      </c>
      <c r="E229" s="92">
        <v>345000.0</v>
      </c>
      <c r="F229" s="101">
        <v>200000.0</v>
      </c>
      <c r="G229" s="136">
        <f t="shared" si="3"/>
        <v>4873013.3632</v>
      </c>
    </row>
    <row r="230" spans="8:8" ht="15.75">
      <c r="A230" s="116" t="s">
        <v>243</v>
      </c>
      <c r="B230" s="117" t="s">
        <v>196</v>
      </c>
      <c r="C230" s="97">
        <v>800.0</v>
      </c>
      <c r="D230" s="97">
        <v>4327213.3632</v>
      </c>
      <c r="E230" s="92">
        <v>345000.0</v>
      </c>
      <c r="F230" s="101">
        <v>200000.0</v>
      </c>
      <c r="G230" s="136">
        <f t="shared" si="3"/>
        <v>4873013.3632</v>
      </c>
    </row>
    <row r="231" spans="8:8" ht="15.75">
      <c r="A231" s="116" t="s">
        <v>244</v>
      </c>
      <c r="B231" s="117" t="s">
        <v>196</v>
      </c>
      <c r="C231" s="97">
        <v>800.0</v>
      </c>
      <c r="D231" s="97">
        <v>4327213.3632</v>
      </c>
      <c r="E231" s="92">
        <v>345000.0</v>
      </c>
      <c r="F231" s="101">
        <v>200000.0</v>
      </c>
      <c r="G231" s="136">
        <f t="shared" si="3"/>
        <v>4873013.3632</v>
      </c>
    </row>
    <row r="232" spans="8:8" ht="15.75">
      <c r="A232" s="116" t="s">
        <v>245</v>
      </c>
      <c r="B232" s="117" t="s">
        <v>196</v>
      </c>
      <c r="C232" s="97">
        <v>800.0</v>
      </c>
      <c r="D232" s="97">
        <v>1.9163373465600003E7</v>
      </c>
      <c r="E232" s="92">
        <v>345000.0</v>
      </c>
      <c r="F232" s="101">
        <v>200000.0</v>
      </c>
      <c r="G232" s="136">
        <f t="shared" si="3"/>
        <v>1.9709173465600003E7</v>
      </c>
    </row>
    <row r="233" spans="8:8" ht="15.75">
      <c r="A233" s="116" t="s">
        <v>246</v>
      </c>
      <c r="B233" s="117" t="s">
        <v>196</v>
      </c>
      <c r="C233" s="97">
        <v>800.0</v>
      </c>
      <c r="D233" s="97">
        <v>6181733.376</v>
      </c>
      <c r="E233" s="92">
        <v>345000.0</v>
      </c>
      <c r="F233" s="101">
        <v>200000.0</v>
      </c>
      <c r="G233" s="136">
        <f t="shared" si="3"/>
        <v>6727533.376</v>
      </c>
    </row>
    <row r="234" spans="8:8" ht="15.75">
      <c r="A234" s="116" t="s">
        <v>247</v>
      </c>
      <c r="B234" s="117" t="s">
        <v>196</v>
      </c>
      <c r="C234" s="97">
        <v>800.0</v>
      </c>
      <c r="D234" s="97">
        <v>4327213.3632</v>
      </c>
      <c r="E234" s="92">
        <v>345000.0</v>
      </c>
      <c r="F234" s="101">
        <v>200000.0</v>
      </c>
      <c r="G234" s="136">
        <f t="shared" si="3"/>
        <v>4873013.3632</v>
      </c>
    </row>
    <row r="235" spans="8:8" ht="15.75">
      <c r="A235" s="116" t="s">
        <v>248</v>
      </c>
      <c r="B235" s="117" t="s">
        <v>196</v>
      </c>
      <c r="C235" s="97">
        <v>800.0</v>
      </c>
      <c r="D235" s="97">
        <v>4327213.3632</v>
      </c>
      <c r="E235" s="92">
        <v>345000.0</v>
      </c>
      <c r="F235" s="101">
        <v>200000.0</v>
      </c>
      <c r="G235" s="136">
        <f t="shared" si="3"/>
        <v>4873013.3632</v>
      </c>
    </row>
    <row r="236" spans="8:8" ht="15.75">
      <c r="A236" s="116" t="s">
        <v>249</v>
      </c>
      <c r="B236" s="117" t="s">
        <v>196</v>
      </c>
      <c r="C236" s="97">
        <v>800.0</v>
      </c>
      <c r="D236" s="97">
        <v>4327213.3632</v>
      </c>
      <c r="E236" s="92">
        <v>345000.0</v>
      </c>
      <c r="F236" s="101">
        <v>200000.0</v>
      </c>
      <c r="G236" s="136">
        <f t="shared" si="3"/>
        <v>4873013.3632</v>
      </c>
    </row>
    <row r="237" spans="8:8" ht="15.75">
      <c r="A237" s="116" t="s">
        <v>250</v>
      </c>
      <c r="B237" s="117" t="s">
        <v>196</v>
      </c>
      <c r="C237" s="97">
        <v>800.0</v>
      </c>
      <c r="D237" s="97">
        <v>4327213.3632</v>
      </c>
      <c r="E237" s="92">
        <v>345000.0</v>
      </c>
      <c r="F237" s="101">
        <v>200000.0</v>
      </c>
      <c r="G237" s="136">
        <f t="shared" si="3"/>
        <v>4873013.3632</v>
      </c>
    </row>
    <row r="238" spans="8:8" ht="15.75">
      <c r="A238" s="116" t="s">
        <v>251</v>
      </c>
      <c r="B238" s="117" t="s">
        <v>196</v>
      </c>
      <c r="C238" s="97">
        <v>800.0</v>
      </c>
      <c r="D238" s="97">
        <v>4327213.3632</v>
      </c>
      <c r="E238" s="92">
        <v>345000.0</v>
      </c>
      <c r="F238" s="101">
        <v>200000.0</v>
      </c>
      <c r="G238" s="136">
        <f t="shared" si="3"/>
        <v>4873013.3632</v>
      </c>
    </row>
    <row r="239" spans="8:8" ht="15.75">
      <c r="A239" s="116" t="s">
        <v>252</v>
      </c>
      <c r="B239" s="117" t="s">
        <v>196</v>
      </c>
      <c r="C239" s="97">
        <v>800.0</v>
      </c>
      <c r="D239" s="97">
        <v>4327213.3632</v>
      </c>
      <c r="E239" s="92">
        <v>345000.0</v>
      </c>
      <c r="F239" s="101">
        <v>200000.0</v>
      </c>
      <c r="G239" s="136">
        <f t="shared" si="3"/>
        <v>4873013.3632</v>
      </c>
    </row>
    <row r="240" spans="8:8" ht="15.75">
      <c r="A240" s="146" t="s">
        <v>253</v>
      </c>
      <c r="B240" s="147" t="s">
        <v>196</v>
      </c>
      <c r="C240" s="108">
        <v>800.0</v>
      </c>
      <c r="D240" s="108">
        <v>4327213.3632</v>
      </c>
      <c r="E240" s="98">
        <v>345000.0</v>
      </c>
      <c r="F240" s="148">
        <v>200000.0</v>
      </c>
      <c r="G240" s="144">
        <f t="shared" si="3"/>
        <v>4873013.3632</v>
      </c>
    </row>
    <row r="241" spans="8:8" ht="15.75">
      <c r="A241" s="116" t="s">
        <v>254</v>
      </c>
      <c r="B241" s="117" t="s">
        <v>196</v>
      </c>
      <c r="C241" s="97">
        <v>800.0</v>
      </c>
      <c r="D241" s="97">
        <v>6181733.376</v>
      </c>
      <c r="E241" s="101">
        <v>345000.0</v>
      </c>
      <c r="F241" s="101">
        <v>200000.0</v>
      </c>
      <c r="G241" s="138">
        <f t="shared" si="3"/>
        <v>6727533.376</v>
      </c>
    </row>
    <row r="242" spans="8:8" ht="15.75">
      <c r="A242" s="116" t="s">
        <v>255</v>
      </c>
      <c r="B242" s="117" t="s">
        <v>196</v>
      </c>
      <c r="C242" s="97">
        <v>800.0</v>
      </c>
      <c r="D242" s="97">
        <v>4327213.3632</v>
      </c>
      <c r="E242" s="92">
        <v>345000.0</v>
      </c>
      <c r="F242" s="101">
        <v>200000.0</v>
      </c>
      <c r="G242" s="136">
        <f t="shared" si="3"/>
        <v>4873013.3632</v>
      </c>
    </row>
    <row r="243" spans="8:8" ht="15.75">
      <c r="A243" s="116" t="s">
        <v>256</v>
      </c>
      <c r="B243" s="117" t="s">
        <v>196</v>
      </c>
      <c r="C243" s="97">
        <v>800.0</v>
      </c>
      <c r="D243" s="97">
        <v>4327213.3632</v>
      </c>
      <c r="E243" s="92">
        <v>345000.0</v>
      </c>
      <c r="F243" s="101">
        <v>200000.0</v>
      </c>
      <c r="G243" s="136">
        <f t="shared" si="3"/>
        <v>4873013.3632</v>
      </c>
    </row>
    <row r="244" spans="8:8" ht="15.75">
      <c r="A244" s="116" t="s">
        <v>257</v>
      </c>
      <c r="B244" s="117" t="s">
        <v>196</v>
      </c>
      <c r="C244" s="97">
        <v>800.0</v>
      </c>
      <c r="D244" s="97">
        <v>6799906.7136</v>
      </c>
      <c r="E244" s="92">
        <v>345000.0</v>
      </c>
      <c r="F244" s="101">
        <v>200000.0</v>
      </c>
      <c r="G244" s="136">
        <f t="shared" si="3"/>
        <v>7345706.7136</v>
      </c>
    </row>
    <row r="245" spans="8:8" ht="15.75">
      <c r="A245" s="116" t="s">
        <v>258</v>
      </c>
      <c r="B245" s="117" t="s">
        <v>196</v>
      </c>
      <c r="C245" s="97">
        <v>800.0</v>
      </c>
      <c r="D245" s="97">
        <v>4327213.3632</v>
      </c>
      <c r="E245" s="92">
        <v>345000.0</v>
      </c>
      <c r="F245" s="101">
        <v>200000.0</v>
      </c>
      <c r="G245" s="136">
        <f t="shared" si="3"/>
        <v>4873013.3632</v>
      </c>
    </row>
    <row r="246" spans="8:8" ht="15.75">
      <c r="A246" s="116" t="s">
        <v>259</v>
      </c>
      <c r="B246" s="117" t="s">
        <v>196</v>
      </c>
      <c r="C246" s="97">
        <v>800.0</v>
      </c>
      <c r="D246" s="97">
        <v>4327213.3632</v>
      </c>
      <c r="E246" s="92">
        <v>345000.0</v>
      </c>
      <c r="F246" s="101">
        <v>200000.0</v>
      </c>
      <c r="G246" s="136">
        <f t="shared" si="3"/>
        <v>4873013.3632</v>
      </c>
    </row>
    <row r="247" spans="8:8" ht="15.75">
      <c r="A247" s="116" t="s">
        <v>260</v>
      </c>
      <c r="B247" s="117" t="s">
        <v>196</v>
      </c>
      <c r="C247" s="97">
        <v>800.0</v>
      </c>
      <c r="D247" s="97">
        <v>6799906.7136</v>
      </c>
      <c r="E247" s="92">
        <v>345000.0</v>
      </c>
      <c r="F247" s="101">
        <v>200000.0</v>
      </c>
      <c r="G247" s="136">
        <f t="shared" si="3"/>
        <v>7345706.7136</v>
      </c>
    </row>
    <row r="248" spans="8:8" ht="15.75">
      <c r="A248" s="116" t="s">
        <v>261</v>
      </c>
      <c r="B248" s="117" t="s">
        <v>196</v>
      </c>
      <c r="C248" s="97">
        <v>800.0</v>
      </c>
      <c r="D248" s="97">
        <v>6181733.376</v>
      </c>
      <c r="E248" s="92">
        <v>345000.0</v>
      </c>
      <c r="F248" s="101">
        <v>200000.0</v>
      </c>
      <c r="G248" s="136">
        <f t="shared" si="3"/>
        <v>6727533.376</v>
      </c>
    </row>
    <row r="249" spans="8:8" ht="15.75">
      <c r="A249" s="116" t="s">
        <v>262</v>
      </c>
      <c r="B249" s="117" t="s">
        <v>196</v>
      </c>
      <c r="C249" s="97">
        <v>800.0</v>
      </c>
      <c r="D249" s="97">
        <v>6181733.376</v>
      </c>
      <c r="E249" s="92">
        <v>345000.0</v>
      </c>
      <c r="F249" s="101">
        <v>200000.0</v>
      </c>
      <c r="G249" s="136">
        <f t="shared" si="3"/>
        <v>6727533.376</v>
      </c>
    </row>
    <row r="250" spans="8:8" ht="15.75">
      <c r="A250" s="116" t="s">
        <v>263</v>
      </c>
      <c r="B250" s="117" t="s">
        <v>196</v>
      </c>
      <c r="C250" s="97">
        <v>800.0</v>
      </c>
      <c r="D250" s="97">
        <v>4327213.3632</v>
      </c>
      <c r="E250" s="92">
        <v>345000.0</v>
      </c>
      <c r="F250" s="101">
        <v>200000.0</v>
      </c>
      <c r="G250" s="136">
        <f t="shared" si="3"/>
        <v>4873013.3632</v>
      </c>
    </row>
    <row r="251" spans="8:8" ht="15.75">
      <c r="A251" s="116" t="s">
        <v>264</v>
      </c>
      <c r="B251" s="117" t="s">
        <v>196</v>
      </c>
      <c r="C251" s="97">
        <v>800.0</v>
      </c>
      <c r="D251" s="97">
        <v>6181733.376</v>
      </c>
      <c r="E251" s="92">
        <v>345000.0</v>
      </c>
      <c r="F251" s="101">
        <v>200000.0</v>
      </c>
      <c r="G251" s="136">
        <f t="shared" si="3"/>
        <v>6727533.376</v>
      </c>
    </row>
    <row r="252" spans="8:8" ht="15.75">
      <c r="A252" s="116" t="s">
        <v>265</v>
      </c>
      <c r="B252" s="117" t="s">
        <v>196</v>
      </c>
      <c r="C252" s="97">
        <v>800.0</v>
      </c>
      <c r="D252" s="97">
        <v>4327213.3632</v>
      </c>
      <c r="E252" s="92">
        <v>345000.0</v>
      </c>
      <c r="F252" s="101">
        <v>200000.0</v>
      </c>
      <c r="G252" s="136">
        <f t="shared" si="3"/>
        <v>4873013.3632</v>
      </c>
    </row>
    <row r="253" spans="8:8" ht="15.75">
      <c r="A253" s="116" t="s">
        <v>266</v>
      </c>
      <c r="B253" s="117" t="s">
        <v>196</v>
      </c>
      <c r="C253" s="97">
        <v>800.0</v>
      </c>
      <c r="D253" s="97">
        <v>4327213.3632</v>
      </c>
      <c r="E253" s="92">
        <v>345000.0</v>
      </c>
      <c r="F253" s="101">
        <v>200000.0</v>
      </c>
      <c r="G253" s="136">
        <f t="shared" si="3"/>
        <v>4873013.3632</v>
      </c>
    </row>
    <row r="254" spans="8:8" ht="15.75">
      <c r="A254" s="116" t="s">
        <v>267</v>
      </c>
      <c r="B254" s="117" t="s">
        <v>196</v>
      </c>
      <c r="C254" s="97">
        <v>800.0</v>
      </c>
      <c r="D254" s="97">
        <v>4327213.3632</v>
      </c>
      <c r="E254" s="92">
        <v>345000.0</v>
      </c>
      <c r="F254" s="101">
        <v>200000.0</v>
      </c>
      <c r="G254" s="136">
        <f t="shared" si="3"/>
        <v>4873013.3632</v>
      </c>
    </row>
    <row r="255" spans="8:8" ht="15.75">
      <c r="A255" s="116" t="s">
        <v>268</v>
      </c>
      <c r="B255" s="117" t="s">
        <v>196</v>
      </c>
      <c r="C255" s="97">
        <v>800.0</v>
      </c>
      <c r="D255" s="97">
        <v>4327213.3632</v>
      </c>
      <c r="E255" s="92">
        <v>345000.0</v>
      </c>
      <c r="F255" s="101">
        <v>200000.0</v>
      </c>
      <c r="G255" s="136">
        <f t="shared" si="3"/>
        <v>4873013.3632</v>
      </c>
    </row>
    <row r="256" spans="8:8" ht="15.75">
      <c r="A256" s="146" t="s">
        <v>269</v>
      </c>
      <c r="B256" s="147" t="s">
        <v>196</v>
      </c>
      <c r="C256" s="108">
        <v>800.0</v>
      </c>
      <c r="D256" s="108">
        <v>4481756.697600001</v>
      </c>
      <c r="E256" s="98">
        <v>345000.0</v>
      </c>
      <c r="F256" s="148">
        <v>200000.0</v>
      </c>
      <c r="G256" s="144">
        <f t="shared" si="3"/>
        <v>5027556.697600001</v>
      </c>
    </row>
    <row r="257" spans="8:8" ht="15.75">
      <c r="A257" s="116" t="s">
        <v>270</v>
      </c>
      <c r="B257" s="117" t="s">
        <v>196</v>
      </c>
      <c r="C257" s="97">
        <v>800.0</v>
      </c>
      <c r="D257" s="97">
        <v>4327213.3632</v>
      </c>
      <c r="E257" s="101">
        <v>345000.0</v>
      </c>
      <c r="F257" s="101">
        <v>200000.0</v>
      </c>
      <c r="G257" s="138">
        <f t="shared" si="3"/>
        <v>4873013.3632</v>
      </c>
    </row>
    <row r="258" spans="8:8" ht="15.75">
      <c r="A258" s="116" t="s">
        <v>271</v>
      </c>
      <c r="B258" s="117" t="s">
        <v>196</v>
      </c>
      <c r="C258" s="97">
        <v>800.0</v>
      </c>
      <c r="D258" s="97">
        <v>4327213.3632</v>
      </c>
      <c r="E258" s="92">
        <v>345000.0</v>
      </c>
      <c r="F258" s="101">
        <v>200000.0</v>
      </c>
      <c r="G258" s="136">
        <f t="shared" si="3"/>
        <v>4873013.3632</v>
      </c>
    </row>
    <row r="259" spans="8:8" ht="15.75">
      <c r="A259" s="116" t="s">
        <v>272</v>
      </c>
      <c r="B259" s="117" t="s">
        <v>196</v>
      </c>
      <c r="C259" s="97">
        <v>800.0</v>
      </c>
      <c r="D259" s="97">
        <v>4327213.3632</v>
      </c>
      <c r="E259" s="92">
        <v>345000.0</v>
      </c>
      <c r="F259" s="101">
        <v>200000.0</v>
      </c>
      <c r="G259" s="136">
        <f t="shared" si="4" ref="G259:G277">(C259+D259+E259+F259)</f>
        <v>4873013.3632</v>
      </c>
    </row>
    <row r="260" spans="8:8" ht="15.75">
      <c r="A260" s="116" t="s">
        <v>273</v>
      </c>
      <c r="B260" s="117" t="s">
        <v>196</v>
      </c>
      <c r="C260" s="97">
        <v>800.0</v>
      </c>
      <c r="D260" s="97">
        <v>6181733.376</v>
      </c>
      <c r="E260" s="92">
        <v>345000.0</v>
      </c>
      <c r="F260" s="101">
        <v>200000.0</v>
      </c>
      <c r="G260" s="136">
        <f t="shared" si="4"/>
        <v>6727533.376</v>
      </c>
    </row>
    <row r="261" spans="8:8" ht="15.75">
      <c r="A261" s="116" t="s">
        <v>274</v>
      </c>
      <c r="B261" s="117" t="s">
        <v>196</v>
      </c>
      <c r="C261" s="97">
        <v>800.0</v>
      </c>
      <c r="D261" s="97">
        <v>4327213.3632</v>
      </c>
      <c r="E261" s="92">
        <v>345000.0</v>
      </c>
      <c r="F261" s="101">
        <v>200000.0</v>
      </c>
      <c r="G261" s="136">
        <f t="shared" si="4"/>
        <v>4873013.3632</v>
      </c>
    </row>
    <row r="262" spans="8:8" ht="15.75">
      <c r="A262" s="116" t="s">
        <v>275</v>
      </c>
      <c r="B262" s="117" t="s">
        <v>196</v>
      </c>
      <c r="C262" s="97">
        <v>800.0</v>
      </c>
      <c r="D262" s="97">
        <v>4327213.3632</v>
      </c>
      <c r="E262" s="92">
        <v>345000.0</v>
      </c>
      <c r="F262" s="101">
        <v>200000.0</v>
      </c>
      <c r="G262" s="136">
        <f t="shared" si="4"/>
        <v>4873013.3632</v>
      </c>
    </row>
    <row r="263" spans="8:8" ht="15.75">
      <c r="A263" s="116" t="s">
        <v>276</v>
      </c>
      <c r="B263" s="117" t="s">
        <v>196</v>
      </c>
      <c r="C263" s="97">
        <v>800.0</v>
      </c>
      <c r="D263" s="97">
        <v>6181733.376</v>
      </c>
      <c r="E263" s="92">
        <v>345000.0</v>
      </c>
      <c r="F263" s="101">
        <v>200000.0</v>
      </c>
      <c r="G263" s="136">
        <f t="shared" si="4"/>
        <v>6727533.376</v>
      </c>
    </row>
    <row r="264" spans="8:8" ht="15.75">
      <c r="A264" s="146" t="s">
        <v>277</v>
      </c>
      <c r="B264" s="147" t="s">
        <v>196</v>
      </c>
      <c r="C264" s="108">
        <v>800.0</v>
      </c>
      <c r="D264" s="108">
        <v>4327213.3632</v>
      </c>
      <c r="E264" s="98">
        <v>345000.0</v>
      </c>
      <c r="F264" s="148">
        <v>200000.0</v>
      </c>
      <c r="G264" s="144">
        <f t="shared" si="4"/>
        <v>4873013.3632</v>
      </c>
    </row>
    <row r="265" spans="8:8" ht="15.75">
      <c r="A265" s="116" t="s">
        <v>278</v>
      </c>
      <c r="B265" s="117" t="s">
        <v>196</v>
      </c>
      <c r="C265" s="97">
        <v>800.0</v>
      </c>
      <c r="D265" s="97">
        <v>2.0708806809600003E7</v>
      </c>
      <c r="E265" s="101">
        <v>345000.0</v>
      </c>
      <c r="F265" s="101">
        <v>200000.0</v>
      </c>
      <c r="G265" s="138">
        <f t="shared" si="4"/>
        <v>2.1254606809600003E7</v>
      </c>
    </row>
    <row r="266" spans="8:8" ht="15.75">
      <c r="A266" s="116" t="s">
        <v>279</v>
      </c>
      <c r="B266" s="117" t="s">
        <v>196</v>
      </c>
      <c r="C266" s="97">
        <v>800.0</v>
      </c>
      <c r="D266" s="97">
        <v>1.4527073433600001E7</v>
      </c>
      <c r="E266" s="92">
        <v>345000.0</v>
      </c>
      <c r="F266" s="101">
        <v>200000.0</v>
      </c>
      <c r="G266" s="136">
        <f t="shared" si="4"/>
        <v>1.5072873433600001E7</v>
      </c>
    </row>
    <row r="267" spans="8:8" ht="15.75">
      <c r="A267" s="116" t="s">
        <v>280</v>
      </c>
      <c r="B267" s="117" t="s">
        <v>196</v>
      </c>
      <c r="C267" s="97">
        <v>3100406.4000000004</v>
      </c>
      <c r="D267" s="97">
        <v>4582468.800000001</v>
      </c>
      <c r="E267" s="92">
        <v>345000.0</v>
      </c>
      <c r="F267" s="101">
        <v>200000.0</v>
      </c>
      <c r="G267" s="136">
        <f t="shared" si="4"/>
        <v>8227875.200000001</v>
      </c>
    </row>
    <row r="268" spans="8:8" ht="15.75">
      <c r="A268" s="116" t="s">
        <v>281</v>
      </c>
      <c r="B268" s="117" t="s">
        <v>282</v>
      </c>
      <c r="C268" s="97">
        <v>1625000.0</v>
      </c>
      <c r="D268" s="101">
        <v>0.0</v>
      </c>
      <c r="E268" s="75"/>
      <c r="F268" s="75"/>
      <c r="G268" s="136">
        <f t="shared" si="4"/>
        <v>1625000.0</v>
      </c>
    </row>
    <row r="269" spans="8:8" ht="15.75">
      <c r="A269" s="116" t="s">
        <v>283</v>
      </c>
      <c r="B269" s="117" t="s">
        <v>282</v>
      </c>
      <c r="C269" s="97">
        <v>1625000.0</v>
      </c>
      <c r="D269" s="101">
        <v>0.0</v>
      </c>
      <c r="E269" s="75"/>
      <c r="F269" s="75"/>
      <c r="G269" s="136">
        <f t="shared" si="4"/>
        <v>1625000.0</v>
      </c>
    </row>
    <row r="270" spans="8:8" ht="15.75">
      <c r="A270" s="116" t="s">
        <v>284</v>
      </c>
      <c r="B270" s="126" t="s">
        <v>285</v>
      </c>
      <c r="C270" s="96">
        <v>20000.0</v>
      </c>
      <c r="D270" s="101">
        <v>0.0</v>
      </c>
      <c r="E270" s="75"/>
      <c r="F270" s="75"/>
      <c r="G270" s="136">
        <f t="shared" si="4"/>
        <v>20000.0</v>
      </c>
    </row>
    <row r="271" spans="8:8" ht="15.75">
      <c r="A271" s="116" t="s">
        <v>286</v>
      </c>
      <c r="B271" s="126" t="s">
        <v>285</v>
      </c>
      <c r="C271" s="96">
        <v>300000.0</v>
      </c>
      <c r="D271" s="101">
        <v>0.0</v>
      </c>
      <c r="E271" s="75"/>
      <c r="F271" s="75"/>
      <c r="G271" s="136">
        <f t="shared" si="4"/>
        <v>300000.0</v>
      </c>
    </row>
    <row r="272" spans="8:8" ht="15.75">
      <c r="A272" s="116" t="s">
        <v>4</v>
      </c>
      <c r="B272" s="126" t="s">
        <v>285</v>
      </c>
      <c r="C272" s="96">
        <v>345000.0</v>
      </c>
      <c r="D272" s="101">
        <v>0.0</v>
      </c>
      <c r="E272" s="75"/>
      <c r="F272" s="75"/>
      <c r="G272" s="136">
        <f t="shared" si="4"/>
        <v>345000.0</v>
      </c>
    </row>
    <row r="273" spans="8:8" ht="15.75">
      <c r="A273" s="116" t="s">
        <v>287</v>
      </c>
      <c r="B273" s="126" t="s">
        <v>285</v>
      </c>
      <c r="C273" s="96">
        <v>300000.0</v>
      </c>
      <c r="D273" s="101">
        <v>0.0</v>
      </c>
      <c r="E273" s="75"/>
      <c r="F273" s="75"/>
      <c r="G273" s="136">
        <f t="shared" si="4"/>
        <v>300000.0</v>
      </c>
    </row>
    <row r="274" spans="8:8" ht="15.75">
      <c r="A274" s="116" t="s">
        <v>5</v>
      </c>
      <c r="B274" s="126" t="s">
        <v>285</v>
      </c>
      <c r="C274" s="96">
        <v>200000.0</v>
      </c>
      <c r="D274" s="101">
        <v>0.0</v>
      </c>
      <c r="E274" s="75"/>
      <c r="F274" s="75"/>
      <c r="G274" s="136">
        <f t="shared" si="4"/>
        <v>200000.0</v>
      </c>
    </row>
    <row r="275" spans="8:8" ht="15.75">
      <c r="A275" s="116" t="s">
        <v>288</v>
      </c>
      <c r="B275" s="126" t="s">
        <v>285</v>
      </c>
      <c r="C275" s="96">
        <v>3220000.0</v>
      </c>
      <c r="D275" s="101">
        <v>0.0</v>
      </c>
      <c r="E275" s="75"/>
      <c r="F275" s="75"/>
      <c r="G275" s="136">
        <f t="shared" si="4"/>
        <v>3220000.0</v>
      </c>
    </row>
    <row r="276" spans="8:8" ht="15.75">
      <c r="A276" s="116" t="s">
        <v>289</v>
      </c>
      <c r="B276" s="126" t="s">
        <v>290</v>
      </c>
      <c r="C276" s="97">
        <v>380.0</v>
      </c>
      <c r="D276" s="97">
        <v>1318769.8680000002</v>
      </c>
      <c r="E276" s="101">
        <v>345000.0</v>
      </c>
      <c r="F276" s="101">
        <v>200000.0</v>
      </c>
      <c r="G276" s="144">
        <f t="shared" si="4"/>
        <v>1864149.8680000002</v>
      </c>
    </row>
    <row r="277" spans="8:8" ht="15.75">
      <c r="A277" s="116" t="s">
        <v>291</v>
      </c>
      <c r="B277" s="126" t="s">
        <v>290</v>
      </c>
      <c r="C277" s="97">
        <v>1394250.0</v>
      </c>
      <c r="D277" s="97">
        <v>861900.0</v>
      </c>
      <c r="E277" s="101">
        <v>345000.0</v>
      </c>
      <c r="F277" s="101">
        <v>200000.0</v>
      </c>
      <c r="G277" s="145">
        <f t="shared" si="4"/>
        <v>2801150.0</v>
      </c>
    </row>
  </sheetData>
  <pageMargins left="0.7" right="0.7" top="0.31" bottom="0.39" header="0.3" footer="0.16"/>
</worksheet>
</file>

<file path=xl/worksheets/sheet9.xml><?xml version="1.0" encoding="utf-8"?>
<worksheet xmlns:r="http://schemas.openxmlformats.org/officeDocument/2006/relationships" xmlns="http://schemas.openxmlformats.org/spreadsheetml/2006/main">
  <dimension ref="A1:I279"/>
  <sheetViews>
    <sheetView workbookViewId="0" topLeftCell="A59">
      <selection activeCell="B59" sqref="B1:G1048576"/>
    </sheetView>
  </sheetViews>
  <sheetFormatPr defaultRowHeight="15.0" defaultColWidth="10"/>
  <cols>
    <col min="1" max="1" customWidth="1" width="59.0" style="73"/>
    <col min="2" max="2" customWidth="1" width="12.285156" style="0"/>
    <col min="3" max="3" customWidth="1" width="12.5703125" style="74"/>
    <col min="4" max="4" customWidth="1" width="15.285156" style="74"/>
    <col min="5" max="5" customWidth="1" width="12.855469" style="74"/>
    <col min="6" max="6" customWidth="1" width="18.140625" style="74"/>
    <col min="7" max="7" customWidth="1" width="15.855469" style="75"/>
    <col min="8" max="8" customWidth="0" width="11.425781" style="116"/>
  </cols>
  <sheetData>
    <row r="1" spans="8:8" ht="15.75">
      <c r="A1" s="110" t="s">
        <v>0</v>
      </c>
      <c r="B1" s="110" t="s">
        <v>1</v>
      </c>
      <c r="C1" s="78" t="s">
        <v>2</v>
      </c>
      <c r="D1" s="78" t="s">
        <v>3</v>
      </c>
      <c r="E1" s="78" t="s">
        <v>4</v>
      </c>
      <c r="F1" s="78" t="s">
        <v>5</v>
      </c>
      <c r="G1" s="78" t="s">
        <v>6</v>
      </c>
    </row>
    <row r="2" spans="8:8">
      <c r="A2" s="116" t="s">
        <v>7</v>
      </c>
      <c r="B2" s="135" t="s">
        <v>8</v>
      </c>
      <c r="C2" s="92">
        <v>320.0</v>
      </c>
      <c r="D2" s="92">
        <v>433719.0</v>
      </c>
      <c r="E2" s="92">
        <v>102120.0</v>
      </c>
      <c r="F2" s="92">
        <v>50000.0</v>
      </c>
      <c r="G2" s="136">
        <f>(C2+D2+E2+F2)</f>
        <v>586159.0</v>
      </c>
    </row>
    <row r="3" spans="8:8">
      <c r="A3" s="116" t="s">
        <v>9</v>
      </c>
      <c r="B3" s="117" t="s">
        <v>8</v>
      </c>
      <c r="C3" s="101">
        <v>320.0</v>
      </c>
      <c r="D3" s="101">
        <v>433719.0</v>
      </c>
      <c r="E3" s="101">
        <v>102120.0</v>
      </c>
      <c r="F3" s="101">
        <v>50000.0</v>
      </c>
      <c r="G3" s="138">
        <f t="shared" si="0" ref="G3:G66">(C3+D3+E3+F3)</f>
        <v>586159.0</v>
      </c>
    </row>
    <row r="4" spans="8:8">
      <c r="A4" s="116" t="s">
        <v>10</v>
      </c>
      <c r="B4" s="117" t="s">
        <v>8</v>
      </c>
      <c r="C4" s="101">
        <v>320.0</v>
      </c>
      <c r="D4" s="101">
        <v>669529.28</v>
      </c>
      <c r="E4" s="101">
        <v>102120.0</v>
      </c>
      <c r="F4" s="101">
        <v>50000.0</v>
      </c>
      <c r="G4" s="138">
        <f t="shared" si="0"/>
        <v>821969.28</v>
      </c>
    </row>
    <row r="5" spans="8:8">
      <c r="A5" s="116" t="s">
        <v>11</v>
      </c>
      <c r="B5" s="117" t="s">
        <v>8</v>
      </c>
      <c r="C5" s="101">
        <v>320.0</v>
      </c>
      <c r="D5" s="101">
        <v>176077.51</v>
      </c>
      <c r="E5" s="101">
        <v>102120.0</v>
      </c>
      <c r="F5" s="101">
        <v>50000.0</v>
      </c>
      <c r="G5" s="138">
        <f t="shared" si="0"/>
        <v>328517.51</v>
      </c>
    </row>
    <row r="6" spans="8:8">
      <c r="A6" s="116" t="s">
        <v>12</v>
      </c>
      <c r="B6" s="117" t="s">
        <v>13</v>
      </c>
      <c r="C6" s="101">
        <v>387320.03</v>
      </c>
      <c r="D6" s="101">
        <v>166575.97</v>
      </c>
      <c r="E6" s="101">
        <v>102120.0</v>
      </c>
      <c r="F6" s="101">
        <v>50000.0</v>
      </c>
      <c r="G6" s="138">
        <f t="shared" si="0"/>
        <v>706016.0</v>
      </c>
    </row>
    <row r="7" spans="8:8">
      <c r="A7" s="116" t="s">
        <v>14</v>
      </c>
      <c r="B7" s="117" t="s">
        <v>13</v>
      </c>
      <c r="C7" s="101">
        <v>468732.33</v>
      </c>
      <c r="D7" s="101">
        <v>169790.09</v>
      </c>
      <c r="E7" s="101">
        <v>102120.0</v>
      </c>
      <c r="F7" s="101">
        <v>50000.0</v>
      </c>
      <c r="G7" s="138">
        <f t="shared" si="0"/>
        <v>790642.42</v>
      </c>
    </row>
    <row r="8" spans="8:8">
      <c r="A8" s="116" t="s">
        <v>15</v>
      </c>
      <c r="B8" s="117" t="s">
        <v>13</v>
      </c>
      <c r="C8" s="101">
        <v>611641.32</v>
      </c>
      <c r="D8" s="101">
        <v>221638.54</v>
      </c>
      <c r="E8" s="101">
        <v>102120.0</v>
      </c>
      <c r="F8" s="101">
        <v>50000.0</v>
      </c>
      <c r="G8" s="138">
        <f t="shared" si="0"/>
        <v>985399.86</v>
      </c>
    </row>
    <row r="9" spans="8:8">
      <c r="A9" s="116" t="s">
        <v>16</v>
      </c>
      <c r="B9" s="117" t="s">
        <v>13</v>
      </c>
      <c r="C9" s="101">
        <v>773715.95</v>
      </c>
      <c r="D9" s="101">
        <v>280126.48</v>
      </c>
      <c r="E9" s="101">
        <v>102120.0</v>
      </c>
      <c r="F9" s="101">
        <v>50000.0</v>
      </c>
      <c r="G9" s="138">
        <f t="shared" si="0"/>
        <v>1205962.43</v>
      </c>
    </row>
    <row r="10" spans="8:8">
      <c r="A10" s="116" t="s">
        <v>17</v>
      </c>
      <c r="B10" s="117" t="s">
        <v>13</v>
      </c>
      <c r="C10" s="101">
        <v>2691529.67</v>
      </c>
      <c r="D10" s="101">
        <v>975161.28</v>
      </c>
      <c r="E10" s="101">
        <v>102120.0</v>
      </c>
      <c r="F10" s="101">
        <v>50000.0</v>
      </c>
      <c r="G10" s="138">
        <f t="shared" si="0"/>
        <v>3818810.95</v>
      </c>
    </row>
    <row r="11" spans="8:8">
      <c r="A11" s="116" t="s">
        <v>18</v>
      </c>
      <c r="B11" s="117" t="s">
        <v>13</v>
      </c>
      <c r="C11" s="101">
        <v>1427014.22</v>
      </c>
      <c r="D11" s="101">
        <v>516734.07</v>
      </c>
      <c r="E11" s="101">
        <v>102120.0</v>
      </c>
      <c r="F11" s="101">
        <v>50000.0</v>
      </c>
      <c r="G11" s="138">
        <f t="shared" si="0"/>
        <v>2095868.29</v>
      </c>
    </row>
    <row r="12" spans="8:8">
      <c r="A12" s="116" t="s">
        <v>19</v>
      </c>
      <c r="B12" s="117" t="s">
        <v>13</v>
      </c>
      <c r="C12" s="101">
        <v>687470.58</v>
      </c>
      <c r="D12" s="101">
        <v>254594.59</v>
      </c>
      <c r="E12" s="101">
        <v>102120.0</v>
      </c>
      <c r="F12" s="101">
        <v>50000.0</v>
      </c>
      <c r="G12" s="138">
        <f t="shared" si="0"/>
        <v>1094185.17</v>
      </c>
    </row>
    <row r="13" spans="8:8">
      <c r="A13" s="116" t="s">
        <v>20</v>
      </c>
      <c r="B13" s="117" t="s">
        <v>13</v>
      </c>
      <c r="C13" s="101">
        <v>749967.23</v>
      </c>
      <c r="D13" s="101">
        <v>261958.4</v>
      </c>
      <c r="E13" s="101">
        <v>102120.0</v>
      </c>
      <c r="F13" s="101">
        <v>50000.0</v>
      </c>
      <c r="G13" s="138">
        <f t="shared" si="0"/>
        <v>1164045.63</v>
      </c>
    </row>
    <row r="14" spans="8:8">
      <c r="A14" s="116" t="s">
        <v>21</v>
      </c>
      <c r="B14" s="117" t="s">
        <v>13</v>
      </c>
      <c r="C14" s="101">
        <v>1583255.83</v>
      </c>
      <c r="D14" s="101">
        <v>584275.88</v>
      </c>
      <c r="E14" s="101">
        <v>102120.0</v>
      </c>
      <c r="F14" s="101">
        <v>50000.0</v>
      </c>
      <c r="G14" s="138">
        <f t="shared" si="0"/>
        <v>2319651.71</v>
      </c>
    </row>
    <row r="15" spans="8:8">
      <c r="A15" s="116" t="s">
        <v>22</v>
      </c>
      <c r="B15" s="117" t="s">
        <v>13</v>
      </c>
      <c r="C15" s="101">
        <v>749967.23</v>
      </c>
      <c r="D15" s="101">
        <v>284894.85</v>
      </c>
      <c r="E15" s="101">
        <v>102120.0</v>
      </c>
      <c r="F15" s="101">
        <v>50000.0</v>
      </c>
      <c r="G15" s="138">
        <f t="shared" si="0"/>
        <v>1186982.08</v>
      </c>
    </row>
    <row r="16" spans="8:8">
      <c r="A16" s="116" t="s">
        <v>23</v>
      </c>
      <c r="B16" s="117" t="s">
        <v>13</v>
      </c>
      <c r="C16" s="101">
        <v>1583255.83</v>
      </c>
      <c r="D16" s="101">
        <v>629907.35</v>
      </c>
      <c r="E16" s="101">
        <v>102120.0</v>
      </c>
      <c r="F16" s="101">
        <v>50000.0</v>
      </c>
      <c r="G16" s="138">
        <f t="shared" si="0"/>
        <v>2365283.18</v>
      </c>
    </row>
    <row r="17" spans="8:8">
      <c r="A17" s="116" t="s">
        <v>24</v>
      </c>
      <c r="B17" s="117" t="s">
        <v>13</v>
      </c>
      <c r="C17" s="101">
        <v>666638.37</v>
      </c>
      <c r="D17" s="101">
        <v>246325.4</v>
      </c>
      <c r="E17" s="101">
        <v>102120.0</v>
      </c>
      <c r="F17" s="101">
        <v>50000.0</v>
      </c>
      <c r="G17" s="138">
        <f t="shared" si="0"/>
        <v>1065083.77</v>
      </c>
    </row>
    <row r="18" spans="8:8">
      <c r="A18" s="116" t="s">
        <v>25</v>
      </c>
      <c r="B18" s="117" t="s">
        <v>13</v>
      </c>
      <c r="C18" s="101">
        <v>624973.94</v>
      </c>
      <c r="D18" s="101">
        <v>231295.99</v>
      </c>
      <c r="E18" s="101">
        <v>102120.0</v>
      </c>
      <c r="F18" s="101">
        <v>50000.0</v>
      </c>
      <c r="G18" s="138">
        <f t="shared" si="0"/>
        <v>1008389.9299999999</v>
      </c>
    </row>
    <row r="19" spans="8:8">
      <c r="A19" s="116" t="s">
        <v>26</v>
      </c>
      <c r="B19" s="117" t="s">
        <v>13</v>
      </c>
      <c r="C19" s="101">
        <v>916624.95</v>
      </c>
      <c r="D19" s="101">
        <v>331733.5</v>
      </c>
      <c r="E19" s="101">
        <v>102120.0</v>
      </c>
      <c r="F19" s="101">
        <v>50000.0</v>
      </c>
      <c r="G19" s="138">
        <f t="shared" si="0"/>
        <v>1400478.45</v>
      </c>
    </row>
    <row r="20" spans="8:8">
      <c r="A20" s="116" t="s">
        <v>27</v>
      </c>
      <c r="B20" s="117" t="s">
        <v>13</v>
      </c>
      <c r="C20" s="101">
        <v>666638.37</v>
      </c>
      <c r="D20" s="101">
        <v>246506.48</v>
      </c>
      <c r="E20" s="101">
        <v>102120.0</v>
      </c>
      <c r="F20" s="101">
        <v>50000.0</v>
      </c>
      <c r="G20" s="138">
        <f t="shared" si="0"/>
        <v>1065264.85</v>
      </c>
    </row>
    <row r="21" spans="8:8">
      <c r="A21" s="116" t="s">
        <v>28</v>
      </c>
      <c r="B21" s="117" t="s">
        <v>13</v>
      </c>
      <c r="C21" s="101">
        <v>916624.95</v>
      </c>
      <c r="D21" s="101">
        <v>331733.5</v>
      </c>
      <c r="E21" s="101">
        <v>102120.0</v>
      </c>
      <c r="F21" s="101">
        <v>50000.0</v>
      </c>
      <c r="G21" s="138">
        <f t="shared" si="0"/>
        <v>1400478.45</v>
      </c>
    </row>
    <row r="22" spans="8:8">
      <c r="A22" s="116" t="s">
        <v>29</v>
      </c>
      <c r="B22" s="117" t="s">
        <v>13</v>
      </c>
      <c r="C22" s="101">
        <v>833296.09</v>
      </c>
      <c r="D22" s="101">
        <v>345253.93</v>
      </c>
      <c r="E22" s="101">
        <v>102120.0</v>
      </c>
      <c r="F22" s="101">
        <v>50000.0</v>
      </c>
      <c r="G22" s="138">
        <f t="shared" si="0"/>
        <v>1330670.02</v>
      </c>
    </row>
    <row r="23" spans="8:8">
      <c r="A23" s="116" t="s">
        <v>30</v>
      </c>
      <c r="B23" s="117" t="s">
        <v>13</v>
      </c>
      <c r="C23" s="101">
        <v>624973.94</v>
      </c>
      <c r="D23" s="101">
        <v>231295.99</v>
      </c>
      <c r="E23" s="101">
        <v>102120.0</v>
      </c>
      <c r="F23" s="101">
        <v>50000.0</v>
      </c>
      <c r="G23" s="138">
        <f t="shared" si="0"/>
        <v>1008389.9299999999</v>
      </c>
    </row>
    <row r="24" spans="8:8">
      <c r="A24" s="116" t="s">
        <v>31</v>
      </c>
      <c r="B24" s="117" t="s">
        <v>13</v>
      </c>
      <c r="C24" s="101">
        <v>624973.94</v>
      </c>
      <c r="D24" s="101">
        <v>231295.99</v>
      </c>
      <c r="E24" s="101">
        <v>102120.0</v>
      </c>
      <c r="F24" s="101">
        <v>50000.0</v>
      </c>
      <c r="G24" s="138">
        <f t="shared" si="0"/>
        <v>1008389.9299999999</v>
      </c>
    </row>
    <row r="25" spans="8:8">
      <c r="A25" s="116" t="s">
        <v>32</v>
      </c>
      <c r="B25" s="117" t="s">
        <v>13</v>
      </c>
      <c r="C25" s="101">
        <v>1124947.1</v>
      </c>
      <c r="D25" s="101">
        <v>408993.12</v>
      </c>
      <c r="E25" s="101">
        <v>102120.0</v>
      </c>
      <c r="F25" s="101">
        <v>50000.0</v>
      </c>
      <c r="G25" s="138">
        <f t="shared" si="0"/>
        <v>1686060.2200000002</v>
      </c>
    </row>
    <row r="26" spans="8:8">
      <c r="A26" s="116" t="s">
        <v>33</v>
      </c>
      <c r="B26" s="117" t="s">
        <v>13</v>
      </c>
      <c r="C26" s="101">
        <v>1124947.1</v>
      </c>
      <c r="D26" s="101">
        <v>408993.12</v>
      </c>
      <c r="E26" s="101">
        <v>102120.0</v>
      </c>
      <c r="F26" s="101">
        <v>50000.0</v>
      </c>
      <c r="G26" s="138">
        <f t="shared" si="0"/>
        <v>1686060.2200000002</v>
      </c>
    </row>
    <row r="27" spans="8:8">
      <c r="A27" s="116" t="s">
        <v>34</v>
      </c>
      <c r="B27" s="117" t="s">
        <v>13</v>
      </c>
      <c r="C27" s="101">
        <v>833296.09</v>
      </c>
      <c r="D27" s="101">
        <v>308072.74</v>
      </c>
      <c r="E27" s="101">
        <v>102120.0</v>
      </c>
      <c r="F27" s="101">
        <v>50000.0</v>
      </c>
      <c r="G27" s="138">
        <f t="shared" si="0"/>
        <v>1293488.83</v>
      </c>
    </row>
    <row r="28" spans="8:8">
      <c r="A28" s="116" t="s">
        <v>35</v>
      </c>
      <c r="B28" s="117" t="s">
        <v>13</v>
      </c>
      <c r="C28" s="101">
        <v>1120780.66</v>
      </c>
      <c r="D28" s="101">
        <v>405975.16</v>
      </c>
      <c r="E28" s="101">
        <v>102120.0</v>
      </c>
      <c r="F28" s="101">
        <v>50000.0</v>
      </c>
      <c r="G28" s="138">
        <f t="shared" si="0"/>
        <v>1678875.8199999998</v>
      </c>
    </row>
    <row r="29" spans="8:8">
      <c r="A29" s="116" t="s">
        <v>36</v>
      </c>
      <c r="B29" s="117" t="s">
        <v>13</v>
      </c>
      <c r="C29" s="101">
        <v>845795.42</v>
      </c>
      <c r="D29" s="101">
        <v>306503.4</v>
      </c>
      <c r="E29" s="101">
        <v>102120.0</v>
      </c>
      <c r="F29" s="101">
        <v>50000.0</v>
      </c>
      <c r="G29" s="138">
        <f t="shared" si="0"/>
        <v>1304418.82</v>
      </c>
    </row>
    <row r="30" spans="8:8">
      <c r="A30" s="116" t="s">
        <v>37</v>
      </c>
      <c r="B30" s="117" t="s">
        <v>13</v>
      </c>
      <c r="C30" s="101">
        <v>429151.12</v>
      </c>
      <c r="D30" s="101">
        <v>155605.7</v>
      </c>
      <c r="E30" s="101">
        <v>102120.0</v>
      </c>
      <c r="F30" s="101">
        <v>50000.0</v>
      </c>
      <c r="G30" s="138">
        <f t="shared" si="0"/>
        <v>736876.8200000001</v>
      </c>
    </row>
    <row r="31" spans="8:8">
      <c r="A31" s="116" t="s">
        <v>38</v>
      </c>
      <c r="B31" s="117" t="s">
        <v>13</v>
      </c>
      <c r="C31" s="101">
        <v>458316.22</v>
      </c>
      <c r="D31" s="101">
        <v>162245.2</v>
      </c>
      <c r="E31" s="101">
        <v>102120.0</v>
      </c>
      <c r="F31" s="101">
        <v>50000.0</v>
      </c>
      <c r="G31" s="138">
        <f t="shared" si="0"/>
        <v>772681.4199999999</v>
      </c>
    </row>
    <row r="32" spans="8:8">
      <c r="A32" s="116" t="s">
        <v>39</v>
      </c>
      <c r="B32" s="117" t="s">
        <v>13</v>
      </c>
      <c r="C32" s="101">
        <v>520812.86</v>
      </c>
      <c r="D32" s="101">
        <v>192786.9</v>
      </c>
      <c r="E32" s="101">
        <v>102120.0</v>
      </c>
      <c r="F32" s="101">
        <v>50000.0</v>
      </c>
      <c r="G32" s="138">
        <f t="shared" si="0"/>
        <v>865719.76</v>
      </c>
    </row>
    <row r="33" spans="8:8">
      <c r="A33" s="116" t="s">
        <v>40</v>
      </c>
      <c r="B33" s="117" t="s">
        <v>13</v>
      </c>
      <c r="C33" s="101">
        <v>833296.09</v>
      </c>
      <c r="D33" s="101">
        <v>308072.74</v>
      </c>
      <c r="E33" s="101">
        <v>102120.0</v>
      </c>
      <c r="F33" s="101">
        <v>50000.0</v>
      </c>
      <c r="G33" s="138">
        <f t="shared" si="0"/>
        <v>1293488.83</v>
      </c>
    </row>
    <row r="34" spans="8:8">
      <c r="A34" s="116" t="s">
        <v>41</v>
      </c>
      <c r="B34" s="117" t="s">
        <v>13</v>
      </c>
      <c r="C34" s="101">
        <v>374987.36</v>
      </c>
      <c r="D34" s="101">
        <v>138825.88</v>
      </c>
      <c r="E34" s="101">
        <v>102120.0</v>
      </c>
      <c r="F34" s="101">
        <v>50000.0</v>
      </c>
      <c r="G34" s="138">
        <f t="shared" si="0"/>
        <v>665933.24</v>
      </c>
    </row>
    <row r="35" spans="8:8">
      <c r="A35" s="116" t="s">
        <v>42</v>
      </c>
      <c r="B35" s="117" t="s">
        <v>13</v>
      </c>
      <c r="C35" s="101">
        <v>374987.36</v>
      </c>
      <c r="D35" s="101">
        <v>138825.88</v>
      </c>
      <c r="E35" s="101">
        <v>102120.0</v>
      </c>
      <c r="F35" s="101">
        <v>50000.0</v>
      </c>
      <c r="G35" s="138">
        <f t="shared" si="0"/>
        <v>665933.24</v>
      </c>
    </row>
    <row r="36" spans="8:8">
      <c r="A36" s="116" t="s">
        <v>43</v>
      </c>
      <c r="B36" s="117" t="s">
        <v>13</v>
      </c>
      <c r="C36" s="101">
        <v>845795.42</v>
      </c>
      <c r="D36" s="101">
        <v>306503.4</v>
      </c>
      <c r="E36" s="101">
        <v>102120.0</v>
      </c>
      <c r="F36" s="101">
        <v>50000.0</v>
      </c>
      <c r="G36" s="138">
        <f t="shared" si="0"/>
        <v>1304418.82</v>
      </c>
    </row>
    <row r="37" spans="8:8">
      <c r="A37" s="116" t="s">
        <v>44</v>
      </c>
      <c r="B37" s="117" t="s">
        <v>13</v>
      </c>
      <c r="C37" s="101">
        <v>458316.22</v>
      </c>
      <c r="D37" s="101">
        <v>176731.38</v>
      </c>
      <c r="E37" s="101">
        <v>102120.0</v>
      </c>
      <c r="F37" s="101">
        <v>50000.0</v>
      </c>
      <c r="G37" s="138">
        <f t="shared" si="0"/>
        <v>787167.6</v>
      </c>
    </row>
    <row r="38" spans="8:8">
      <c r="A38" s="116" t="s">
        <v>45</v>
      </c>
      <c r="B38" s="117" t="s">
        <v>13</v>
      </c>
      <c r="C38" s="101">
        <v>1749913.55</v>
      </c>
      <c r="D38" s="101">
        <v>632321.71</v>
      </c>
      <c r="E38" s="101">
        <v>102120.0</v>
      </c>
      <c r="F38" s="101">
        <v>50000.0</v>
      </c>
      <c r="G38" s="138">
        <f t="shared" si="0"/>
        <v>2534355.26</v>
      </c>
    </row>
    <row r="39" spans="8:8">
      <c r="A39" s="116" t="s">
        <v>46</v>
      </c>
      <c r="B39" s="117" t="s">
        <v>13</v>
      </c>
      <c r="C39" s="101">
        <v>1749913.55</v>
      </c>
      <c r="D39" s="101">
        <v>632321.71</v>
      </c>
      <c r="E39" s="101">
        <v>102120.0</v>
      </c>
      <c r="F39" s="101">
        <v>50000.0</v>
      </c>
      <c r="G39" s="138">
        <f t="shared" si="0"/>
        <v>2534355.26</v>
      </c>
    </row>
    <row r="40" spans="8:8">
      <c r="A40" s="116" t="s">
        <v>47</v>
      </c>
      <c r="B40" s="117" t="s">
        <v>13</v>
      </c>
      <c r="C40" s="101">
        <v>2458208.86</v>
      </c>
      <c r="D40" s="101">
        <v>894762.98</v>
      </c>
      <c r="E40" s="101">
        <v>102120.0</v>
      </c>
      <c r="F40" s="101">
        <v>50000.0</v>
      </c>
      <c r="G40" s="138">
        <f t="shared" si="0"/>
        <v>3505091.84</v>
      </c>
    </row>
    <row r="41" spans="8:8">
      <c r="A41" s="116" t="s">
        <v>48</v>
      </c>
      <c r="B41" s="117" t="s">
        <v>13</v>
      </c>
      <c r="C41" s="101">
        <v>999953.81</v>
      </c>
      <c r="D41" s="101">
        <v>370121.87</v>
      </c>
      <c r="E41" s="101">
        <v>102120.0</v>
      </c>
      <c r="F41" s="101">
        <v>50000.0</v>
      </c>
      <c r="G41" s="138">
        <f t="shared" si="0"/>
        <v>1522195.6800000002</v>
      </c>
    </row>
    <row r="42" spans="8:8">
      <c r="A42" s="116" t="s">
        <v>49</v>
      </c>
      <c r="B42" s="117" t="s">
        <v>13</v>
      </c>
      <c r="C42" s="101">
        <v>374987.36</v>
      </c>
      <c r="D42" s="101">
        <v>138825.88</v>
      </c>
      <c r="E42" s="101">
        <v>102120.0</v>
      </c>
      <c r="F42" s="101">
        <v>50000.0</v>
      </c>
      <c r="G42" s="138">
        <f t="shared" si="0"/>
        <v>665933.24</v>
      </c>
    </row>
    <row r="43" spans="8:8">
      <c r="A43" s="116" t="s">
        <v>50</v>
      </c>
      <c r="B43" s="117" t="s">
        <v>13</v>
      </c>
      <c r="C43" s="101">
        <v>374987.36</v>
      </c>
      <c r="D43" s="101">
        <v>138825.88</v>
      </c>
      <c r="E43" s="101">
        <v>102120.0</v>
      </c>
      <c r="F43" s="101">
        <v>50000.0</v>
      </c>
      <c r="G43" s="138">
        <f t="shared" si="0"/>
        <v>665933.24</v>
      </c>
    </row>
    <row r="44" spans="8:8">
      <c r="A44" s="116" t="s">
        <v>51</v>
      </c>
      <c r="B44" s="117" t="s">
        <v>13</v>
      </c>
      <c r="C44" s="101">
        <v>374987.36</v>
      </c>
      <c r="D44" s="101">
        <v>138825.88</v>
      </c>
      <c r="E44" s="101">
        <v>102120.0</v>
      </c>
      <c r="F44" s="101">
        <v>50000.0</v>
      </c>
      <c r="G44" s="138">
        <f t="shared" si="0"/>
        <v>665933.24</v>
      </c>
    </row>
    <row r="45" spans="8:8">
      <c r="A45" s="116" t="s">
        <v>52</v>
      </c>
      <c r="B45" s="117" t="s">
        <v>13</v>
      </c>
      <c r="C45" s="101">
        <v>374987.36</v>
      </c>
      <c r="D45" s="101">
        <v>134962.9</v>
      </c>
      <c r="E45" s="101">
        <v>102120.0</v>
      </c>
      <c r="F45" s="101">
        <v>50000.0</v>
      </c>
      <c r="G45" s="138">
        <f t="shared" si="0"/>
        <v>662070.26</v>
      </c>
    </row>
    <row r="46" spans="8:8">
      <c r="A46" s="116" t="s">
        <v>53</v>
      </c>
      <c r="B46" s="117" t="s">
        <v>13</v>
      </c>
      <c r="C46" s="101">
        <v>512479.98</v>
      </c>
      <c r="D46" s="101">
        <v>186750.99</v>
      </c>
      <c r="E46" s="101">
        <v>102120.0</v>
      </c>
      <c r="F46" s="101">
        <v>50000.0</v>
      </c>
      <c r="G46" s="138">
        <f t="shared" si="0"/>
        <v>851350.97</v>
      </c>
    </row>
    <row r="47" spans="8:8">
      <c r="A47" s="116" t="s">
        <v>54</v>
      </c>
      <c r="B47" s="117" t="s">
        <v>13</v>
      </c>
      <c r="C47" s="101">
        <v>812463.87</v>
      </c>
      <c r="D47" s="101">
        <v>292982.97</v>
      </c>
      <c r="E47" s="101">
        <v>102120.0</v>
      </c>
      <c r="F47" s="101">
        <v>50000.0</v>
      </c>
      <c r="G47" s="138">
        <f t="shared" si="0"/>
        <v>1257566.8399999999</v>
      </c>
    </row>
    <row r="48" spans="8:8">
      <c r="A48" s="116" t="s">
        <v>55</v>
      </c>
      <c r="B48" s="117" t="s">
        <v>13</v>
      </c>
      <c r="C48" s="101">
        <v>429151.12</v>
      </c>
      <c r="D48" s="101">
        <v>155605.7</v>
      </c>
      <c r="E48" s="101">
        <v>102120.0</v>
      </c>
      <c r="F48" s="101">
        <v>50000.0</v>
      </c>
      <c r="G48" s="138">
        <f t="shared" si="0"/>
        <v>736876.8200000001</v>
      </c>
    </row>
    <row r="49" spans="8:8">
      <c r="A49" s="116" t="s">
        <v>56</v>
      </c>
      <c r="B49" s="117" t="s">
        <v>13</v>
      </c>
      <c r="C49" s="101">
        <v>562477.29</v>
      </c>
      <c r="D49" s="101">
        <v>207997.39</v>
      </c>
      <c r="E49" s="101">
        <v>102120.0</v>
      </c>
      <c r="F49" s="101">
        <v>50000.0</v>
      </c>
      <c r="G49" s="138">
        <f t="shared" si="0"/>
        <v>922594.68</v>
      </c>
    </row>
    <row r="50" spans="8:8">
      <c r="A50" s="116" t="s">
        <v>57</v>
      </c>
      <c r="B50" s="117" t="s">
        <v>13</v>
      </c>
      <c r="C50" s="101">
        <v>560.0</v>
      </c>
      <c r="D50" s="101">
        <v>605619.66</v>
      </c>
      <c r="E50" s="101">
        <v>102120.0</v>
      </c>
      <c r="F50" s="101">
        <v>50000.0</v>
      </c>
      <c r="G50" s="138">
        <f t="shared" si="0"/>
        <v>758299.66</v>
      </c>
    </row>
    <row r="51" spans="8:8">
      <c r="A51" s="116" t="s">
        <v>58</v>
      </c>
      <c r="B51" s="117" t="s">
        <v>13</v>
      </c>
      <c r="C51" s="101">
        <v>380.0</v>
      </c>
      <c r="D51" s="101">
        <v>346937.9</v>
      </c>
      <c r="E51" s="101">
        <v>102120.0</v>
      </c>
      <c r="F51" s="101">
        <v>50000.0</v>
      </c>
      <c r="G51" s="138">
        <f t="shared" si="0"/>
        <v>499437.9</v>
      </c>
    </row>
    <row r="52" spans="8:8">
      <c r="A52" s="116" t="s">
        <v>59</v>
      </c>
      <c r="B52" s="117" t="s">
        <v>60</v>
      </c>
      <c r="C52" s="101">
        <v>560.0</v>
      </c>
      <c r="D52" s="101">
        <v>605619.66</v>
      </c>
      <c r="E52" s="101">
        <v>102120.0</v>
      </c>
      <c r="F52" s="101">
        <v>50000.0</v>
      </c>
      <c r="G52" s="138">
        <f t="shared" si="0"/>
        <v>758299.66</v>
      </c>
    </row>
    <row r="53" spans="8:8">
      <c r="A53" s="116" t="s">
        <v>61</v>
      </c>
      <c r="B53" s="117" t="s">
        <v>60</v>
      </c>
      <c r="C53" s="101">
        <v>351000.0</v>
      </c>
      <c r="D53" s="101">
        <v>608662.98</v>
      </c>
      <c r="E53" s="101">
        <v>102120.0</v>
      </c>
      <c r="F53" s="101">
        <v>50000.0</v>
      </c>
      <c r="G53" s="138">
        <f t="shared" si="0"/>
        <v>1111782.98</v>
      </c>
    </row>
    <row r="54" spans="8:8">
      <c r="A54" s="116" t="s">
        <v>62</v>
      </c>
      <c r="B54" s="117" t="s">
        <v>60</v>
      </c>
      <c r="C54" s="101">
        <v>380.0</v>
      </c>
      <c r="D54" s="101">
        <v>346937.9</v>
      </c>
      <c r="E54" s="101">
        <v>102120.0</v>
      </c>
      <c r="F54" s="101">
        <v>50000.0</v>
      </c>
      <c r="G54" s="138">
        <f t="shared" si="0"/>
        <v>499437.9</v>
      </c>
    </row>
    <row r="55" spans="8:8">
      <c r="A55" s="116" t="s">
        <v>63</v>
      </c>
      <c r="B55" s="117" t="s">
        <v>60</v>
      </c>
      <c r="C55" s="101">
        <v>560.0</v>
      </c>
      <c r="D55" s="101">
        <v>81804.3</v>
      </c>
      <c r="E55" s="101">
        <v>102120.0</v>
      </c>
      <c r="F55" s="101">
        <v>50000.0</v>
      </c>
      <c r="G55" s="138">
        <f t="shared" si="0"/>
        <v>234484.3</v>
      </c>
    </row>
    <row r="56" spans="8:8">
      <c r="A56" s="116" t="s">
        <v>64</v>
      </c>
      <c r="B56" s="117" t="s">
        <v>65</v>
      </c>
      <c r="C56" s="101">
        <v>208.0</v>
      </c>
      <c r="D56" s="101">
        <v>391674.63</v>
      </c>
      <c r="E56" s="101">
        <v>102120.0</v>
      </c>
      <c r="F56" s="101">
        <v>50000.0</v>
      </c>
      <c r="G56" s="138">
        <f t="shared" si="0"/>
        <v>544002.63</v>
      </c>
    </row>
    <row r="57" spans="8:8">
      <c r="A57" s="116" t="s">
        <v>66</v>
      </c>
      <c r="B57" s="117" t="s">
        <v>65</v>
      </c>
      <c r="C57" s="101">
        <v>247.0</v>
      </c>
      <c r="D57" s="101">
        <v>657926.64</v>
      </c>
      <c r="E57" s="101">
        <v>102120.0</v>
      </c>
      <c r="F57" s="101">
        <v>50000.0</v>
      </c>
      <c r="G57" s="138">
        <f t="shared" si="0"/>
        <v>810293.64</v>
      </c>
    </row>
    <row r="58" spans="8:8">
      <c r="A58" s="116" t="s">
        <v>67</v>
      </c>
      <c r="B58" s="117" t="s">
        <v>65</v>
      </c>
      <c r="C58" s="101">
        <v>208.0</v>
      </c>
      <c r="D58" s="101">
        <v>391674.63</v>
      </c>
      <c r="E58" s="101">
        <v>102120.0</v>
      </c>
      <c r="F58" s="101">
        <v>50000.0</v>
      </c>
      <c r="G58" s="138">
        <f t="shared" si="0"/>
        <v>544002.63</v>
      </c>
    </row>
    <row r="59" spans="8:8">
      <c r="A59" s="116" t="s">
        <v>68</v>
      </c>
      <c r="B59" s="117" t="s">
        <v>65</v>
      </c>
      <c r="C59" s="101">
        <v>247.0</v>
      </c>
      <c r="D59" s="101">
        <v>657926.64</v>
      </c>
      <c r="E59" s="101">
        <v>102120.0</v>
      </c>
      <c r="F59" s="101">
        <v>50000.0</v>
      </c>
      <c r="G59" s="138">
        <f t="shared" si="0"/>
        <v>810293.64</v>
      </c>
    </row>
    <row r="60" spans="8:8">
      <c r="A60" s="116" t="s">
        <v>69</v>
      </c>
      <c r="B60" s="117" t="s">
        <v>65</v>
      </c>
      <c r="C60" s="101">
        <v>325.0</v>
      </c>
      <c r="D60" s="101">
        <v>970056.62</v>
      </c>
      <c r="E60" s="101">
        <v>102120.0</v>
      </c>
      <c r="F60" s="101">
        <v>50000.0</v>
      </c>
      <c r="G60" s="138">
        <f t="shared" si="0"/>
        <v>1122501.62</v>
      </c>
    </row>
    <row r="61" spans="8:8">
      <c r="A61" s="116" t="s">
        <v>70</v>
      </c>
      <c r="B61" s="117" t="s">
        <v>65</v>
      </c>
      <c r="C61" s="101">
        <v>208.0</v>
      </c>
      <c r="D61" s="101">
        <v>391674.63</v>
      </c>
      <c r="E61" s="101">
        <v>102120.0</v>
      </c>
      <c r="F61" s="101">
        <v>50000.0</v>
      </c>
      <c r="G61" s="138">
        <f t="shared" si="0"/>
        <v>544002.63</v>
      </c>
    </row>
    <row r="62" spans="8:8">
      <c r="A62" s="116" t="s">
        <v>71</v>
      </c>
      <c r="B62" s="117" t="s">
        <v>65</v>
      </c>
      <c r="C62" s="101">
        <v>286.0</v>
      </c>
      <c r="D62" s="101">
        <v>874762.82</v>
      </c>
      <c r="E62" s="101">
        <v>102120.0</v>
      </c>
      <c r="F62" s="101">
        <v>50000.0</v>
      </c>
      <c r="G62" s="138">
        <f t="shared" si="0"/>
        <v>1027168.82</v>
      </c>
    </row>
    <row r="63" spans="8:8">
      <c r="A63" s="116" t="s">
        <v>72</v>
      </c>
      <c r="B63" s="117" t="s">
        <v>65</v>
      </c>
      <c r="C63" s="101">
        <v>247.0</v>
      </c>
      <c r="D63" s="101">
        <v>657926.64</v>
      </c>
      <c r="E63" s="101">
        <v>102120.0</v>
      </c>
      <c r="F63" s="101">
        <v>50000.0</v>
      </c>
      <c r="G63" s="138">
        <f t="shared" si="0"/>
        <v>810293.64</v>
      </c>
    </row>
    <row r="64" spans="8:8">
      <c r="A64" s="116" t="s">
        <v>73</v>
      </c>
      <c r="B64" s="117" t="s">
        <v>65</v>
      </c>
      <c r="C64" s="101">
        <v>208.0</v>
      </c>
      <c r="D64" s="101">
        <v>342220.76</v>
      </c>
      <c r="E64" s="101">
        <v>102120.0</v>
      </c>
      <c r="F64" s="101">
        <v>50000.0</v>
      </c>
      <c r="G64" s="138">
        <f t="shared" si="0"/>
        <v>494548.76</v>
      </c>
    </row>
    <row r="65" spans="8:8">
      <c r="A65" s="116" t="s">
        <v>74</v>
      </c>
      <c r="B65" s="117" t="s">
        <v>65</v>
      </c>
      <c r="C65" s="101">
        <v>247.0</v>
      </c>
      <c r="D65" s="101">
        <v>629395.56</v>
      </c>
      <c r="E65" s="101">
        <v>102120.0</v>
      </c>
      <c r="F65" s="101">
        <v>50000.0</v>
      </c>
      <c r="G65" s="138">
        <f t="shared" si="0"/>
        <v>781762.56</v>
      </c>
    </row>
    <row r="66" spans="8:8">
      <c r="A66" s="116" t="s">
        <v>75</v>
      </c>
      <c r="B66" s="117" t="s">
        <v>65</v>
      </c>
      <c r="C66" s="101">
        <v>247.0</v>
      </c>
      <c r="D66" s="101">
        <v>1485898.5</v>
      </c>
      <c r="E66" s="101">
        <v>102120.0</v>
      </c>
      <c r="F66" s="101">
        <v>50000.0</v>
      </c>
      <c r="G66" s="138">
        <f t="shared" si="0"/>
        <v>1638265.5</v>
      </c>
    </row>
    <row r="67" spans="8:8">
      <c r="A67" s="116" t="s">
        <v>76</v>
      </c>
      <c r="B67" s="117" t="s">
        <v>65</v>
      </c>
      <c r="C67" s="101">
        <v>208.0</v>
      </c>
      <c r="D67" s="101">
        <v>391674.63</v>
      </c>
      <c r="E67" s="101">
        <v>102120.0</v>
      </c>
      <c r="F67" s="101">
        <v>50000.0</v>
      </c>
      <c r="G67" s="138">
        <f t="shared" si="1" ref="G67:G130">(C67+D67+E67+F67)</f>
        <v>544002.63</v>
      </c>
    </row>
    <row r="68" spans="8:8">
      <c r="A68" s="116" t="s">
        <v>77</v>
      </c>
      <c r="B68" s="117" t="s">
        <v>65</v>
      </c>
      <c r="C68" s="101">
        <v>247.0</v>
      </c>
      <c r="D68" s="101">
        <v>629395.56</v>
      </c>
      <c r="E68" s="101">
        <v>102120.0</v>
      </c>
      <c r="F68" s="101">
        <v>50000.0</v>
      </c>
      <c r="G68" s="138">
        <f t="shared" si="1"/>
        <v>781762.56</v>
      </c>
    </row>
    <row r="69" spans="8:8">
      <c r="A69" s="116" t="s">
        <v>78</v>
      </c>
      <c r="B69" s="117" t="s">
        <v>65</v>
      </c>
      <c r="C69" s="101">
        <v>286.0</v>
      </c>
      <c r="D69" s="101">
        <v>808190.31</v>
      </c>
      <c r="E69" s="101">
        <v>102120.0</v>
      </c>
      <c r="F69" s="101">
        <v>50000.0</v>
      </c>
      <c r="G69" s="138">
        <f t="shared" si="1"/>
        <v>960596.31</v>
      </c>
    </row>
    <row r="70" spans="8:8">
      <c r="A70" s="116" t="s">
        <v>79</v>
      </c>
      <c r="B70" s="117" t="s">
        <v>65</v>
      </c>
      <c r="C70" s="101">
        <v>325.0</v>
      </c>
      <c r="D70" s="101">
        <v>970056.62</v>
      </c>
      <c r="E70" s="101">
        <v>102120.0</v>
      </c>
      <c r="F70" s="101">
        <v>50000.0</v>
      </c>
      <c r="G70" s="138">
        <f t="shared" si="1"/>
        <v>1122501.62</v>
      </c>
    </row>
    <row r="71" spans="8:8">
      <c r="A71" s="116" t="s">
        <v>80</v>
      </c>
      <c r="B71" s="117" t="s">
        <v>65</v>
      </c>
      <c r="C71" s="101">
        <v>208.0</v>
      </c>
      <c r="D71" s="101">
        <v>342220.76</v>
      </c>
      <c r="E71" s="101">
        <v>102120.0</v>
      </c>
      <c r="F71" s="101">
        <v>50000.0</v>
      </c>
      <c r="G71" s="138">
        <f t="shared" si="1"/>
        <v>494548.76</v>
      </c>
    </row>
    <row r="72" spans="8:8">
      <c r="A72" s="116" t="s">
        <v>81</v>
      </c>
      <c r="B72" s="117" t="s">
        <v>65</v>
      </c>
      <c r="C72" s="101">
        <v>247.0</v>
      </c>
      <c r="D72" s="101">
        <v>629395.56</v>
      </c>
      <c r="E72" s="101">
        <v>102120.0</v>
      </c>
      <c r="F72" s="101">
        <v>50000.0</v>
      </c>
      <c r="G72" s="138">
        <f t="shared" si="1"/>
        <v>781762.56</v>
      </c>
    </row>
    <row r="73" spans="8:8">
      <c r="A73" s="116" t="s">
        <v>82</v>
      </c>
      <c r="B73" s="117" t="s">
        <v>65</v>
      </c>
      <c r="C73" s="101">
        <v>208.0</v>
      </c>
      <c r="D73" s="101">
        <v>651649.8</v>
      </c>
      <c r="E73" s="101">
        <v>102120.0</v>
      </c>
      <c r="F73" s="101">
        <v>50000.0</v>
      </c>
      <c r="G73" s="138">
        <f t="shared" si="1"/>
        <v>803977.8</v>
      </c>
    </row>
    <row r="74" spans="8:8">
      <c r="A74" s="116" t="s">
        <v>83</v>
      </c>
      <c r="B74" s="117" t="s">
        <v>65</v>
      </c>
      <c r="C74" s="101">
        <v>247.0</v>
      </c>
      <c r="D74" s="101">
        <v>1352753.47</v>
      </c>
      <c r="E74" s="101">
        <v>102120.0</v>
      </c>
      <c r="F74" s="101">
        <v>50000.0</v>
      </c>
      <c r="G74" s="138">
        <f t="shared" si="1"/>
        <v>1505120.47</v>
      </c>
    </row>
    <row r="75" spans="8:8">
      <c r="A75" s="116" t="s">
        <v>84</v>
      </c>
      <c r="B75" s="117" t="s">
        <v>65</v>
      </c>
      <c r="C75" s="101">
        <v>247.0</v>
      </c>
      <c r="D75" s="101">
        <v>629395.56</v>
      </c>
      <c r="E75" s="101">
        <v>102120.0</v>
      </c>
      <c r="F75" s="101">
        <v>50000.0</v>
      </c>
      <c r="G75" s="138">
        <f t="shared" si="1"/>
        <v>781762.56</v>
      </c>
    </row>
    <row r="76" spans="8:8">
      <c r="A76" s="116" t="s">
        <v>85</v>
      </c>
      <c r="B76" s="117" t="s">
        <v>65</v>
      </c>
      <c r="C76" s="101">
        <v>247.0</v>
      </c>
      <c r="D76" s="101">
        <v>1352753.47</v>
      </c>
      <c r="E76" s="101">
        <v>102120.0</v>
      </c>
      <c r="F76" s="101">
        <v>50000.0</v>
      </c>
      <c r="G76" s="138">
        <f t="shared" si="1"/>
        <v>1505120.47</v>
      </c>
    </row>
    <row r="77" spans="8:8">
      <c r="A77" s="116" t="s">
        <v>86</v>
      </c>
      <c r="B77" s="117" t="s">
        <v>65</v>
      </c>
      <c r="C77" s="101">
        <v>247.0</v>
      </c>
      <c r="D77" s="101">
        <v>629395.56</v>
      </c>
      <c r="E77" s="101">
        <v>102120.0</v>
      </c>
      <c r="F77" s="101">
        <v>50000.0</v>
      </c>
      <c r="G77" s="138">
        <f t="shared" si="1"/>
        <v>781762.56</v>
      </c>
    </row>
    <row r="78" spans="8:8">
      <c r="A78" s="116" t="s">
        <v>87</v>
      </c>
      <c r="B78" s="117" t="s">
        <v>65</v>
      </c>
      <c r="C78" s="101">
        <v>286.0</v>
      </c>
      <c r="D78" s="101">
        <v>741617.8</v>
      </c>
      <c r="E78" s="101">
        <v>102120.0</v>
      </c>
      <c r="F78" s="101">
        <v>50000.0</v>
      </c>
      <c r="G78" s="138">
        <f t="shared" si="1"/>
        <v>894023.8</v>
      </c>
    </row>
    <row r="79" spans="8:8">
      <c r="A79" s="116" t="s">
        <v>88</v>
      </c>
      <c r="B79" s="117" t="s">
        <v>65</v>
      </c>
      <c r="C79" s="101">
        <v>325.0</v>
      </c>
      <c r="D79" s="101">
        <v>970056.62</v>
      </c>
      <c r="E79" s="101">
        <v>102120.0</v>
      </c>
      <c r="F79" s="101">
        <v>50000.0</v>
      </c>
      <c r="G79" s="138">
        <f t="shared" si="1"/>
        <v>1122501.62</v>
      </c>
    </row>
    <row r="80" spans="8:8">
      <c r="A80" s="116" t="s">
        <v>89</v>
      </c>
      <c r="B80" s="117" t="s">
        <v>65</v>
      </c>
      <c r="C80" s="101">
        <v>364.0</v>
      </c>
      <c r="D80" s="101">
        <v>1229118.8</v>
      </c>
      <c r="E80" s="101">
        <v>102120.0</v>
      </c>
      <c r="F80" s="101">
        <v>50000.0</v>
      </c>
      <c r="G80" s="138">
        <f t="shared" si="1"/>
        <v>1381602.8</v>
      </c>
    </row>
    <row r="81" spans="8:8">
      <c r="A81" s="116" t="s">
        <v>90</v>
      </c>
      <c r="B81" s="117" t="s">
        <v>65</v>
      </c>
      <c r="C81" s="101">
        <v>403.0</v>
      </c>
      <c r="D81" s="101">
        <v>1471252.54</v>
      </c>
      <c r="E81" s="101">
        <v>102120.0</v>
      </c>
      <c r="F81" s="101">
        <v>50000.0</v>
      </c>
      <c r="G81" s="138">
        <f t="shared" si="1"/>
        <v>1623775.54</v>
      </c>
    </row>
    <row r="82" spans="8:8">
      <c r="A82" s="116" t="s">
        <v>91</v>
      </c>
      <c r="B82" s="117" t="s">
        <v>65</v>
      </c>
      <c r="C82" s="101">
        <v>442.0</v>
      </c>
      <c r="D82" s="101">
        <v>1006584.01</v>
      </c>
      <c r="E82" s="101">
        <v>102120.0</v>
      </c>
      <c r="F82" s="101">
        <v>50000.0</v>
      </c>
      <c r="G82" s="138">
        <f t="shared" si="1"/>
        <v>1159146.01</v>
      </c>
    </row>
    <row r="83" spans="8:8">
      <c r="A83" s="116" t="s">
        <v>92</v>
      </c>
      <c r="B83" s="117" t="s">
        <v>65</v>
      </c>
      <c r="C83" s="101">
        <v>208.0</v>
      </c>
      <c r="D83" s="101">
        <v>391674.63</v>
      </c>
      <c r="E83" s="101">
        <v>102120.0</v>
      </c>
      <c r="F83" s="101">
        <v>50000.0</v>
      </c>
      <c r="G83" s="138">
        <f t="shared" si="1"/>
        <v>544002.63</v>
      </c>
    </row>
    <row r="84" spans="8:8">
      <c r="A84" s="116" t="s">
        <v>93</v>
      </c>
      <c r="B84" s="117" t="s">
        <v>65</v>
      </c>
      <c r="C84" s="101">
        <v>247.0</v>
      </c>
      <c r="D84" s="101">
        <v>657926.64</v>
      </c>
      <c r="E84" s="101">
        <v>102120.0</v>
      </c>
      <c r="F84" s="101">
        <v>50000.0</v>
      </c>
      <c r="G84" s="138">
        <f t="shared" si="1"/>
        <v>810293.64</v>
      </c>
    </row>
    <row r="85" spans="8:8">
      <c r="A85" s="116" t="s">
        <v>94</v>
      </c>
      <c r="B85" s="117" t="s">
        <v>65</v>
      </c>
      <c r="C85" s="101">
        <v>325.0</v>
      </c>
      <c r="D85" s="101">
        <v>848799.54</v>
      </c>
      <c r="E85" s="101">
        <v>102120.0</v>
      </c>
      <c r="F85" s="101">
        <v>50000.0</v>
      </c>
      <c r="G85" s="138">
        <f t="shared" si="1"/>
        <v>1001244.54</v>
      </c>
    </row>
    <row r="86" spans="8:8">
      <c r="A86" s="116" t="s">
        <v>95</v>
      </c>
      <c r="B86" s="117" t="s">
        <v>65</v>
      </c>
      <c r="C86" s="101">
        <v>247.0</v>
      </c>
      <c r="D86" s="101">
        <v>1114423.87</v>
      </c>
      <c r="E86" s="101">
        <v>102120.0</v>
      </c>
      <c r="F86" s="101">
        <v>50000.0</v>
      </c>
      <c r="G86" s="138">
        <f t="shared" si="1"/>
        <v>1266790.87</v>
      </c>
    </row>
    <row r="87" spans="8:8">
      <c r="A87" s="116" t="s">
        <v>96</v>
      </c>
      <c r="B87" s="117" t="s">
        <v>65</v>
      </c>
      <c r="C87" s="101">
        <v>325.0</v>
      </c>
      <c r="D87" s="101">
        <v>1381379.65</v>
      </c>
      <c r="E87" s="101">
        <v>102120.0</v>
      </c>
      <c r="F87" s="101">
        <v>50000.0</v>
      </c>
      <c r="G87" s="138">
        <f t="shared" si="1"/>
        <v>1533824.65</v>
      </c>
    </row>
    <row r="88" spans="8:8">
      <c r="A88" s="116" t="s">
        <v>97</v>
      </c>
      <c r="B88" s="117" t="s">
        <v>65</v>
      </c>
      <c r="C88" s="101">
        <v>208.0</v>
      </c>
      <c r="D88" s="101">
        <v>490582.36</v>
      </c>
      <c r="E88" s="101">
        <v>102120.0</v>
      </c>
      <c r="F88" s="101">
        <v>50000.0</v>
      </c>
      <c r="G88" s="138">
        <f t="shared" si="1"/>
        <v>642910.36</v>
      </c>
    </row>
    <row r="89" spans="8:8">
      <c r="A89" s="116" t="s">
        <v>98</v>
      </c>
      <c r="B89" s="117" t="s">
        <v>65</v>
      </c>
      <c r="C89" s="101">
        <v>247.0</v>
      </c>
      <c r="D89" s="101">
        <v>657926.64</v>
      </c>
      <c r="E89" s="101">
        <v>102120.0</v>
      </c>
      <c r="F89" s="101">
        <v>50000.0</v>
      </c>
      <c r="G89" s="138">
        <f t="shared" si="1"/>
        <v>810293.64</v>
      </c>
    </row>
    <row r="90" spans="8:8">
      <c r="A90" s="116" t="s">
        <v>99</v>
      </c>
      <c r="B90" s="117" t="s">
        <v>65</v>
      </c>
      <c r="C90" s="101">
        <v>325.0</v>
      </c>
      <c r="D90" s="101">
        <v>848799.54</v>
      </c>
      <c r="E90" s="101">
        <v>102120.0</v>
      </c>
      <c r="F90" s="101">
        <v>50000.0</v>
      </c>
      <c r="G90" s="138">
        <f t="shared" si="1"/>
        <v>1001244.54</v>
      </c>
    </row>
    <row r="91" spans="8:8">
      <c r="A91" s="116" t="s">
        <v>100</v>
      </c>
      <c r="B91" s="117" t="s">
        <v>65</v>
      </c>
      <c r="C91" s="101">
        <v>403.0</v>
      </c>
      <c r="D91" s="101">
        <v>1328597.16</v>
      </c>
      <c r="E91" s="101">
        <v>102120.0</v>
      </c>
      <c r="F91" s="101">
        <v>50000.0</v>
      </c>
      <c r="G91" s="138">
        <f t="shared" si="1"/>
        <v>1481120.16</v>
      </c>
    </row>
    <row r="92" spans="8:8">
      <c r="A92" s="116" t="s">
        <v>101</v>
      </c>
      <c r="B92" s="117" t="s">
        <v>65</v>
      </c>
      <c r="C92" s="101">
        <v>442.0</v>
      </c>
      <c r="D92" s="101">
        <v>957130.14</v>
      </c>
      <c r="E92" s="101">
        <v>102120.0</v>
      </c>
      <c r="F92" s="101">
        <v>50000.0</v>
      </c>
      <c r="G92" s="138">
        <f t="shared" si="1"/>
        <v>1109692.1400000001</v>
      </c>
    </row>
    <row r="93" spans="8:8">
      <c r="A93" s="116" t="s">
        <v>102</v>
      </c>
      <c r="B93" s="117" t="s">
        <v>65</v>
      </c>
      <c r="C93" s="101">
        <v>247.0</v>
      </c>
      <c r="D93" s="101">
        <v>543802.33</v>
      </c>
      <c r="E93" s="101">
        <v>102120.0</v>
      </c>
      <c r="F93" s="101">
        <v>50000.0</v>
      </c>
      <c r="G93" s="138">
        <f t="shared" si="1"/>
        <v>696169.33</v>
      </c>
    </row>
    <row r="94" spans="8:8">
      <c r="A94" s="116" t="s">
        <v>103</v>
      </c>
      <c r="B94" s="117" t="s">
        <v>65</v>
      </c>
      <c r="C94" s="101">
        <v>208.0</v>
      </c>
      <c r="D94" s="101">
        <v>391674.63</v>
      </c>
      <c r="E94" s="101">
        <v>102120.0</v>
      </c>
      <c r="F94" s="101">
        <v>50000.0</v>
      </c>
      <c r="G94" s="138">
        <f t="shared" si="1"/>
        <v>544002.63</v>
      </c>
    </row>
    <row r="95" spans="8:8">
      <c r="A95" s="116" t="s">
        <v>104</v>
      </c>
      <c r="B95" s="117" t="s">
        <v>65</v>
      </c>
      <c r="C95" s="101">
        <v>247.0</v>
      </c>
      <c r="D95" s="101">
        <v>657926.64</v>
      </c>
      <c r="E95" s="101">
        <v>102120.0</v>
      </c>
      <c r="F95" s="101">
        <v>50000.0</v>
      </c>
      <c r="G95" s="138">
        <f t="shared" si="1"/>
        <v>810293.64</v>
      </c>
    </row>
    <row r="96" spans="8:8">
      <c r="A96" s="116" t="s">
        <v>105</v>
      </c>
      <c r="B96" s="117" t="s">
        <v>65</v>
      </c>
      <c r="C96" s="101">
        <v>286.0</v>
      </c>
      <c r="D96" s="101">
        <v>874762.82</v>
      </c>
      <c r="E96" s="101">
        <v>102120.0</v>
      </c>
      <c r="F96" s="101">
        <v>50000.0</v>
      </c>
      <c r="G96" s="138">
        <f t="shared" si="1"/>
        <v>1027168.82</v>
      </c>
    </row>
    <row r="97" spans="8:8">
      <c r="A97" s="116" t="s">
        <v>106</v>
      </c>
      <c r="B97" s="117" t="s">
        <v>65</v>
      </c>
      <c r="C97" s="101">
        <v>208.0</v>
      </c>
      <c r="D97" s="101">
        <v>391674.63</v>
      </c>
      <c r="E97" s="101">
        <v>102120.0</v>
      </c>
      <c r="F97" s="101">
        <v>50000.0</v>
      </c>
      <c r="G97" s="138">
        <f t="shared" si="1"/>
        <v>544002.63</v>
      </c>
    </row>
    <row r="98" spans="8:8">
      <c r="A98" s="116" t="s">
        <v>107</v>
      </c>
      <c r="B98" s="117" t="s">
        <v>65</v>
      </c>
      <c r="C98" s="101">
        <v>247.0</v>
      </c>
      <c r="D98" s="101">
        <v>657926.64</v>
      </c>
      <c r="E98" s="101">
        <v>102120.0</v>
      </c>
      <c r="F98" s="101">
        <v>50000.0</v>
      </c>
      <c r="G98" s="138">
        <f t="shared" si="1"/>
        <v>810293.64</v>
      </c>
    </row>
    <row r="99" spans="8:8">
      <c r="A99" s="116" t="s">
        <v>108</v>
      </c>
      <c r="B99" s="117" t="s">
        <v>65</v>
      </c>
      <c r="C99" s="101">
        <v>247.0</v>
      </c>
      <c r="D99" s="101">
        <v>543802.33</v>
      </c>
      <c r="E99" s="101">
        <v>102120.0</v>
      </c>
      <c r="F99" s="101">
        <v>50000.0</v>
      </c>
      <c r="G99" s="138">
        <f t="shared" si="1"/>
        <v>696169.33</v>
      </c>
    </row>
    <row r="100" spans="8:8">
      <c r="A100" s="116" t="s">
        <v>109</v>
      </c>
      <c r="B100" s="117" t="s">
        <v>65</v>
      </c>
      <c r="C100" s="101">
        <v>286.0</v>
      </c>
      <c r="D100" s="101">
        <v>808190.31</v>
      </c>
      <c r="E100" s="101">
        <v>102120.0</v>
      </c>
      <c r="F100" s="101">
        <v>50000.0</v>
      </c>
      <c r="G100" s="138">
        <f t="shared" si="1"/>
        <v>960596.31</v>
      </c>
    </row>
    <row r="101" spans="8:8">
      <c r="A101" s="116" t="s">
        <v>110</v>
      </c>
      <c r="B101" s="117" t="s">
        <v>65</v>
      </c>
      <c r="C101" s="101">
        <v>300000.0</v>
      </c>
      <c r="D101" s="101">
        <v>372872.65</v>
      </c>
      <c r="E101" s="101">
        <v>102120.0</v>
      </c>
      <c r="F101" s="101">
        <v>50000.0</v>
      </c>
      <c r="G101" s="138">
        <f t="shared" si="1"/>
        <v>824992.65</v>
      </c>
    </row>
    <row r="102" spans="8:8">
      <c r="A102" s="116" t="s">
        <v>111</v>
      </c>
      <c r="B102" s="117" t="s">
        <v>65</v>
      </c>
      <c r="C102" s="101">
        <v>208.0</v>
      </c>
      <c r="D102" s="101">
        <v>342220.76</v>
      </c>
      <c r="E102" s="101">
        <v>102120.0</v>
      </c>
      <c r="F102" s="101">
        <v>50000.0</v>
      </c>
      <c r="G102" s="138">
        <f t="shared" si="1"/>
        <v>494548.76</v>
      </c>
    </row>
    <row r="103" spans="8:8">
      <c r="A103" s="116" t="s">
        <v>112</v>
      </c>
      <c r="B103" s="117" t="s">
        <v>65</v>
      </c>
      <c r="C103" s="101">
        <v>247.0</v>
      </c>
      <c r="D103" s="101">
        <v>566056.57</v>
      </c>
      <c r="E103" s="101">
        <v>102120.0</v>
      </c>
      <c r="F103" s="101">
        <v>50000.0</v>
      </c>
      <c r="G103" s="138">
        <f t="shared" si="1"/>
        <v>718423.57</v>
      </c>
    </row>
    <row r="104" spans="8:8">
      <c r="A104" s="116" t="s">
        <v>113</v>
      </c>
      <c r="B104" s="117" t="s">
        <v>65</v>
      </c>
      <c r="C104" s="101">
        <v>286.0</v>
      </c>
      <c r="D104" s="101">
        <v>734294.82</v>
      </c>
      <c r="E104" s="101">
        <v>102120.0</v>
      </c>
      <c r="F104" s="101">
        <v>50000.0</v>
      </c>
      <c r="G104" s="138">
        <f t="shared" si="1"/>
        <v>886700.82</v>
      </c>
    </row>
    <row r="105" spans="8:8">
      <c r="A105" s="116" t="s">
        <v>114</v>
      </c>
      <c r="B105" s="117" t="s">
        <v>65</v>
      </c>
      <c r="C105" s="101">
        <v>208.0</v>
      </c>
      <c r="D105" s="101">
        <v>303646.74</v>
      </c>
      <c r="E105" s="101">
        <v>102120.0</v>
      </c>
      <c r="F105" s="101">
        <v>50000.0</v>
      </c>
      <c r="G105" s="138">
        <f t="shared" si="1"/>
        <v>455974.74</v>
      </c>
    </row>
    <row r="106" spans="8:8">
      <c r="A106" s="116" t="s">
        <v>115</v>
      </c>
      <c r="B106" s="117" t="s">
        <v>65</v>
      </c>
      <c r="C106" s="101">
        <v>247.0</v>
      </c>
      <c r="D106" s="101">
        <v>651649.8</v>
      </c>
      <c r="E106" s="101">
        <v>102120.0</v>
      </c>
      <c r="F106" s="101">
        <v>50000.0</v>
      </c>
      <c r="G106" s="138">
        <f t="shared" si="1"/>
        <v>804016.8</v>
      </c>
    </row>
    <row r="107" spans="8:8">
      <c r="A107" s="116" t="s">
        <v>116</v>
      </c>
      <c r="B107" s="117" t="s">
        <v>65</v>
      </c>
      <c r="C107" s="101">
        <v>286.0</v>
      </c>
      <c r="D107" s="101">
        <v>867439.85</v>
      </c>
      <c r="E107" s="101">
        <v>102120.0</v>
      </c>
      <c r="F107" s="101">
        <v>50000.0</v>
      </c>
      <c r="G107" s="138">
        <f t="shared" si="1"/>
        <v>1019845.85</v>
      </c>
    </row>
    <row r="108" spans="8:8">
      <c r="A108" s="116" t="s">
        <v>117</v>
      </c>
      <c r="B108" s="117" t="s">
        <v>65</v>
      </c>
      <c r="C108" s="101">
        <v>247.0</v>
      </c>
      <c r="D108" s="101">
        <v>635672.4</v>
      </c>
      <c r="E108" s="101">
        <v>102120.0</v>
      </c>
      <c r="F108" s="101">
        <v>50000.0</v>
      </c>
      <c r="G108" s="138">
        <f t="shared" si="1"/>
        <v>788039.4</v>
      </c>
    </row>
    <row r="109" spans="8:8">
      <c r="A109" s="116" t="s">
        <v>118</v>
      </c>
      <c r="B109" s="117" t="s">
        <v>65</v>
      </c>
      <c r="C109" s="101">
        <v>208.0</v>
      </c>
      <c r="D109" s="101">
        <v>322933.75</v>
      </c>
      <c r="E109" s="101">
        <v>102120.0</v>
      </c>
      <c r="F109" s="101">
        <v>50000.0</v>
      </c>
      <c r="G109" s="138">
        <f t="shared" si="1"/>
        <v>475261.75</v>
      </c>
    </row>
    <row r="110" spans="8:8">
      <c r="A110" s="116" t="s">
        <v>119</v>
      </c>
      <c r="B110" s="117" t="s">
        <v>65</v>
      </c>
      <c r="C110" s="101">
        <v>247.0</v>
      </c>
      <c r="D110" s="101">
        <v>651649.8</v>
      </c>
      <c r="E110" s="101">
        <v>102120.0</v>
      </c>
      <c r="F110" s="101">
        <v>50000.0</v>
      </c>
      <c r="G110" s="138">
        <f t="shared" si="1"/>
        <v>804016.8</v>
      </c>
    </row>
    <row r="111" spans="8:8">
      <c r="A111" s="116" t="s">
        <v>120</v>
      </c>
      <c r="B111" s="117" t="s">
        <v>65</v>
      </c>
      <c r="C111" s="101">
        <v>208.0</v>
      </c>
      <c r="D111" s="101">
        <v>629395.56</v>
      </c>
      <c r="E111" s="101">
        <v>102120.0</v>
      </c>
      <c r="F111" s="101">
        <v>50000.0</v>
      </c>
      <c r="G111" s="138">
        <f t="shared" si="1"/>
        <v>781723.56</v>
      </c>
    </row>
    <row r="112" spans="8:8">
      <c r="A112" s="116" t="s">
        <v>121</v>
      </c>
      <c r="B112" s="117" t="s">
        <v>65</v>
      </c>
      <c r="C112" s="101">
        <v>247.0</v>
      </c>
      <c r="D112" s="101">
        <v>1382425.79</v>
      </c>
      <c r="E112" s="101">
        <v>102120.0</v>
      </c>
      <c r="F112" s="101">
        <v>50000.0</v>
      </c>
      <c r="G112" s="138">
        <f t="shared" si="1"/>
        <v>1534792.79</v>
      </c>
    </row>
    <row r="113" spans="8:8">
      <c r="A113" s="116" t="s">
        <v>122</v>
      </c>
      <c r="B113" s="117" t="s">
        <v>65</v>
      </c>
      <c r="C113" s="101">
        <v>208.0</v>
      </c>
      <c r="D113" s="101">
        <v>372387.62</v>
      </c>
      <c r="E113" s="101">
        <v>102120.0</v>
      </c>
      <c r="F113" s="101">
        <v>50000.0</v>
      </c>
      <c r="G113" s="138">
        <f t="shared" si="1"/>
        <v>524715.62</v>
      </c>
    </row>
    <row r="114" spans="8:8">
      <c r="A114" s="116" t="s">
        <v>123</v>
      </c>
      <c r="B114" s="117" t="s">
        <v>65</v>
      </c>
      <c r="C114" s="101">
        <v>247.0</v>
      </c>
      <c r="D114" s="101">
        <v>680180.88</v>
      </c>
      <c r="E114" s="101">
        <v>102120.0</v>
      </c>
      <c r="F114" s="101">
        <v>50000.0</v>
      </c>
      <c r="G114" s="138">
        <f t="shared" si="1"/>
        <v>832547.88</v>
      </c>
    </row>
    <row r="115" spans="8:8">
      <c r="A115" s="116" t="s">
        <v>124</v>
      </c>
      <c r="B115" s="117" t="s">
        <v>65</v>
      </c>
      <c r="C115" s="101">
        <v>286.0</v>
      </c>
      <c r="D115" s="101">
        <v>900726.1</v>
      </c>
      <c r="E115" s="101">
        <v>102120.0</v>
      </c>
      <c r="F115" s="101">
        <v>50000.0</v>
      </c>
      <c r="G115" s="138">
        <f t="shared" si="1"/>
        <v>1053132.1</v>
      </c>
    </row>
    <row r="116" spans="8:8">
      <c r="A116" s="116" t="s">
        <v>125</v>
      </c>
      <c r="B116" s="117" t="s">
        <v>65</v>
      </c>
      <c r="C116" s="101">
        <v>325.0</v>
      </c>
      <c r="D116" s="101">
        <v>1151894.69</v>
      </c>
      <c r="E116" s="101">
        <v>102120.0</v>
      </c>
      <c r="F116" s="101">
        <v>50000.0</v>
      </c>
      <c r="G116" s="138">
        <f t="shared" si="1"/>
        <v>1304339.69</v>
      </c>
    </row>
    <row r="117" spans="8:8">
      <c r="A117" s="116" t="s">
        <v>126</v>
      </c>
      <c r="B117" s="117" t="s">
        <v>65</v>
      </c>
      <c r="C117" s="101">
        <v>364.0</v>
      </c>
      <c r="D117" s="101">
        <v>1433686.63</v>
      </c>
      <c r="E117" s="101">
        <v>102120.0</v>
      </c>
      <c r="F117" s="101">
        <v>50000.0</v>
      </c>
      <c r="G117" s="138">
        <f t="shared" si="1"/>
        <v>1586170.63</v>
      </c>
    </row>
    <row r="118" spans="8:8">
      <c r="A118" s="116" t="s">
        <v>127</v>
      </c>
      <c r="B118" s="117" t="s">
        <v>65</v>
      </c>
      <c r="C118" s="101">
        <v>208.0</v>
      </c>
      <c r="D118" s="101">
        <v>265072.73</v>
      </c>
      <c r="E118" s="101">
        <v>102120.0</v>
      </c>
      <c r="F118" s="101">
        <v>50000.0</v>
      </c>
      <c r="G118" s="138">
        <f t="shared" si="1"/>
        <v>417400.73</v>
      </c>
    </row>
    <row r="119" spans="8:8">
      <c r="A119" s="116" t="s">
        <v>128</v>
      </c>
      <c r="B119" s="117" t="s">
        <v>65</v>
      </c>
      <c r="C119" s="101">
        <v>247.0</v>
      </c>
      <c r="D119" s="101">
        <v>868866.4</v>
      </c>
      <c r="E119" s="101">
        <v>102120.0</v>
      </c>
      <c r="F119" s="101">
        <v>50000.0</v>
      </c>
      <c r="G119" s="138">
        <f t="shared" si="1"/>
        <v>1021233.4</v>
      </c>
    </row>
    <row r="120" spans="8:8">
      <c r="A120" s="116" t="s">
        <v>129</v>
      </c>
      <c r="B120" s="117" t="s">
        <v>65</v>
      </c>
      <c r="C120" s="101">
        <v>286.0</v>
      </c>
      <c r="D120" s="101">
        <v>1334303.37</v>
      </c>
      <c r="E120" s="101">
        <v>102120.0</v>
      </c>
      <c r="F120" s="101">
        <v>50000.0</v>
      </c>
      <c r="G120" s="138">
        <f t="shared" si="1"/>
        <v>1486709.37</v>
      </c>
    </row>
    <row r="121" spans="8:8">
      <c r="A121" s="116" t="s">
        <v>130</v>
      </c>
      <c r="B121" s="117" t="s">
        <v>65</v>
      </c>
      <c r="C121" s="101">
        <v>325.0</v>
      </c>
      <c r="D121" s="101">
        <v>1899028.49</v>
      </c>
      <c r="E121" s="101">
        <v>102120.0</v>
      </c>
      <c r="F121" s="101">
        <v>50000.0</v>
      </c>
      <c r="G121" s="138">
        <f t="shared" si="1"/>
        <v>2051473.49</v>
      </c>
    </row>
    <row r="122" spans="8:8">
      <c r="A122" s="116" t="s">
        <v>131</v>
      </c>
      <c r="B122" s="117" t="s">
        <v>65</v>
      </c>
      <c r="C122" s="101">
        <v>364.0</v>
      </c>
      <c r="D122" s="101">
        <v>2363324.22</v>
      </c>
      <c r="E122" s="101">
        <v>102120.0</v>
      </c>
      <c r="F122" s="101">
        <v>50000.0</v>
      </c>
      <c r="G122" s="138">
        <f t="shared" si="1"/>
        <v>2515808.22</v>
      </c>
    </row>
    <row r="123" spans="8:8">
      <c r="A123" s="116" t="s">
        <v>132</v>
      </c>
      <c r="B123" s="117" t="s">
        <v>65</v>
      </c>
      <c r="C123" s="101">
        <v>208.0</v>
      </c>
      <c r="D123" s="101">
        <v>265072.73</v>
      </c>
      <c r="E123" s="101">
        <v>102120.0</v>
      </c>
      <c r="F123" s="101">
        <v>50000.0</v>
      </c>
      <c r="G123" s="138">
        <f t="shared" si="1"/>
        <v>417400.73</v>
      </c>
    </row>
    <row r="124" spans="8:8">
      <c r="A124" s="116" t="s">
        <v>133</v>
      </c>
      <c r="B124" s="117" t="s">
        <v>65</v>
      </c>
      <c r="C124" s="101">
        <v>247.0</v>
      </c>
      <c r="D124" s="101">
        <v>651649.8</v>
      </c>
      <c r="E124" s="101">
        <v>102120.0</v>
      </c>
      <c r="F124" s="101">
        <v>50000.0</v>
      </c>
      <c r="G124" s="138">
        <f t="shared" si="1"/>
        <v>804016.8</v>
      </c>
    </row>
    <row r="125" spans="8:8">
      <c r="A125" s="116" t="s">
        <v>134</v>
      </c>
      <c r="B125" s="117" t="s">
        <v>65</v>
      </c>
      <c r="C125" s="101">
        <v>286.0</v>
      </c>
      <c r="D125" s="101">
        <v>934012.36</v>
      </c>
      <c r="E125" s="101">
        <v>102120.0</v>
      </c>
      <c r="F125" s="101">
        <v>50000.0</v>
      </c>
      <c r="G125" s="138">
        <f t="shared" si="1"/>
        <v>1086418.3599999999</v>
      </c>
    </row>
    <row r="126" spans="8:8">
      <c r="A126" s="116" t="s">
        <v>135</v>
      </c>
      <c r="B126" s="117" t="s">
        <v>65</v>
      </c>
      <c r="C126" s="101">
        <v>208.0</v>
      </c>
      <c r="D126" s="101">
        <v>303646.74</v>
      </c>
      <c r="E126" s="101">
        <v>102120.0</v>
      </c>
      <c r="F126" s="101">
        <v>50000.0</v>
      </c>
      <c r="G126" s="138">
        <f t="shared" si="1"/>
        <v>455974.74</v>
      </c>
    </row>
    <row r="127" spans="8:8">
      <c r="A127" s="116" t="s">
        <v>136</v>
      </c>
      <c r="B127" s="117" t="s">
        <v>65</v>
      </c>
      <c r="C127" s="101">
        <v>247.0</v>
      </c>
      <c r="D127" s="101">
        <v>651649.8</v>
      </c>
      <c r="E127" s="101">
        <v>102120.0</v>
      </c>
      <c r="F127" s="101">
        <v>50000.0</v>
      </c>
      <c r="G127" s="138">
        <f t="shared" si="1"/>
        <v>804016.8</v>
      </c>
    </row>
    <row r="128" spans="8:8">
      <c r="A128" s="116" t="s">
        <v>137</v>
      </c>
      <c r="B128" s="117" t="s">
        <v>65</v>
      </c>
      <c r="C128" s="101">
        <v>208.0</v>
      </c>
      <c r="D128" s="101">
        <v>545476.15</v>
      </c>
      <c r="E128" s="101">
        <v>102120.0</v>
      </c>
      <c r="F128" s="101">
        <v>50000.0</v>
      </c>
      <c r="G128" s="138">
        <f t="shared" si="1"/>
        <v>697804.15</v>
      </c>
    </row>
    <row r="129" spans="8:8">
      <c r="A129" s="116" t="s">
        <v>138</v>
      </c>
      <c r="B129" s="117" t="s">
        <v>65</v>
      </c>
      <c r="C129" s="101">
        <v>247.0</v>
      </c>
      <c r="D129" s="101">
        <v>1036819.34</v>
      </c>
      <c r="E129" s="101">
        <v>102120.0</v>
      </c>
      <c r="F129" s="101">
        <v>50000.0</v>
      </c>
      <c r="G129" s="138">
        <f t="shared" si="1"/>
        <v>1189186.3399999999</v>
      </c>
    </row>
    <row r="130" spans="8:8">
      <c r="A130" s="116" t="s">
        <v>139</v>
      </c>
      <c r="B130" s="117" t="s">
        <v>65</v>
      </c>
      <c r="C130" s="101">
        <v>208.0</v>
      </c>
      <c r="D130" s="101">
        <v>342220.76</v>
      </c>
      <c r="E130" s="101">
        <v>102120.0</v>
      </c>
      <c r="F130" s="101">
        <v>50000.0</v>
      </c>
      <c r="G130" s="138">
        <f t="shared" si="1"/>
        <v>494548.76</v>
      </c>
    </row>
    <row r="131" spans="8:8">
      <c r="A131" s="116" t="s">
        <v>140</v>
      </c>
      <c r="B131" s="117" t="s">
        <v>65</v>
      </c>
      <c r="C131" s="101">
        <v>247.0</v>
      </c>
      <c r="D131" s="101">
        <v>629395.56</v>
      </c>
      <c r="E131" s="101">
        <v>102120.0</v>
      </c>
      <c r="F131" s="101">
        <v>50000.0</v>
      </c>
      <c r="G131" s="138">
        <f t="shared" si="2" ref="G131:G194">(C131+D131+E131+F131)</f>
        <v>781762.56</v>
      </c>
    </row>
    <row r="132" spans="8:8">
      <c r="A132" s="116" t="s">
        <v>141</v>
      </c>
      <c r="B132" s="117" t="s">
        <v>65</v>
      </c>
      <c r="C132" s="101">
        <v>286.0</v>
      </c>
      <c r="D132" s="101">
        <v>908049.08</v>
      </c>
      <c r="E132" s="101">
        <v>102120.0</v>
      </c>
      <c r="F132" s="101">
        <v>50000.0</v>
      </c>
      <c r="G132" s="138">
        <f t="shared" si="2"/>
        <v>1060455.08</v>
      </c>
    </row>
    <row r="133" spans="8:8">
      <c r="A133" s="116" t="s">
        <v>142</v>
      </c>
      <c r="B133" s="117" t="s">
        <v>65</v>
      </c>
      <c r="C133" s="101">
        <v>208.0</v>
      </c>
      <c r="D133" s="101">
        <v>564763.16</v>
      </c>
      <c r="E133" s="101">
        <v>102120.0</v>
      </c>
      <c r="F133" s="101">
        <v>50000.0</v>
      </c>
      <c r="G133" s="138">
        <f t="shared" si="2"/>
        <v>717091.16</v>
      </c>
    </row>
    <row r="134" spans="8:8">
      <c r="A134" s="116" t="s">
        <v>143</v>
      </c>
      <c r="B134" s="117" t="s">
        <v>65</v>
      </c>
      <c r="C134" s="101">
        <v>247.0</v>
      </c>
      <c r="D134" s="101">
        <v>607141.32</v>
      </c>
      <c r="E134" s="101">
        <v>102120.0</v>
      </c>
      <c r="F134" s="101">
        <v>50000.0</v>
      </c>
      <c r="G134" s="138">
        <f t="shared" si="2"/>
        <v>759508.32</v>
      </c>
    </row>
    <row r="135" spans="8:8">
      <c r="A135" s="116" t="s">
        <v>144</v>
      </c>
      <c r="B135" s="117" t="s">
        <v>65</v>
      </c>
      <c r="C135" s="101">
        <v>286.0</v>
      </c>
      <c r="D135" s="101">
        <v>1037770.38</v>
      </c>
      <c r="E135" s="101">
        <v>102120.0</v>
      </c>
      <c r="F135" s="101">
        <v>50000.0</v>
      </c>
      <c r="G135" s="138">
        <f t="shared" si="2"/>
        <v>1190176.38</v>
      </c>
    </row>
    <row r="136" spans="8:8">
      <c r="A136" s="116" t="s">
        <v>145</v>
      </c>
      <c r="B136" s="117" t="s">
        <v>65</v>
      </c>
      <c r="C136" s="101">
        <v>208.0</v>
      </c>
      <c r="D136" s="101">
        <v>342220.76</v>
      </c>
      <c r="E136" s="101">
        <v>102120.0</v>
      </c>
      <c r="F136" s="101">
        <v>50000.0</v>
      </c>
      <c r="G136" s="138">
        <f t="shared" si="2"/>
        <v>494548.76</v>
      </c>
    </row>
    <row r="137" spans="8:8">
      <c r="A137" s="116" t="s">
        <v>146</v>
      </c>
      <c r="B137" s="117" t="s">
        <v>65</v>
      </c>
      <c r="C137" s="101">
        <v>247.0</v>
      </c>
      <c r="D137" s="101">
        <v>629395.56</v>
      </c>
      <c r="E137" s="101">
        <v>102120.0</v>
      </c>
      <c r="F137" s="101">
        <v>50000.0</v>
      </c>
      <c r="G137" s="138">
        <f t="shared" si="2"/>
        <v>781762.56</v>
      </c>
    </row>
    <row r="138" spans="8:8">
      <c r="A138" s="116" t="s">
        <v>147</v>
      </c>
      <c r="B138" s="117" t="s">
        <v>65</v>
      </c>
      <c r="C138" s="101">
        <v>286.0</v>
      </c>
      <c r="D138" s="101">
        <v>908049.08</v>
      </c>
      <c r="E138" s="101">
        <v>102120.0</v>
      </c>
      <c r="F138" s="101">
        <v>50000.0</v>
      </c>
      <c r="G138" s="138">
        <f t="shared" si="2"/>
        <v>1060455.08</v>
      </c>
    </row>
    <row r="139" spans="8:8">
      <c r="A139" s="116" t="s">
        <v>148</v>
      </c>
      <c r="B139" s="117" t="s">
        <v>65</v>
      </c>
      <c r="C139" s="101">
        <v>247.0</v>
      </c>
      <c r="D139" s="101">
        <v>629395.56</v>
      </c>
      <c r="E139" s="101">
        <v>102120.0</v>
      </c>
      <c r="F139" s="101">
        <v>50000.0</v>
      </c>
      <c r="G139" s="138">
        <f t="shared" si="2"/>
        <v>781762.56</v>
      </c>
    </row>
    <row r="140" spans="8:8">
      <c r="A140" s="116" t="s">
        <v>149</v>
      </c>
      <c r="B140" s="117" t="s">
        <v>65</v>
      </c>
      <c r="C140" s="101">
        <v>286.0</v>
      </c>
      <c r="D140" s="101">
        <v>908049.08</v>
      </c>
      <c r="E140" s="101">
        <v>102120.0</v>
      </c>
      <c r="F140" s="101">
        <v>50000.0</v>
      </c>
      <c r="G140" s="138">
        <f t="shared" si="2"/>
        <v>1060455.08</v>
      </c>
    </row>
    <row r="141" spans="8:8">
      <c r="A141" s="116" t="s">
        <v>150</v>
      </c>
      <c r="B141" s="117" t="s">
        <v>65</v>
      </c>
      <c r="C141" s="101">
        <v>403.0</v>
      </c>
      <c r="D141" s="101">
        <v>1542580.24</v>
      </c>
      <c r="E141" s="101">
        <v>102120.0</v>
      </c>
      <c r="F141" s="101">
        <v>50000.0</v>
      </c>
      <c r="G141" s="138">
        <f t="shared" si="2"/>
        <v>1695103.24</v>
      </c>
    </row>
    <row r="142" spans="8:8">
      <c r="A142" s="116" t="s">
        <v>151</v>
      </c>
      <c r="B142" s="117" t="s">
        <v>65</v>
      </c>
      <c r="C142" s="101">
        <v>247.0</v>
      </c>
      <c r="D142" s="101">
        <v>1638064.24</v>
      </c>
      <c r="E142" s="101">
        <v>102120.0</v>
      </c>
      <c r="F142" s="101">
        <v>50000.0</v>
      </c>
      <c r="G142" s="138">
        <f t="shared" si="2"/>
        <v>1790431.24</v>
      </c>
    </row>
    <row r="143" spans="8:8">
      <c r="A143" s="116" t="s">
        <v>152</v>
      </c>
      <c r="B143" s="117" t="s">
        <v>65</v>
      </c>
      <c r="C143" s="101">
        <v>286.0</v>
      </c>
      <c r="D143" s="101">
        <v>2295800.67</v>
      </c>
      <c r="E143" s="101">
        <v>102120.0</v>
      </c>
      <c r="F143" s="101">
        <v>50000.0</v>
      </c>
      <c r="G143" s="138">
        <f t="shared" si="2"/>
        <v>2448206.67</v>
      </c>
    </row>
    <row r="144" spans="8:8">
      <c r="A144" s="116" t="s">
        <v>153</v>
      </c>
      <c r="B144" s="117" t="s">
        <v>65</v>
      </c>
      <c r="C144" s="101">
        <v>403.0</v>
      </c>
      <c r="D144" s="101">
        <v>4445712.44</v>
      </c>
      <c r="E144" s="101">
        <v>102120.0</v>
      </c>
      <c r="F144" s="101">
        <v>50000.0</v>
      </c>
      <c r="G144" s="138">
        <f t="shared" si="2"/>
        <v>4598235.44</v>
      </c>
    </row>
    <row r="145" spans="8:8">
      <c r="A145" s="116" t="s">
        <v>154</v>
      </c>
      <c r="B145" s="117" t="s">
        <v>65</v>
      </c>
      <c r="C145" s="101">
        <v>800.0</v>
      </c>
      <c r="D145" s="101">
        <v>98907.73</v>
      </c>
      <c r="E145" s="101">
        <v>102120.0</v>
      </c>
      <c r="F145" s="101">
        <v>50000.0</v>
      </c>
      <c r="G145" s="138">
        <f t="shared" si="2"/>
        <v>251827.72999999998</v>
      </c>
    </row>
    <row r="146" spans="8:8">
      <c r="A146" s="116" t="s">
        <v>155</v>
      </c>
      <c r="B146" s="117" t="s">
        <v>65</v>
      </c>
      <c r="C146" s="101">
        <v>208.0</v>
      </c>
      <c r="D146" s="101">
        <v>391674.63</v>
      </c>
      <c r="E146" s="101">
        <v>102120.0</v>
      </c>
      <c r="F146" s="101">
        <v>50000.0</v>
      </c>
      <c r="G146" s="138">
        <f t="shared" si="2"/>
        <v>544002.63</v>
      </c>
    </row>
    <row r="147" spans="8:8">
      <c r="A147" s="116" t="s">
        <v>156</v>
      </c>
      <c r="B147" s="117" t="s">
        <v>65</v>
      </c>
      <c r="C147" s="101">
        <v>247.0</v>
      </c>
      <c r="D147" s="101">
        <v>657926.64</v>
      </c>
      <c r="E147" s="101">
        <v>102120.0</v>
      </c>
      <c r="F147" s="101">
        <v>50000.0</v>
      </c>
      <c r="G147" s="138">
        <f t="shared" si="2"/>
        <v>810293.64</v>
      </c>
    </row>
    <row r="148" spans="8:8">
      <c r="A148" s="116" t="s">
        <v>157</v>
      </c>
      <c r="B148" s="117" t="s">
        <v>65</v>
      </c>
      <c r="C148" s="101">
        <v>208.0</v>
      </c>
      <c r="D148" s="101">
        <v>391674.63</v>
      </c>
      <c r="E148" s="101">
        <v>102120.0</v>
      </c>
      <c r="F148" s="101">
        <v>50000.0</v>
      </c>
      <c r="G148" s="138">
        <f t="shared" si="2"/>
        <v>544002.63</v>
      </c>
    </row>
    <row r="149" spans="8:8">
      <c r="A149" s="116" t="s">
        <v>158</v>
      </c>
      <c r="B149" s="117" t="s">
        <v>65</v>
      </c>
      <c r="C149" s="101">
        <v>247.0</v>
      </c>
      <c r="D149" s="101">
        <v>657926.64</v>
      </c>
      <c r="E149" s="101">
        <v>102120.0</v>
      </c>
      <c r="F149" s="101">
        <v>50000.0</v>
      </c>
      <c r="G149" s="138">
        <f t="shared" si="2"/>
        <v>810293.64</v>
      </c>
    </row>
    <row r="150" spans="8:8">
      <c r="A150" s="116" t="s">
        <v>159</v>
      </c>
      <c r="B150" s="117" t="s">
        <v>65</v>
      </c>
      <c r="C150" s="101">
        <v>286.0</v>
      </c>
      <c r="D150" s="101">
        <v>941335.34</v>
      </c>
      <c r="E150" s="101">
        <v>102120.0</v>
      </c>
      <c r="F150" s="101">
        <v>50000.0</v>
      </c>
      <c r="G150" s="138">
        <f t="shared" si="2"/>
        <v>1093741.3399999999</v>
      </c>
    </row>
    <row r="151" spans="8:8">
      <c r="A151" s="116" t="s">
        <v>160</v>
      </c>
      <c r="B151" s="117" t="s">
        <v>65</v>
      </c>
      <c r="C151" s="101">
        <v>247.0</v>
      </c>
      <c r="D151" s="101">
        <v>629395.56</v>
      </c>
      <c r="E151" s="101">
        <v>102120.0</v>
      </c>
      <c r="F151" s="101">
        <v>50000.0</v>
      </c>
      <c r="G151" s="138">
        <f t="shared" si="2"/>
        <v>781762.56</v>
      </c>
    </row>
    <row r="152" spans="8:8">
      <c r="A152" s="116" t="s">
        <v>161</v>
      </c>
      <c r="B152" s="117" t="s">
        <v>65</v>
      </c>
      <c r="C152" s="101">
        <v>286.0</v>
      </c>
      <c r="D152" s="101">
        <v>908049.08</v>
      </c>
      <c r="E152" s="101">
        <v>102120.0</v>
      </c>
      <c r="F152" s="101">
        <v>50000.0</v>
      </c>
      <c r="G152" s="138">
        <f t="shared" si="2"/>
        <v>1060455.08</v>
      </c>
    </row>
    <row r="153" spans="8:8">
      <c r="A153" s="116" t="s">
        <v>162</v>
      </c>
      <c r="B153" s="117" t="s">
        <v>65</v>
      </c>
      <c r="C153" s="101">
        <v>247.0</v>
      </c>
      <c r="D153" s="101">
        <v>1352753.47</v>
      </c>
      <c r="E153" s="101">
        <v>102120.0</v>
      </c>
      <c r="F153" s="101">
        <v>50000.0</v>
      </c>
      <c r="G153" s="138">
        <f t="shared" si="2"/>
        <v>1505120.47</v>
      </c>
    </row>
    <row r="154" spans="8:8">
      <c r="A154" s="116" t="s">
        <v>163</v>
      </c>
      <c r="B154" s="117" t="s">
        <v>65</v>
      </c>
      <c r="C154" s="101">
        <v>286.0</v>
      </c>
      <c r="D154" s="101">
        <v>1608391.92</v>
      </c>
      <c r="E154" s="101">
        <v>102120.0</v>
      </c>
      <c r="F154" s="101">
        <v>50000.0</v>
      </c>
      <c r="G154" s="138">
        <f t="shared" si="2"/>
        <v>1760797.92</v>
      </c>
    </row>
    <row r="155" spans="8:8">
      <c r="A155" s="116" t="s">
        <v>164</v>
      </c>
      <c r="B155" s="117" t="s">
        <v>65</v>
      </c>
      <c r="C155" s="101">
        <v>971.46</v>
      </c>
      <c r="D155" s="101">
        <v>117605.1</v>
      </c>
      <c r="E155" s="101">
        <v>102120.0</v>
      </c>
      <c r="F155" s="101">
        <v>50000.0</v>
      </c>
      <c r="G155" s="138">
        <f t="shared" si="2"/>
        <v>270696.56</v>
      </c>
    </row>
    <row r="156" spans="8:8">
      <c r="A156" s="116" t="s">
        <v>165</v>
      </c>
      <c r="B156" s="117" t="s">
        <v>65</v>
      </c>
      <c r="C156" s="101">
        <v>247.0</v>
      </c>
      <c r="D156" s="101">
        <v>629395.56</v>
      </c>
      <c r="E156" s="101">
        <v>102120.0</v>
      </c>
      <c r="F156" s="101">
        <v>50000.0</v>
      </c>
      <c r="G156" s="138">
        <f t="shared" si="2"/>
        <v>781762.56</v>
      </c>
    </row>
    <row r="157" spans="8:8">
      <c r="A157" s="116" t="s">
        <v>166</v>
      </c>
      <c r="B157" s="117" t="s">
        <v>65</v>
      </c>
      <c r="C157" s="101">
        <v>208.0</v>
      </c>
      <c r="D157" s="101">
        <v>342220.76</v>
      </c>
      <c r="E157" s="101">
        <v>102120.0</v>
      </c>
      <c r="F157" s="101">
        <v>50000.0</v>
      </c>
      <c r="G157" s="138">
        <f t="shared" si="2"/>
        <v>494548.76</v>
      </c>
    </row>
    <row r="158" spans="8:8">
      <c r="A158" s="116" t="s">
        <v>167</v>
      </c>
      <c r="B158" s="117" t="s">
        <v>65</v>
      </c>
      <c r="C158" s="101">
        <v>247.0</v>
      </c>
      <c r="D158" s="101">
        <v>839194.08</v>
      </c>
      <c r="E158" s="101">
        <v>102120.0</v>
      </c>
      <c r="F158" s="101">
        <v>50000.0</v>
      </c>
      <c r="G158" s="138">
        <f t="shared" si="2"/>
        <v>991561.08</v>
      </c>
    </row>
    <row r="159" spans="8:8">
      <c r="A159" s="116" t="s">
        <v>168</v>
      </c>
      <c r="B159" s="117" t="s">
        <v>65</v>
      </c>
      <c r="C159" s="101">
        <v>208.0</v>
      </c>
      <c r="D159" s="101">
        <v>651649.8</v>
      </c>
      <c r="E159" s="101">
        <v>102120.0</v>
      </c>
      <c r="F159" s="101">
        <v>50000.0</v>
      </c>
      <c r="G159" s="138">
        <f t="shared" si="2"/>
        <v>803977.8</v>
      </c>
    </row>
    <row r="160" spans="8:8">
      <c r="A160" s="116" t="s">
        <v>169</v>
      </c>
      <c r="B160" s="117" t="s">
        <v>65</v>
      </c>
      <c r="C160" s="101">
        <v>247.0</v>
      </c>
      <c r="D160" s="101">
        <v>1105484.13</v>
      </c>
      <c r="E160" s="101">
        <v>102120.0</v>
      </c>
      <c r="F160" s="101">
        <v>50000.0</v>
      </c>
      <c r="G160" s="138">
        <f t="shared" si="2"/>
        <v>1257851.13</v>
      </c>
    </row>
    <row r="161" spans="8:8">
      <c r="A161" s="116" t="s">
        <v>170</v>
      </c>
      <c r="B161" s="117" t="s">
        <v>65</v>
      </c>
      <c r="C161" s="101">
        <v>208.0</v>
      </c>
      <c r="D161" s="101">
        <v>342220.76</v>
      </c>
      <c r="E161" s="101">
        <v>102120.0</v>
      </c>
      <c r="F161" s="101">
        <v>50000.0</v>
      </c>
      <c r="G161" s="138">
        <f t="shared" si="2"/>
        <v>494548.76</v>
      </c>
    </row>
    <row r="162" spans="8:8">
      <c r="A162" s="116" t="s">
        <v>171</v>
      </c>
      <c r="B162" s="117" t="s">
        <v>65</v>
      </c>
      <c r="C162" s="101">
        <v>247.0</v>
      </c>
      <c r="D162" s="101">
        <v>708331.54</v>
      </c>
      <c r="E162" s="101">
        <v>102120.0</v>
      </c>
      <c r="F162" s="101">
        <v>50000.0</v>
      </c>
      <c r="G162" s="138">
        <f t="shared" si="2"/>
        <v>860698.54</v>
      </c>
    </row>
    <row r="163" spans="8:8">
      <c r="A163" s="116" t="s">
        <v>172</v>
      </c>
      <c r="B163" s="117" t="s">
        <v>65</v>
      </c>
      <c r="C163" s="101">
        <v>286.0</v>
      </c>
      <c r="D163" s="101">
        <v>882085.8</v>
      </c>
      <c r="E163" s="101">
        <v>102120.0</v>
      </c>
      <c r="F163" s="101">
        <v>50000.0</v>
      </c>
      <c r="G163" s="138">
        <f t="shared" si="2"/>
        <v>1034491.8</v>
      </c>
    </row>
    <row r="164" spans="8:8">
      <c r="A164" s="116" t="s">
        <v>173</v>
      </c>
      <c r="B164" s="117" t="s">
        <v>65</v>
      </c>
      <c r="C164" s="101">
        <v>208.0</v>
      </c>
      <c r="D164" s="101">
        <v>651649.8</v>
      </c>
      <c r="E164" s="101">
        <v>102120.0</v>
      </c>
      <c r="F164" s="101">
        <v>50000.0</v>
      </c>
      <c r="G164" s="138">
        <f t="shared" si="2"/>
        <v>803977.8</v>
      </c>
    </row>
    <row r="165" spans="8:8">
      <c r="A165" s="116" t="s">
        <v>174</v>
      </c>
      <c r="B165" s="117" t="s">
        <v>65</v>
      </c>
      <c r="C165" s="101">
        <v>247.0</v>
      </c>
      <c r="D165" s="101">
        <v>1105484.13</v>
      </c>
      <c r="E165" s="101">
        <v>102120.0</v>
      </c>
      <c r="F165" s="101">
        <v>50000.0</v>
      </c>
      <c r="G165" s="138">
        <f t="shared" si="2"/>
        <v>1257851.13</v>
      </c>
    </row>
    <row r="166" spans="8:8">
      <c r="A166" s="116" t="s">
        <v>175</v>
      </c>
      <c r="B166" s="117" t="s">
        <v>65</v>
      </c>
      <c r="C166" s="101">
        <v>286.0</v>
      </c>
      <c r="D166" s="101">
        <v>1653851.44</v>
      </c>
      <c r="E166" s="101">
        <v>102120.0</v>
      </c>
      <c r="F166" s="101">
        <v>50000.0</v>
      </c>
      <c r="G166" s="138">
        <f t="shared" si="2"/>
        <v>1806257.44</v>
      </c>
    </row>
    <row r="167" spans="8:8">
      <c r="A167" s="116" t="s">
        <v>176</v>
      </c>
      <c r="B167" s="117" t="s">
        <v>65</v>
      </c>
      <c r="C167" s="101">
        <v>286.0</v>
      </c>
      <c r="D167" s="101">
        <v>741617.8</v>
      </c>
      <c r="E167" s="101">
        <v>102120.0</v>
      </c>
      <c r="F167" s="101">
        <v>50000.0</v>
      </c>
      <c r="G167" s="138">
        <f t="shared" si="2"/>
        <v>894023.8</v>
      </c>
    </row>
    <row r="168" spans="8:8">
      <c r="A168" s="116" t="s">
        <v>178</v>
      </c>
      <c r="B168" s="117" t="s">
        <v>65</v>
      </c>
      <c r="C168" s="101">
        <v>380033.95</v>
      </c>
      <c r="D168" s="101">
        <v>2421946.07</v>
      </c>
      <c r="E168" s="101">
        <v>102120.0</v>
      </c>
      <c r="F168" s="101">
        <v>50000.0</v>
      </c>
      <c r="G168" s="138">
        <f t="shared" si="2"/>
        <v>2954100.02</v>
      </c>
    </row>
    <row r="169" spans="8:8">
      <c r="A169" s="116" t="s">
        <v>179</v>
      </c>
      <c r="B169" s="117" t="s">
        <v>65</v>
      </c>
      <c r="C169" s="101">
        <v>247.0</v>
      </c>
      <c r="D169" s="101">
        <v>620265.62</v>
      </c>
      <c r="E169" s="101">
        <v>102120.0</v>
      </c>
      <c r="F169" s="101">
        <v>50000.0</v>
      </c>
      <c r="G169" s="138">
        <f t="shared" si="2"/>
        <v>772632.62</v>
      </c>
    </row>
    <row r="170" spans="8:8">
      <c r="A170" s="116" t="s">
        <v>180</v>
      </c>
      <c r="B170" s="117" t="s">
        <v>65</v>
      </c>
      <c r="C170" s="101">
        <v>247.0</v>
      </c>
      <c r="D170" s="101">
        <v>629395.56</v>
      </c>
      <c r="E170" s="101">
        <v>102120.0</v>
      </c>
      <c r="F170" s="101">
        <v>50000.0</v>
      </c>
      <c r="G170" s="138">
        <f t="shared" si="2"/>
        <v>781762.56</v>
      </c>
    </row>
    <row r="171" spans="8:8">
      <c r="A171" s="116" t="s">
        <v>181</v>
      </c>
      <c r="B171" s="117" t="s">
        <v>65</v>
      </c>
      <c r="C171" s="101">
        <v>247.0</v>
      </c>
      <c r="D171" s="101">
        <v>1352753.47</v>
      </c>
      <c r="E171" s="101">
        <v>102120.0</v>
      </c>
      <c r="F171" s="101">
        <v>50000.0</v>
      </c>
      <c r="G171" s="138">
        <f t="shared" si="2"/>
        <v>1505120.47</v>
      </c>
    </row>
    <row r="172" spans="8:8">
      <c r="A172" s="116" t="s">
        <v>182</v>
      </c>
      <c r="B172" s="117" t="s">
        <v>65</v>
      </c>
      <c r="C172" s="101">
        <v>208.0</v>
      </c>
      <c r="D172" s="101">
        <v>342220.76</v>
      </c>
      <c r="E172" s="101">
        <v>102120.0</v>
      </c>
      <c r="F172" s="101">
        <v>50000.0</v>
      </c>
      <c r="G172" s="138">
        <f t="shared" si="2"/>
        <v>494548.76</v>
      </c>
    </row>
    <row r="173" spans="8:8">
      <c r="A173" s="116" t="s">
        <v>183</v>
      </c>
      <c r="B173" s="117" t="s">
        <v>65</v>
      </c>
      <c r="C173" s="101">
        <v>247.0</v>
      </c>
      <c r="D173" s="101">
        <v>629395.56</v>
      </c>
      <c r="E173" s="101">
        <v>102120.0</v>
      </c>
      <c r="F173" s="101">
        <v>50000.0</v>
      </c>
      <c r="G173" s="138">
        <f t="shared" si="2"/>
        <v>781762.56</v>
      </c>
    </row>
    <row r="174" spans="8:8">
      <c r="A174" s="116" t="s">
        <v>184</v>
      </c>
      <c r="B174" s="117" t="s">
        <v>65</v>
      </c>
      <c r="C174" s="101">
        <v>286.0</v>
      </c>
      <c r="D174" s="101">
        <v>708331.54</v>
      </c>
      <c r="E174" s="101">
        <v>102120.0</v>
      </c>
      <c r="F174" s="101">
        <v>50000.0</v>
      </c>
      <c r="G174" s="138">
        <f t="shared" si="2"/>
        <v>860737.54</v>
      </c>
    </row>
    <row r="175" spans="8:8">
      <c r="A175" s="116" t="s">
        <v>185</v>
      </c>
      <c r="B175" s="117" t="s">
        <v>65</v>
      </c>
      <c r="C175" s="101">
        <v>208.0</v>
      </c>
      <c r="D175" s="101">
        <v>564763.16</v>
      </c>
      <c r="E175" s="101">
        <v>102120.0</v>
      </c>
      <c r="F175" s="101">
        <v>50000.0</v>
      </c>
      <c r="G175" s="138">
        <f t="shared" si="2"/>
        <v>717091.16</v>
      </c>
    </row>
    <row r="176" spans="8:8">
      <c r="A176" s="116" t="s">
        <v>186</v>
      </c>
      <c r="B176" s="117" t="s">
        <v>65</v>
      </c>
      <c r="C176" s="101">
        <v>247.0</v>
      </c>
      <c r="D176" s="101">
        <v>829113.1</v>
      </c>
      <c r="E176" s="101">
        <v>102120.0</v>
      </c>
      <c r="F176" s="101">
        <v>50000.0</v>
      </c>
      <c r="G176" s="138">
        <f t="shared" si="2"/>
        <v>981480.1</v>
      </c>
    </row>
    <row r="177" spans="8:8">
      <c r="A177" s="116" t="s">
        <v>187</v>
      </c>
      <c r="B177" s="117" t="s">
        <v>65</v>
      </c>
      <c r="C177" s="101">
        <v>286.0</v>
      </c>
      <c r="D177" s="101">
        <v>1157696.01</v>
      </c>
      <c r="E177" s="101">
        <v>102120.0</v>
      </c>
      <c r="F177" s="101">
        <v>50000.0</v>
      </c>
      <c r="G177" s="138">
        <f t="shared" si="2"/>
        <v>1310102.01</v>
      </c>
    </row>
    <row r="178" spans="8:8">
      <c r="A178" s="116" t="s">
        <v>188</v>
      </c>
      <c r="B178" s="117" t="s">
        <v>65</v>
      </c>
      <c r="C178" s="101">
        <v>208.0</v>
      </c>
      <c r="D178" s="101">
        <v>391674.63</v>
      </c>
      <c r="E178" s="101">
        <v>102120.0</v>
      </c>
      <c r="F178" s="101">
        <v>50000.0</v>
      </c>
      <c r="G178" s="138">
        <f t="shared" si="2"/>
        <v>544002.63</v>
      </c>
    </row>
    <row r="179" spans="8:8">
      <c r="A179" s="116" t="s">
        <v>189</v>
      </c>
      <c r="B179" s="117" t="s">
        <v>65</v>
      </c>
      <c r="C179" s="101">
        <v>247.0</v>
      </c>
      <c r="D179" s="101">
        <v>657926.64</v>
      </c>
      <c r="E179" s="101">
        <v>102120.0</v>
      </c>
      <c r="F179" s="101">
        <v>50000.0</v>
      </c>
      <c r="G179" s="138">
        <f t="shared" si="2"/>
        <v>810293.64</v>
      </c>
    </row>
    <row r="180" spans="8:8">
      <c r="A180" s="116" t="s">
        <v>190</v>
      </c>
      <c r="B180" s="117" t="s">
        <v>65</v>
      </c>
      <c r="C180" s="101">
        <v>208.0</v>
      </c>
      <c r="D180" s="101">
        <v>391674.63</v>
      </c>
      <c r="E180" s="101">
        <v>102120.0</v>
      </c>
      <c r="F180" s="101">
        <v>50000.0</v>
      </c>
      <c r="G180" s="138">
        <f t="shared" si="2"/>
        <v>544002.63</v>
      </c>
    </row>
    <row r="181" spans="8:8">
      <c r="A181" s="116" t="s">
        <v>191</v>
      </c>
      <c r="B181" s="117" t="s">
        <v>65</v>
      </c>
      <c r="C181" s="101">
        <v>247.0</v>
      </c>
      <c r="D181" s="101">
        <v>657926.64</v>
      </c>
      <c r="E181" s="101">
        <v>102120.0</v>
      </c>
      <c r="F181" s="101">
        <v>50000.0</v>
      </c>
      <c r="G181" s="138">
        <f t="shared" si="2"/>
        <v>810293.64</v>
      </c>
    </row>
    <row r="182" spans="8:8">
      <c r="A182" s="116" t="s">
        <v>192</v>
      </c>
      <c r="B182" s="117" t="s">
        <v>65</v>
      </c>
      <c r="C182" s="101">
        <v>286.0</v>
      </c>
      <c r="D182" s="101">
        <v>941335.34</v>
      </c>
      <c r="E182" s="101">
        <v>102120.0</v>
      </c>
      <c r="F182" s="101">
        <v>50000.0</v>
      </c>
      <c r="G182" s="138">
        <f t="shared" si="2"/>
        <v>1093741.3399999999</v>
      </c>
    </row>
    <row r="183" spans="8:8">
      <c r="A183" s="116" t="s">
        <v>193</v>
      </c>
      <c r="B183" s="117" t="s">
        <v>65</v>
      </c>
      <c r="C183" s="101">
        <v>208.0</v>
      </c>
      <c r="D183" s="101">
        <v>391674.63</v>
      </c>
      <c r="E183" s="101">
        <v>102120.0</v>
      </c>
      <c r="F183" s="101">
        <v>50000.0</v>
      </c>
      <c r="G183" s="138">
        <f t="shared" si="2"/>
        <v>544002.63</v>
      </c>
    </row>
    <row r="184" spans="8:8">
      <c r="A184" s="116" t="s">
        <v>194</v>
      </c>
      <c r="B184" s="117" t="s">
        <v>65</v>
      </c>
      <c r="C184" s="101">
        <v>247.0</v>
      </c>
      <c r="D184" s="101">
        <v>657926.64</v>
      </c>
      <c r="E184" s="101">
        <v>102120.0</v>
      </c>
      <c r="F184" s="101">
        <v>50000.0</v>
      </c>
      <c r="G184" s="138">
        <f t="shared" si="2"/>
        <v>810293.64</v>
      </c>
    </row>
    <row r="185" spans="8:8">
      <c r="A185" s="116" t="s">
        <v>195</v>
      </c>
      <c r="B185" s="117" t="s">
        <v>196</v>
      </c>
      <c r="C185" s="101">
        <v>450000.0</v>
      </c>
      <c r="D185" s="101">
        <v>942895.04</v>
      </c>
      <c r="E185" s="101">
        <v>102120.0</v>
      </c>
      <c r="F185" s="101">
        <v>50000.0</v>
      </c>
      <c r="G185" s="138">
        <f t="shared" si="2"/>
        <v>1545015.04</v>
      </c>
    </row>
    <row r="186" spans="8:8">
      <c r="A186" s="116" t="s">
        <v>197</v>
      </c>
      <c r="B186" s="117" t="s">
        <v>196</v>
      </c>
      <c r="C186" s="101">
        <v>800.0</v>
      </c>
      <c r="D186" s="101">
        <v>1616761.04</v>
      </c>
      <c r="E186" s="101">
        <v>102120.0</v>
      </c>
      <c r="F186" s="101">
        <v>50000.0</v>
      </c>
      <c r="G186" s="138">
        <f t="shared" si="2"/>
        <v>1769681.04</v>
      </c>
    </row>
    <row r="187" spans="8:8">
      <c r="A187" s="116" t="s">
        <v>198</v>
      </c>
      <c r="B187" s="117" t="s">
        <v>196</v>
      </c>
      <c r="C187" s="101">
        <v>800.0</v>
      </c>
      <c r="D187" s="101">
        <v>2217054.9</v>
      </c>
      <c r="E187" s="101">
        <v>102120.0</v>
      </c>
      <c r="F187" s="101">
        <v>50000.0</v>
      </c>
      <c r="G187" s="138">
        <f t="shared" si="2"/>
        <v>2369974.9</v>
      </c>
    </row>
    <row r="188" spans="8:8">
      <c r="A188" s="116" t="s">
        <v>199</v>
      </c>
      <c r="B188" s="117" t="s">
        <v>196</v>
      </c>
      <c r="C188" s="101">
        <v>800.0</v>
      </c>
      <c r="D188" s="101">
        <v>1236346.68</v>
      </c>
      <c r="E188" s="101">
        <v>102120.0</v>
      </c>
      <c r="F188" s="101">
        <v>50000.0</v>
      </c>
      <c r="G188" s="138">
        <f t="shared" si="2"/>
        <v>1389266.68</v>
      </c>
    </row>
    <row r="189" spans="8:8">
      <c r="A189" s="116" t="s">
        <v>200</v>
      </c>
      <c r="B189" s="117" t="s">
        <v>196</v>
      </c>
      <c r="C189" s="101">
        <v>800.0</v>
      </c>
      <c r="D189" s="101">
        <v>2948211.3</v>
      </c>
      <c r="E189" s="101">
        <v>102120.0</v>
      </c>
      <c r="F189" s="101">
        <v>50000.0</v>
      </c>
      <c r="G189" s="138">
        <f t="shared" si="2"/>
        <v>3101131.3</v>
      </c>
    </row>
    <row r="190" spans="8:8">
      <c r="A190" s="116" t="s">
        <v>201</v>
      </c>
      <c r="B190" s="117" t="s">
        <v>196</v>
      </c>
      <c r="C190" s="101">
        <v>800.0</v>
      </c>
      <c r="D190" s="101">
        <v>1711864.63</v>
      </c>
      <c r="E190" s="101">
        <v>102120.0</v>
      </c>
      <c r="F190" s="101">
        <v>50000.0</v>
      </c>
      <c r="G190" s="138">
        <f t="shared" si="2"/>
        <v>1864784.63</v>
      </c>
    </row>
    <row r="191" spans="8:8">
      <c r="A191" s="116" t="s">
        <v>202</v>
      </c>
      <c r="B191" s="117" t="s">
        <v>196</v>
      </c>
      <c r="C191" s="101">
        <v>800.0</v>
      </c>
      <c r="D191" s="101">
        <v>1141243.08</v>
      </c>
      <c r="E191" s="101">
        <v>102120.0</v>
      </c>
      <c r="F191" s="101">
        <v>50000.0</v>
      </c>
      <c r="G191" s="138">
        <f t="shared" si="2"/>
        <v>1294163.08</v>
      </c>
    </row>
    <row r="192" spans="8:8">
      <c r="A192" s="116" t="s">
        <v>203</v>
      </c>
      <c r="B192" s="117" t="s">
        <v>196</v>
      </c>
      <c r="C192" s="101">
        <v>800.0</v>
      </c>
      <c r="D192" s="101">
        <v>1141243.08</v>
      </c>
      <c r="E192" s="101">
        <v>102120.0</v>
      </c>
      <c r="F192" s="101">
        <v>50000.0</v>
      </c>
      <c r="G192" s="138">
        <f t="shared" si="2"/>
        <v>1294163.08</v>
      </c>
    </row>
    <row r="193" spans="8:8">
      <c r="A193" s="116" t="s">
        <v>204</v>
      </c>
      <c r="B193" s="117" t="s">
        <v>196</v>
      </c>
      <c r="C193" s="101">
        <v>800.0</v>
      </c>
      <c r="D193" s="101">
        <v>1141243.08</v>
      </c>
      <c r="E193" s="101">
        <v>102120.0</v>
      </c>
      <c r="F193" s="101">
        <v>50000.0</v>
      </c>
      <c r="G193" s="138">
        <f t="shared" si="2"/>
        <v>1294163.08</v>
      </c>
    </row>
    <row r="194" spans="8:8">
      <c r="A194" s="116" t="s">
        <v>205</v>
      </c>
      <c r="B194" s="117" t="s">
        <v>196</v>
      </c>
      <c r="C194" s="101">
        <v>800.0</v>
      </c>
      <c r="D194" s="101">
        <v>1141243.08</v>
      </c>
      <c r="E194" s="101">
        <v>102120.0</v>
      </c>
      <c r="F194" s="101">
        <v>50000.0</v>
      </c>
      <c r="G194" s="138">
        <f t="shared" si="2"/>
        <v>1294163.08</v>
      </c>
    </row>
    <row r="195" spans="8:8">
      <c r="A195" s="116" t="s">
        <v>206</v>
      </c>
      <c r="B195" s="117" t="s">
        <v>196</v>
      </c>
      <c r="C195" s="101">
        <v>800.0</v>
      </c>
      <c r="D195" s="101">
        <v>1521657.45</v>
      </c>
      <c r="E195" s="101">
        <v>102120.0</v>
      </c>
      <c r="F195" s="101">
        <v>50000.0</v>
      </c>
      <c r="G195" s="138">
        <f t="shared" si="3" ref="G195:G258">(C195+D195+E195+F195)</f>
        <v>1674577.45</v>
      </c>
    </row>
    <row r="196" spans="8:8">
      <c r="A196" s="116" t="s">
        <v>207</v>
      </c>
      <c r="B196" s="117" t="s">
        <v>196</v>
      </c>
      <c r="C196" s="101">
        <v>800.0</v>
      </c>
      <c r="D196" s="101">
        <v>1331450.27</v>
      </c>
      <c r="E196" s="101">
        <v>102120.0</v>
      </c>
      <c r="F196" s="101">
        <v>50000.0</v>
      </c>
      <c r="G196" s="138">
        <f t="shared" si="3"/>
        <v>1484370.27</v>
      </c>
    </row>
    <row r="197" spans="8:8">
      <c r="A197" s="116" t="s">
        <v>208</v>
      </c>
      <c r="B197" s="117" t="s">
        <v>196</v>
      </c>
      <c r="C197" s="101">
        <v>800.0</v>
      </c>
      <c r="D197" s="101">
        <v>1331450.27</v>
      </c>
      <c r="E197" s="101">
        <v>102120.0</v>
      </c>
      <c r="F197" s="101">
        <v>50000.0</v>
      </c>
      <c r="G197" s="138">
        <f t="shared" si="3"/>
        <v>1484370.27</v>
      </c>
    </row>
    <row r="198" spans="8:8">
      <c r="A198" s="116" t="s">
        <v>209</v>
      </c>
      <c r="B198" s="117" t="s">
        <v>196</v>
      </c>
      <c r="C198" s="101">
        <v>800.0</v>
      </c>
      <c r="D198" s="101">
        <v>1806968.22</v>
      </c>
      <c r="E198" s="101">
        <v>102120.0</v>
      </c>
      <c r="F198" s="101">
        <v>50000.0</v>
      </c>
      <c r="G198" s="138">
        <f t="shared" si="3"/>
        <v>1959888.22</v>
      </c>
    </row>
    <row r="199" spans="8:8">
      <c r="A199" s="116" t="s">
        <v>210</v>
      </c>
      <c r="B199" s="117" t="s">
        <v>196</v>
      </c>
      <c r="C199" s="101">
        <v>800.0</v>
      </c>
      <c r="D199" s="101">
        <v>1331450.27</v>
      </c>
      <c r="E199" s="101">
        <v>102120.0</v>
      </c>
      <c r="F199" s="101">
        <v>50000.0</v>
      </c>
      <c r="G199" s="138">
        <f t="shared" si="3"/>
        <v>1484370.27</v>
      </c>
    </row>
    <row r="200" spans="8:8">
      <c r="A200" s="116" t="s">
        <v>211</v>
      </c>
      <c r="B200" s="117" t="s">
        <v>196</v>
      </c>
      <c r="C200" s="101">
        <v>800.0</v>
      </c>
      <c r="D200" s="101">
        <v>1331450.27</v>
      </c>
      <c r="E200" s="101">
        <v>102120.0</v>
      </c>
      <c r="F200" s="101">
        <v>50000.0</v>
      </c>
      <c r="G200" s="138">
        <f t="shared" si="3"/>
        <v>1484370.27</v>
      </c>
    </row>
    <row r="201" spans="8:8">
      <c r="A201" s="116" t="s">
        <v>212</v>
      </c>
      <c r="B201" s="117" t="s">
        <v>196</v>
      </c>
      <c r="C201" s="101">
        <v>800.0</v>
      </c>
      <c r="D201" s="101">
        <v>1331450.27</v>
      </c>
      <c r="E201" s="101">
        <v>102120.0</v>
      </c>
      <c r="F201" s="101">
        <v>50000.0</v>
      </c>
      <c r="G201" s="138">
        <f t="shared" si="3"/>
        <v>1484370.27</v>
      </c>
    </row>
    <row r="202" spans="8:8">
      <c r="A202" s="116" t="s">
        <v>213</v>
      </c>
      <c r="B202" s="117" t="s">
        <v>196</v>
      </c>
      <c r="C202" s="101">
        <v>800.0</v>
      </c>
      <c r="D202" s="101">
        <v>3994350.8</v>
      </c>
      <c r="E202" s="101">
        <v>102120.0</v>
      </c>
      <c r="F202" s="101">
        <v>50000.0</v>
      </c>
      <c r="G202" s="138">
        <f t="shared" si="3"/>
        <v>4147270.8</v>
      </c>
    </row>
    <row r="203" spans="8:8">
      <c r="A203" s="116" t="s">
        <v>214</v>
      </c>
      <c r="B203" s="117" t="s">
        <v>196</v>
      </c>
      <c r="C203" s="101">
        <v>800.0</v>
      </c>
      <c r="D203" s="101">
        <v>1331450.27</v>
      </c>
      <c r="E203" s="101">
        <v>102120.0</v>
      </c>
      <c r="F203" s="101">
        <v>50000.0</v>
      </c>
      <c r="G203" s="138">
        <f t="shared" si="3"/>
        <v>1484370.27</v>
      </c>
    </row>
    <row r="204" spans="8:8">
      <c r="A204" s="116" t="s">
        <v>215</v>
      </c>
      <c r="B204" s="117" t="s">
        <v>196</v>
      </c>
      <c r="C204" s="101">
        <v>1500.0</v>
      </c>
      <c r="D204" s="101">
        <v>1426553.86</v>
      </c>
      <c r="E204" s="101">
        <v>102120.0</v>
      </c>
      <c r="F204" s="101">
        <v>50000.0</v>
      </c>
      <c r="G204" s="138">
        <f t="shared" si="3"/>
        <v>1580173.86</v>
      </c>
    </row>
    <row r="205" spans="8:8">
      <c r="A205" s="116" t="s">
        <v>292</v>
      </c>
      <c r="B205" s="117" t="s">
        <v>196</v>
      </c>
      <c r="C205" s="101">
        <v>800.0</v>
      </c>
      <c r="D205" s="101">
        <v>1426553.86</v>
      </c>
      <c r="E205" s="101">
        <v>102120.0</v>
      </c>
      <c r="F205" s="101">
        <v>50000.0</v>
      </c>
      <c r="G205" s="138">
        <f t="shared" si="3"/>
        <v>1579473.86</v>
      </c>
    </row>
    <row r="206" spans="8:8">
      <c r="A206" s="152">
        <f>+G274</f>
        <v>102120.0</v>
      </c>
      <c r="B206" s="117" t="s">
        <v>196</v>
      </c>
      <c r="C206" s="101">
        <v>800.0</v>
      </c>
      <c r="D206" s="101">
        <v>1331450.27</v>
      </c>
      <c r="E206" s="101">
        <v>102120.0</v>
      </c>
      <c r="F206" s="101">
        <v>50000.0</v>
      </c>
      <c r="G206" s="138">
        <f t="shared" si="3"/>
        <v>1484370.27</v>
      </c>
    </row>
    <row r="207" spans="8:8">
      <c r="A207" s="116" t="s">
        <v>218</v>
      </c>
      <c r="B207" s="117" t="s">
        <v>196</v>
      </c>
      <c r="C207" s="101">
        <v>800.0</v>
      </c>
      <c r="D207" s="101">
        <v>1331450.27</v>
      </c>
      <c r="E207" s="101">
        <v>102120.0</v>
      </c>
      <c r="F207" s="101">
        <v>50000.0</v>
      </c>
      <c r="G207" s="138">
        <f t="shared" si="3"/>
        <v>1484370.27</v>
      </c>
    </row>
    <row r="208" spans="8:8">
      <c r="A208" s="116" t="s">
        <v>219</v>
      </c>
      <c r="B208" s="117" t="s">
        <v>196</v>
      </c>
      <c r="C208" s="101">
        <v>800.0</v>
      </c>
      <c r="D208" s="101">
        <v>1902071.81</v>
      </c>
      <c r="E208" s="101">
        <v>102120.0</v>
      </c>
      <c r="F208" s="101">
        <v>50000.0</v>
      </c>
      <c r="G208" s="138">
        <f t="shared" si="3"/>
        <v>2054991.81</v>
      </c>
    </row>
    <row r="209" spans="8:8">
      <c r="A209" s="116" t="s">
        <v>220</v>
      </c>
      <c r="B209" s="117" t="s">
        <v>196</v>
      </c>
      <c r="C209" s="101">
        <v>800.0</v>
      </c>
      <c r="D209" s="101">
        <v>1902071.81</v>
      </c>
      <c r="E209" s="101">
        <v>102120.0</v>
      </c>
      <c r="F209" s="101">
        <v>50000.0</v>
      </c>
      <c r="G209" s="138">
        <f t="shared" si="3"/>
        <v>2054991.81</v>
      </c>
    </row>
    <row r="210" spans="8:8">
      <c r="A210" s="116" t="s">
        <v>221</v>
      </c>
      <c r="B210" s="117" t="s">
        <v>196</v>
      </c>
      <c r="C210" s="101">
        <v>800.0</v>
      </c>
      <c r="D210" s="101">
        <v>1825427.26</v>
      </c>
      <c r="E210" s="101">
        <v>102120.0</v>
      </c>
      <c r="F210" s="101">
        <v>50000.0</v>
      </c>
      <c r="G210" s="138">
        <f t="shared" si="3"/>
        <v>1978347.26</v>
      </c>
    </row>
    <row r="211" spans="8:8">
      <c r="A211" s="116" t="s">
        <v>222</v>
      </c>
      <c r="B211" s="117" t="s">
        <v>196</v>
      </c>
      <c r="C211" s="101">
        <v>800.0</v>
      </c>
      <c r="D211" s="101">
        <v>1379002.06</v>
      </c>
      <c r="E211" s="101">
        <v>102120.0</v>
      </c>
      <c r="F211" s="101">
        <v>50000.0</v>
      </c>
      <c r="G211" s="138">
        <f t="shared" si="3"/>
        <v>1531922.06</v>
      </c>
    </row>
    <row r="212" spans="8:8">
      <c r="A212" s="116" t="s">
        <v>223</v>
      </c>
      <c r="B212" s="117" t="s">
        <v>196</v>
      </c>
      <c r="C212" s="101">
        <v>800.0</v>
      </c>
      <c r="D212" s="101">
        <v>1902071.81</v>
      </c>
      <c r="E212" s="101">
        <v>102120.0</v>
      </c>
      <c r="F212" s="101">
        <v>50000.0</v>
      </c>
      <c r="G212" s="138">
        <f t="shared" si="3"/>
        <v>2054991.81</v>
      </c>
    </row>
    <row r="213" spans="8:8">
      <c r="A213" s="116" t="s">
        <v>224</v>
      </c>
      <c r="B213" s="117" t="s">
        <v>196</v>
      </c>
      <c r="C213" s="101">
        <v>800.0</v>
      </c>
      <c r="D213" s="101">
        <v>1331450.27</v>
      </c>
      <c r="E213" s="101">
        <v>102120.0</v>
      </c>
      <c r="F213" s="101">
        <v>50000.0</v>
      </c>
      <c r="G213" s="138">
        <f t="shared" si="3"/>
        <v>1484370.27</v>
      </c>
    </row>
    <row r="214" spans="8:8">
      <c r="A214" s="116" t="s">
        <v>225</v>
      </c>
      <c r="B214" s="117" t="s">
        <v>196</v>
      </c>
      <c r="C214" s="101">
        <v>800.0</v>
      </c>
      <c r="D214" s="101">
        <v>1331450.27</v>
      </c>
      <c r="E214" s="101">
        <v>102120.0</v>
      </c>
      <c r="F214" s="101">
        <v>50000.0</v>
      </c>
      <c r="G214" s="138">
        <f t="shared" si="3"/>
        <v>1484370.27</v>
      </c>
    </row>
    <row r="215" spans="8:8">
      <c r="A215" s="116" t="s">
        <v>226</v>
      </c>
      <c r="B215" s="117" t="s">
        <v>196</v>
      </c>
      <c r="C215" s="101">
        <v>800.0</v>
      </c>
      <c r="D215" s="101">
        <v>4945386.7</v>
      </c>
      <c r="E215" s="101">
        <v>102120.0</v>
      </c>
      <c r="F215" s="101">
        <v>50000.0</v>
      </c>
      <c r="G215" s="138">
        <f t="shared" si="3"/>
        <v>5098306.7</v>
      </c>
    </row>
    <row r="216" spans="8:8">
      <c r="A216" s="116" t="s">
        <v>227</v>
      </c>
      <c r="B216" s="117" t="s">
        <v>196</v>
      </c>
      <c r="C216" s="101">
        <v>800.0</v>
      </c>
      <c r="D216" s="101">
        <v>6086629.79</v>
      </c>
      <c r="E216" s="101">
        <v>102120.0</v>
      </c>
      <c r="F216" s="101">
        <v>50000.0</v>
      </c>
      <c r="G216" s="138">
        <f t="shared" si="3"/>
        <v>6239549.79</v>
      </c>
    </row>
    <row r="217" spans="8:8">
      <c r="A217" s="116" t="s">
        <v>228</v>
      </c>
      <c r="B217" s="117" t="s">
        <v>196</v>
      </c>
      <c r="C217" s="101">
        <v>800.0</v>
      </c>
      <c r="D217" s="101">
        <v>1902071.81</v>
      </c>
      <c r="E217" s="101">
        <v>102120.0</v>
      </c>
      <c r="F217" s="101">
        <v>50000.0</v>
      </c>
      <c r="G217" s="138">
        <f t="shared" si="3"/>
        <v>2054991.81</v>
      </c>
    </row>
    <row r="218" spans="8:8">
      <c r="A218" s="116" t="s">
        <v>229</v>
      </c>
      <c r="B218" s="117" t="s">
        <v>196</v>
      </c>
      <c r="C218" s="101">
        <v>800.0</v>
      </c>
      <c r="D218" s="101">
        <v>1331450.27</v>
      </c>
      <c r="E218" s="101">
        <v>102120.0</v>
      </c>
      <c r="F218" s="101">
        <v>50000.0</v>
      </c>
      <c r="G218" s="138">
        <f t="shared" si="3"/>
        <v>1484370.27</v>
      </c>
    </row>
    <row r="219" spans="8:8">
      <c r="A219" s="116" t="s">
        <v>230</v>
      </c>
      <c r="B219" s="117" t="s">
        <v>196</v>
      </c>
      <c r="C219" s="101">
        <v>800.0</v>
      </c>
      <c r="D219" s="101">
        <v>1331450.27</v>
      </c>
      <c r="E219" s="101">
        <v>102120.0</v>
      </c>
      <c r="F219" s="101">
        <v>50000.0</v>
      </c>
      <c r="G219" s="138">
        <f t="shared" si="3"/>
        <v>1484370.27</v>
      </c>
    </row>
    <row r="220" spans="8:8">
      <c r="A220" s="116" t="s">
        <v>231</v>
      </c>
      <c r="B220" s="117" t="s">
        <v>196</v>
      </c>
      <c r="C220" s="101">
        <v>800.0</v>
      </c>
      <c r="D220" s="101">
        <v>1331450.27</v>
      </c>
      <c r="E220" s="101">
        <v>102120.0</v>
      </c>
      <c r="F220" s="101">
        <v>50000.0</v>
      </c>
      <c r="G220" s="138">
        <f t="shared" si="3"/>
        <v>1484370.27</v>
      </c>
    </row>
    <row r="221" spans="8:8">
      <c r="A221" s="116" t="s">
        <v>232</v>
      </c>
      <c r="B221" s="117" t="s">
        <v>196</v>
      </c>
      <c r="C221" s="101">
        <v>800.0</v>
      </c>
      <c r="D221" s="101">
        <v>1331450.27</v>
      </c>
      <c r="E221" s="101">
        <v>102120.0</v>
      </c>
      <c r="F221" s="101">
        <v>50000.0</v>
      </c>
      <c r="G221" s="138">
        <f t="shared" si="3"/>
        <v>1484370.27</v>
      </c>
    </row>
    <row r="222" spans="8:8">
      <c r="A222" s="116" t="s">
        <v>233</v>
      </c>
      <c r="B222" s="117" t="s">
        <v>196</v>
      </c>
      <c r="C222" s="101">
        <v>800.0</v>
      </c>
      <c r="D222" s="101">
        <v>1902071.81</v>
      </c>
      <c r="E222" s="101">
        <v>102120.0</v>
      </c>
      <c r="F222" s="101">
        <v>50000.0</v>
      </c>
      <c r="G222" s="138">
        <f t="shared" si="3"/>
        <v>2054991.81</v>
      </c>
    </row>
    <row r="223" spans="8:8">
      <c r="A223" s="116" t="s">
        <v>234</v>
      </c>
      <c r="B223" s="117" t="s">
        <v>196</v>
      </c>
      <c r="C223" s="101">
        <v>800.0</v>
      </c>
      <c r="D223" s="101">
        <v>1902071.81</v>
      </c>
      <c r="E223" s="101">
        <v>102120.0</v>
      </c>
      <c r="F223" s="101">
        <v>50000.0</v>
      </c>
      <c r="G223" s="138">
        <f t="shared" si="3"/>
        <v>2054991.81</v>
      </c>
    </row>
    <row r="224" spans="8:8">
      <c r="A224" s="116" t="s">
        <v>235</v>
      </c>
      <c r="B224" s="117" t="s">
        <v>196</v>
      </c>
      <c r="C224" s="101">
        <v>800.0</v>
      </c>
      <c r="D224" s="101">
        <v>1331450.27</v>
      </c>
      <c r="E224" s="101">
        <v>102120.0</v>
      </c>
      <c r="F224" s="101">
        <v>50000.0</v>
      </c>
      <c r="G224" s="138">
        <f t="shared" si="3"/>
        <v>1484370.27</v>
      </c>
    </row>
    <row r="225" spans="8:8">
      <c r="A225" s="116" t="s">
        <v>236</v>
      </c>
      <c r="B225" s="117" t="s">
        <v>196</v>
      </c>
      <c r="C225" s="101">
        <v>800.0</v>
      </c>
      <c r="D225" s="101">
        <v>1331450.27</v>
      </c>
      <c r="E225" s="101">
        <v>102120.0</v>
      </c>
      <c r="F225" s="101">
        <v>50000.0</v>
      </c>
      <c r="G225" s="138">
        <f t="shared" si="3"/>
        <v>1484370.27</v>
      </c>
    </row>
    <row r="226" spans="8:8">
      <c r="A226" s="116" t="s">
        <v>237</v>
      </c>
      <c r="B226" s="117" t="s">
        <v>196</v>
      </c>
      <c r="C226" s="101">
        <v>800.0</v>
      </c>
      <c r="D226" s="101">
        <v>1902071.81</v>
      </c>
      <c r="E226" s="101">
        <v>102120.0</v>
      </c>
      <c r="F226" s="101">
        <v>50000.0</v>
      </c>
      <c r="G226" s="138">
        <f t="shared" si="3"/>
        <v>2054991.81</v>
      </c>
    </row>
    <row r="227" spans="8:8">
      <c r="A227" s="116" t="s">
        <v>238</v>
      </c>
      <c r="B227" s="117" t="s">
        <v>196</v>
      </c>
      <c r="C227" s="101">
        <v>800.0</v>
      </c>
      <c r="D227" s="101">
        <v>1331450.27</v>
      </c>
      <c r="E227" s="101">
        <v>102120.0</v>
      </c>
      <c r="F227" s="101">
        <v>50000.0</v>
      </c>
      <c r="G227" s="138">
        <f t="shared" si="3"/>
        <v>1484370.27</v>
      </c>
    </row>
    <row r="228" spans="8:8">
      <c r="A228" s="116" t="s">
        <v>239</v>
      </c>
      <c r="B228" s="117" t="s">
        <v>196</v>
      </c>
      <c r="C228" s="101">
        <v>800.0</v>
      </c>
      <c r="D228" s="101">
        <v>1331450.27</v>
      </c>
      <c r="E228" s="101">
        <v>102120.0</v>
      </c>
      <c r="F228" s="101">
        <v>50000.0</v>
      </c>
      <c r="G228" s="138">
        <f t="shared" si="3"/>
        <v>1484370.27</v>
      </c>
    </row>
    <row r="229" spans="8:8">
      <c r="A229" s="116" t="s">
        <v>240</v>
      </c>
      <c r="B229" s="117" t="s">
        <v>196</v>
      </c>
      <c r="C229" s="101">
        <v>800.0</v>
      </c>
      <c r="D229" s="101">
        <v>1331450.27</v>
      </c>
      <c r="E229" s="101">
        <v>102120.0</v>
      </c>
      <c r="F229" s="101">
        <v>50000.0</v>
      </c>
      <c r="G229" s="138">
        <f t="shared" si="3"/>
        <v>1484370.27</v>
      </c>
    </row>
    <row r="230" spans="8:8">
      <c r="A230" s="116" t="s">
        <v>241</v>
      </c>
      <c r="B230" s="117" t="s">
        <v>196</v>
      </c>
      <c r="C230" s="101">
        <v>800.0</v>
      </c>
      <c r="D230" s="101">
        <v>1331450.27</v>
      </c>
      <c r="E230" s="101">
        <v>102120.0</v>
      </c>
      <c r="F230" s="101">
        <v>50000.0</v>
      </c>
      <c r="G230" s="138">
        <f t="shared" si="3"/>
        <v>1484370.27</v>
      </c>
    </row>
    <row r="231" spans="8:8">
      <c r="A231" s="116" t="s">
        <v>242</v>
      </c>
      <c r="B231" s="117" t="s">
        <v>196</v>
      </c>
      <c r="C231" s="101">
        <v>800.0</v>
      </c>
      <c r="D231" s="101">
        <v>1331450.27</v>
      </c>
      <c r="E231" s="101">
        <v>102120.0</v>
      </c>
      <c r="F231" s="101">
        <v>50000.0</v>
      </c>
      <c r="G231" s="138">
        <f t="shared" si="3"/>
        <v>1484370.27</v>
      </c>
    </row>
    <row r="232" spans="8:8">
      <c r="A232" s="116" t="s">
        <v>243</v>
      </c>
      <c r="B232" s="117" t="s">
        <v>196</v>
      </c>
      <c r="C232" s="101">
        <v>800.0</v>
      </c>
      <c r="D232" s="101">
        <v>1331450.27</v>
      </c>
      <c r="E232" s="101">
        <v>102120.0</v>
      </c>
      <c r="F232" s="101">
        <v>50000.0</v>
      </c>
      <c r="G232" s="138">
        <f t="shared" si="3"/>
        <v>1484370.27</v>
      </c>
    </row>
    <row r="233" spans="8:8">
      <c r="A233" s="116" t="s">
        <v>244</v>
      </c>
      <c r="B233" s="117" t="s">
        <v>196</v>
      </c>
      <c r="C233" s="101">
        <v>800.0</v>
      </c>
      <c r="D233" s="101">
        <v>1331450.27</v>
      </c>
      <c r="E233" s="101">
        <v>102120.0</v>
      </c>
      <c r="F233" s="101">
        <v>50000.0</v>
      </c>
      <c r="G233" s="138">
        <f t="shared" si="3"/>
        <v>1484370.27</v>
      </c>
    </row>
    <row r="234" spans="8:8">
      <c r="A234" s="116" t="s">
        <v>245</v>
      </c>
      <c r="B234" s="117" t="s">
        <v>196</v>
      </c>
      <c r="C234" s="101">
        <v>800.0</v>
      </c>
      <c r="D234" s="101">
        <v>5896422.6</v>
      </c>
      <c r="E234" s="101">
        <v>102120.0</v>
      </c>
      <c r="F234" s="101">
        <v>50000.0</v>
      </c>
      <c r="G234" s="138">
        <f t="shared" si="3"/>
        <v>6049342.6</v>
      </c>
    </row>
    <row r="235" spans="8:8">
      <c r="A235" s="116" t="s">
        <v>246</v>
      </c>
      <c r="B235" s="117" t="s">
        <v>196</v>
      </c>
      <c r="C235" s="101">
        <v>800.0</v>
      </c>
      <c r="D235" s="101">
        <v>1902071.81</v>
      </c>
      <c r="E235" s="101">
        <v>102120.0</v>
      </c>
      <c r="F235" s="101">
        <v>50000.0</v>
      </c>
      <c r="G235" s="138">
        <f t="shared" si="3"/>
        <v>2054991.81</v>
      </c>
    </row>
    <row r="236" spans="8:8">
      <c r="A236" s="116" t="s">
        <v>247</v>
      </c>
      <c r="B236" s="117" t="s">
        <v>196</v>
      </c>
      <c r="C236" s="101">
        <v>800.0</v>
      </c>
      <c r="D236" s="101">
        <v>1331450.27</v>
      </c>
      <c r="E236" s="101">
        <v>102120.0</v>
      </c>
      <c r="F236" s="101">
        <v>50000.0</v>
      </c>
      <c r="G236" s="138">
        <f t="shared" si="3"/>
        <v>1484370.27</v>
      </c>
    </row>
    <row r="237" spans="8:8">
      <c r="A237" s="116" t="s">
        <v>248</v>
      </c>
      <c r="B237" s="117" t="s">
        <v>196</v>
      </c>
      <c r="C237" s="101">
        <v>800.0</v>
      </c>
      <c r="D237" s="101">
        <v>1331450.27</v>
      </c>
      <c r="E237" s="101">
        <v>102120.0</v>
      </c>
      <c r="F237" s="101">
        <v>50000.0</v>
      </c>
      <c r="G237" s="138">
        <f t="shared" si="3"/>
        <v>1484370.27</v>
      </c>
    </row>
    <row r="238" spans="8:8">
      <c r="A238" s="116" t="s">
        <v>249</v>
      </c>
      <c r="B238" s="117" t="s">
        <v>196</v>
      </c>
      <c r="C238" s="101">
        <v>800.0</v>
      </c>
      <c r="D238" s="101">
        <v>1331450.27</v>
      </c>
      <c r="E238" s="101">
        <v>102120.0</v>
      </c>
      <c r="F238" s="101">
        <v>50000.0</v>
      </c>
      <c r="G238" s="138">
        <f t="shared" si="3"/>
        <v>1484370.27</v>
      </c>
    </row>
    <row r="239" spans="8:8">
      <c r="A239" s="116" t="s">
        <v>250</v>
      </c>
      <c r="B239" s="117" t="s">
        <v>196</v>
      </c>
      <c r="C239" s="101">
        <v>800.0</v>
      </c>
      <c r="D239" s="101">
        <v>1331450.27</v>
      </c>
      <c r="E239" s="101">
        <v>102120.0</v>
      </c>
      <c r="F239" s="101">
        <v>50000.0</v>
      </c>
      <c r="G239" s="138">
        <f t="shared" si="3"/>
        <v>1484370.27</v>
      </c>
    </row>
    <row r="240" spans="8:8">
      <c r="A240" s="116" t="s">
        <v>251</v>
      </c>
      <c r="B240" s="117" t="s">
        <v>196</v>
      </c>
      <c r="C240" s="101">
        <v>800.0</v>
      </c>
      <c r="D240" s="101">
        <v>1331450.27</v>
      </c>
      <c r="E240" s="101">
        <v>102120.0</v>
      </c>
      <c r="F240" s="101">
        <v>50000.0</v>
      </c>
      <c r="G240" s="138">
        <f t="shared" si="3"/>
        <v>1484370.27</v>
      </c>
    </row>
    <row r="241" spans="8:8">
      <c r="A241" s="116" t="s">
        <v>252</v>
      </c>
      <c r="B241" s="117" t="s">
        <v>196</v>
      </c>
      <c r="C241" s="101">
        <v>800.0</v>
      </c>
      <c r="D241" s="101">
        <v>1331450.27</v>
      </c>
      <c r="E241" s="101">
        <v>102120.0</v>
      </c>
      <c r="F241" s="101">
        <v>50000.0</v>
      </c>
      <c r="G241" s="138">
        <f t="shared" si="3"/>
        <v>1484370.27</v>
      </c>
    </row>
    <row r="242" spans="8:8">
      <c r="A242" s="116" t="s">
        <v>253</v>
      </c>
      <c r="B242" s="117" t="s">
        <v>196</v>
      </c>
      <c r="C242" s="101">
        <v>800.0</v>
      </c>
      <c r="D242" s="101">
        <v>1331450.27</v>
      </c>
      <c r="E242" s="101">
        <v>102120.0</v>
      </c>
      <c r="F242" s="101">
        <v>50000.0</v>
      </c>
      <c r="G242" s="138">
        <f t="shared" si="3"/>
        <v>1484370.27</v>
      </c>
    </row>
    <row r="243" spans="8:8">
      <c r="A243" s="116" t="s">
        <v>254</v>
      </c>
      <c r="B243" s="117" t="s">
        <v>196</v>
      </c>
      <c r="C243" s="101">
        <v>800.0</v>
      </c>
      <c r="D243" s="101">
        <v>1902071.81</v>
      </c>
      <c r="E243" s="101">
        <v>102120.0</v>
      </c>
      <c r="F243" s="101">
        <v>50000.0</v>
      </c>
      <c r="G243" s="138">
        <f t="shared" si="3"/>
        <v>2054991.81</v>
      </c>
    </row>
    <row r="244" spans="8:8">
      <c r="A244" s="116" t="s">
        <v>255</v>
      </c>
      <c r="B244" s="117" t="s">
        <v>196</v>
      </c>
      <c r="C244" s="101">
        <v>800.0</v>
      </c>
      <c r="D244" s="101">
        <v>1331450.27</v>
      </c>
      <c r="E244" s="101">
        <v>102120.0</v>
      </c>
      <c r="F244" s="101">
        <v>50000.0</v>
      </c>
      <c r="G244" s="138">
        <f t="shared" si="3"/>
        <v>1484370.27</v>
      </c>
    </row>
    <row r="245" spans="8:8">
      <c r="A245" s="116" t="s">
        <v>256</v>
      </c>
      <c r="B245" s="117" t="s">
        <v>196</v>
      </c>
      <c r="C245" s="101">
        <v>800.0</v>
      </c>
      <c r="D245" s="101">
        <v>1331450.27</v>
      </c>
      <c r="E245" s="101">
        <v>102120.0</v>
      </c>
      <c r="F245" s="101">
        <v>50000.0</v>
      </c>
      <c r="G245" s="138">
        <f t="shared" si="3"/>
        <v>1484370.27</v>
      </c>
    </row>
    <row r="246" spans="8:8">
      <c r="A246" s="116" t="s">
        <v>257</v>
      </c>
      <c r="B246" s="117" t="s">
        <v>196</v>
      </c>
      <c r="C246" s="101">
        <v>800.0</v>
      </c>
      <c r="D246" s="101">
        <v>2092278.99</v>
      </c>
      <c r="E246" s="101">
        <v>102120.0</v>
      </c>
      <c r="F246" s="101">
        <v>50000.0</v>
      </c>
      <c r="G246" s="138">
        <f t="shared" si="3"/>
        <v>2245198.99</v>
      </c>
    </row>
    <row r="247" spans="8:8">
      <c r="A247" s="116" t="s">
        <v>258</v>
      </c>
      <c r="B247" s="117" t="s">
        <v>196</v>
      </c>
      <c r="C247" s="101">
        <v>800.0</v>
      </c>
      <c r="D247" s="101">
        <v>1331450.27</v>
      </c>
      <c r="E247" s="101">
        <v>102120.0</v>
      </c>
      <c r="F247" s="101">
        <v>50000.0</v>
      </c>
      <c r="G247" s="138">
        <f t="shared" si="3"/>
        <v>1484370.27</v>
      </c>
    </row>
    <row r="248" spans="8:8">
      <c r="A248" s="116" t="s">
        <v>259</v>
      </c>
      <c r="B248" s="117" t="s">
        <v>196</v>
      </c>
      <c r="C248" s="101">
        <v>800.0</v>
      </c>
      <c r="D248" s="101">
        <v>1331450.27</v>
      </c>
      <c r="E248" s="101">
        <v>102120.0</v>
      </c>
      <c r="F248" s="101">
        <v>50000.0</v>
      </c>
      <c r="G248" s="138">
        <f t="shared" si="3"/>
        <v>1484370.27</v>
      </c>
    </row>
    <row r="249" spans="8:8">
      <c r="A249" s="116" t="s">
        <v>260</v>
      </c>
      <c r="B249" s="117" t="s">
        <v>196</v>
      </c>
      <c r="C249" s="101">
        <v>800.0</v>
      </c>
      <c r="D249" s="101">
        <v>2092278.99</v>
      </c>
      <c r="E249" s="101">
        <v>102120.0</v>
      </c>
      <c r="F249" s="101">
        <v>50000.0</v>
      </c>
      <c r="G249" s="138">
        <f t="shared" si="3"/>
        <v>2245198.99</v>
      </c>
    </row>
    <row r="250" spans="8:8">
      <c r="A250" s="116" t="s">
        <v>261</v>
      </c>
      <c r="B250" s="117" t="s">
        <v>196</v>
      </c>
      <c r="C250" s="101">
        <v>800.0</v>
      </c>
      <c r="D250" s="101">
        <v>1902071.81</v>
      </c>
      <c r="E250" s="101">
        <v>102120.0</v>
      </c>
      <c r="F250" s="101">
        <v>50000.0</v>
      </c>
      <c r="G250" s="138">
        <f t="shared" si="3"/>
        <v>2054991.81</v>
      </c>
    </row>
    <row r="251" spans="8:8">
      <c r="A251" s="116" t="s">
        <v>262</v>
      </c>
      <c r="B251" s="117" t="s">
        <v>196</v>
      </c>
      <c r="C251" s="101">
        <v>800.0</v>
      </c>
      <c r="D251" s="101">
        <v>1902071.81</v>
      </c>
      <c r="E251" s="101">
        <v>102120.0</v>
      </c>
      <c r="F251" s="101">
        <v>50000.0</v>
      </c>
      <c r="G251" s="138">
        <f t="shared" si="3"/>
        <v>2054991.81</v>
      </c>
    </row>
    <row r="252" spans="8:8">
      <c r="A252" s="116" t="s">
        <v>263</v>
      </c>
      <c r="B252" s="117" t="s">
        <v>196</v>
      </c>
      <c r="C252" s="101">
        <v>800.0</v>
      </c>
      <c r="D252" s="101">
        <v>1331450.27</v>
      </c>
      <c r="E252" s="101">
        <v>102120.0</v>
      </c>
      <c r="F252" s="101">
        <v>50000.0</v>
      </c>
      <c r="G252" s="138">
        <f t="shared" si="3"/>
        <v>1484370.27</v>
      </c>
    </row>
    <row r="253" spans="8:8">
      <c r="A253" s="116" t="s">
        <v>264</v>
      </c>
      <c r="B253" s="117" t="s">
        <v>196</v>
      </c>
      <c r="C253" s="101">
        <v>800.0</v>
      </c>
      <c r="D253" s="101">
        <v>1902071.81</v>
      </c>
      <c r="E253" s="101">
        <v>102120.0</v>
      </c>
      <c r="F253" s="101">
        <v>50000.0</v>
      </c>
      <c r="G253" s="138">
        <f t="shared" si="3"/>
        <v>2054991.81</v>
      </c>
    </row>
    <row r="254" spans="8:8">
      <c r="A254" s="116" t="s">
        <v>265</v>
      </c>
      <c r="B254" s="117" t="s">
        <v>196</v>
      </c>
      <c r="C254" s="101">
        <v>800.0</v>
      </c>
      <c r="D254" s="101">
        <v>1331450.27</v>
      </c>
      <c r="E254" s="101">
        <v>102120.0</v>
      </c>
      <c r="F254" s="101">
        <v>50000.0</v>
      </c>
      <c r="G254" s="138">
        <f t="shared" si="3"/>
        <v>1484370.27</v>
      </c>
    </row>
    <row r="255" spans="8:8">
      <c r="A255" s="116" t="s">
        <v>266</v>
      </c>
      <c r="B255" s="117" t="s">
        <v>196</v>
      </c>
      <c r="C255" s="101">
        <v>800.0</v>
      </c>
      <c r="D255" s="101">
        <v>1331450.27</v>
      </c>
      <c r="E255" s="101">
        <v>102120.0</v>
      </c>
      <c r="F255" s="101">
        <v>50000.0</v>
      </c>
      <c r="G255" s="138">
        <f t="shared" si="3"/>
        <v>1484370.27</v>
      </c>
    </row>
    <row r="256" spans="8:8">
      <c r="A256" s="116" t="s">
        <v>267</v>
      </c>
      <c r="B256" s="117" t="s">
        <v>196</v>
      </c>
      <c r="C256" s="101">
        <v>800.0</v>
      </c>
      <c r="D256" s="101">
        <v>1331450.27</v>
      </c>
      <c r="E256" s="101">
        <v>102120.0</v>
      </c>
      <c r="F256" s="101">
        <v>50000.0</v>
      </c>
      <c r="G256" s="138">
        <f t="shared" si="3"/>
        <v>1484370.27</v>
      </c>
    </row>
    <row r="257" spans="8:8">
      <c r="A257" s="116" t="s">
        <v>268</v>
      </c>
      <c r="B257" s="117" t="s">
        <v>196</v>
      </c>
      <c r="C257" s="101">
        <v>800.0</v>
      </c>
      <c r="D257" s="101">
        <v>1331450.27</v>
      </c>
      <c r="E257" s="101">
        <v>102120.0</v>
      </c>
      <c r="F257" s="101">
        <v>50000.0</v>
      </c>
      <c r="G257" s="138">
        <f t="shared" si="3"/>
        <v>1484370.27</v>
      </c>
    </row>
    <row r="258" spans="8:8">
      <c r="A258" s="116" t="s">
        <v>269</v>
      </c>
      <c r="B258" s="117" t="s">
        <v>196</v>
      </c>
      <c r="C258" s="101">
        <v>800.0</v>
      </c>
      <c r="D258" s="101">
        <v>1379002.06</v>
      </c>
      <c r="E258" s="101">
        <v>102120.0</v>
      </c>
      <c r="F258" s="101">
        <v>50000.0</v>
      </c>
      <c r="G258" s="138">
        <f t="shared" si="3"/>
        <v>1531922.06</v>
      </c>
    </row>
    <row r="259" spans="8:8">
      <c r="A259" s="116" t="s">
        <v>270</v>
      </c>
      <c r="B259" s="117" t="s">
        <v>196</v>
      </c>
      <c r="C259" s="101">
        <v>800.0</v>
      </c>
      <c r="D259" s="101">
        <v>1331450.27</v>
      </c>
      <c r="E259" s="101">
        <v>102120.0</v>
      </c>
      <c r="F259" s="101">
        <v>50000.0</v>
      </c>
      <c r="G259" s="138">
        <f t="shared" si="4" ref="G259:G279">(C259+D259+E259+F259)</f>
        <v>1484370.27</v>
      </c>
    </row>
    <row r="260" spans="8:8">
      <c r="A260" s="116" t="s">
        <v>271</v>
      </c>
      <c r="B260" s="117" t="s">
        <v>196</v>
      </c>
      <c r="C260" s="101">
        <v>800.0</v>
      </c>
      <c r="D260" s="101">
        <v>1331450.27</v>
      </c>
      <c r="E260" s="101">
        <v>102120.0</v>
      </c>
      <c r="F260" s="101">
        <v>50000.0</v>
      </c>
      <c r="G260" s="138">
        <f t="shared" si="4"/>
        <v>1484370.27</v>
      </c>
    </row>
    <row r="261" spans="8:8">
      <c r="A261" s="116" t="s">
        <v>272</v>
      </c>
      <c r="B261" s="117" t="s">
        <v>196</v>
      </c>
      <c r="C261" s="101">
        <v>800.0</v>
      </c>
      <c r="D261" s="101">
        <v>1331450.27</v>
      </c>
      <c r="E261" s="101">
        <v>102120.0</v>
      </c>
      <c r="F261" s="101">
        <v>50000.0</v>
      </c>
      <c r="G261" s="138">
        <f t="shared" si="4"/>
        <v>1484370.27</v>
      </c>
    </row>
    <row r="262" spans="8:8">
      <c r="A262" s="116" t="s">
        <v>273</v>
      </c>
      <c r="B262" s="117" t="s">
        <v>196</v>
      </c>
      <c r="C262" s="101">
        <v>800.0</v>
      </c>
      <c r="D262" s="101">
        <v>1902071.81</v>
      </c>
      <c r="E262" s="101">
        <v>102120.0</v>
      </c>
      <c r="F262" s="101">
        <v>50000.0</v>
      </c>
      <c r="G262" s="138">
        <f t="shared" si="4"/>
        <v>2054991.81</v>
      </c>
    </row>
    <row r="263" spans="8:8">
      <c r="A263" s="116" t="s">
        <v>274</v>
      </c>
      <c r="B263" s="117" t="s">
        <v>196</v>
      </c>
      <c r="C263" s="101">
        <v>800.0</v>
      </c>
      <c r="D263" s="101">
        <v>1331450.27</v>
      </c>
      <c r="E263" s="101">
        <v>102120.0</v>
      </c>
      <c r="F263" s="101">
        <v>50000.0</v>
      </c>
      <c r="G263" s="138">
        <f t="shared" si="4"/>
        <v>1484370.27</v>
      </c>
    </row>
    <row r="264" spans="8:8">
      <c r="A264" s="116" t="s">
        <v>275</v>
      </c>
      <c r="B264" s="117" t="s">
        <v>196</v>
      </c>
      <c r="C264" s="101">
        <v>800.0</v>
      </c>
      <c r="D264" s="101">
        <v>1331450.27</v>
      </c>
      <c r="E264" s="101">
        <v>102120.0</v>
      </c>
      <c r="F264" s="101">
        <v>50000.0</v>
      </c>
      <c r="G264" s="138">
        <f t="shared" si="4"/>
        <v>1484370.27</v>
      </c>
    </row>
    <row r="265" spans="8:8">
      <c r="A265" s="116" t="s">
        <v>276</v>
      </c>
      <c r="B265" s="117" t="s">
        <v>196</v>
      </c>
      <c r="C265" s="101">
        <v>800.0</v>
      </c>
      <c r="D265" s="101">
        <v>1902071.81</v>
      </c>
      <c r="E265" s="101">
        <v>102120.0</v>
      </c>
      <c r="F265" s="101">
        <v>50000.0</v>
      </c>
      <c r="G265" s="138">
        <f t="shared" si="4"/>
        <v>2054991.81</v>
      </c>
    </row>
    <row r="266" spans="8:8">
      <c r="A266" s="116" t="s">
        <v>277</v>
      </c>
      <c r="B266" s="117" t="s">
        <v>196</v>
      </c>
      <c r="C266" s="101">
        <v>800.0</v>
      </c>
      <c r="D266" s="101">
        <v>1331450.27</v>
      </c>
      <c r="E266" s="101">
        <v>102120.0</v>
      </c>
      <c r="F266" s="101">
        <v>50000.0</v>
      </c>
      <c r="G266" s="138">
        <f t="shared" si="4"/>
        <v>1484370.27</v>
      </c>
    </row>
    <row r="267" spans="8:8">
      <c r="A267" s="116" t="s">
        <v>278</v>
      </c>
      <c r="B267" s="117" t="s">
        <v>196</v>
      </c>
      <c r="C267" s="101">
        <v>800.0</v>
      </c>
      <c r="D267" s="101">
        <v>6371940.56</v>
      </c>
      <c r="E267" s="101">
        <v>102120.0</v>
      </c>
      <c r="F267" s="101">
        <v>50000.0</v>
      </c>
      <c r="G267" s="138">
        <f t="shared" si="4"/>
        <v>6524860.56</v>
      </c>
    </row>
    <row r="268" spans="8:8">
      <c r="A268" s="116" t="s">
        <v>279</v>
      </c>
      <c r="B268" s="117" t="s">
        <v>196</v>
      </c>
      <c r="C268" s="101">
        <v>800.0</v>
      </c>
      <c r="D268" s="101">
        <v>4469868.75</v>
      </c>
      <c r="E268" s="101">
        <v>102120.0</v>
      </c>
      <c r="F268" s="101">
        <v>50000.0</v>
      </c>
      <c r="G268" s="138">
        <f t="shared" si="4"/>
        <v>4622788.75</v>
      </c>
    </row>
    <row r="269" spans="8:8">
      <c r="A269" s="116" t="s">
        <v>280</v>
      </c>
      <c r="B269" s="117" t="s">
        <v>196</v>
      </c>
      <c r="C269" s="101">
        <v>953971.2</v>
      </c>
      <c r="D269" s="101">
        <v>1409990.4</v>
      </c>
      <c r="E269" s="101">
        <v>102120.0</v>
      </c>
      <c r="F269" s="101">
        <v>50000.0</v>
      </c>
      <c r="G269" s="138">
        <f t="shared" si="4"/>
        <v>2516081.5999999996</v>
      </c>
    </row>
    <row r="270" spans="8:8">
      <c r="A270" s="116" t="s">
        <v>281</v>
      </c>
      <c r="B270" s="117" t="s">
        <v>282</v>
      </c>
      <c r="C270" s="101">
        <v>500000.0</v>
      </c>
      <c r="D270" s="101">
        <v>0.0</v>
      </c>
      <c r="E270" s="75"/>
      <c r="F270" s="75"/>
      <c r="G270" s="138">
        <f t="shared" si="4"/>
        <v>500000.0</v>
      </c>
    </row>
    <row r="271" spans="8:8">
      <c r="A271" s="116" t="s">
        <v>283</v>
      </c>
      <c r="B271" s="117" t="s">
        <v>282</v>
      </c>
      <c r="C271" s="101">
        <v>500000.0</v>
      </c>
      <c r="D271" s="101">
        <v>0.0</v>
      </c>
      <c r="E271" s="75"/>
      <c r="F271" s="75"/>
      <c r="G271" s="138">
        <f t="shared" si="4"/>
        <v>500000.0</v>
      </c>
    </row>
    <row r="272" spans="8:8">
      <c r="A272" s="116" t="s">
        <v>284</v>
      </c>
      <c r="B272" s="126" t="s">
        <v>285</v>
      </c>
      <c r="C272" s="101">
        <v>10000.0</v>
      </c>
      <c r="D272" s="101">
        <v>0.0</v>
      </c>
      <c r="E272" s="75"/>
      <c r="F272" s="75"/>
      <c r="G272" s="138">
        <f t="shared" si="4"/>
        <v>10000.0</v>
      </c>
    </row>
    <row r="273" spans="8:8">
      <c r="A273" s="116" t="s">
        <v>286</v>
      </c>
      <c r="B273" s="126" t="s">
        <v>285</v>
      </c>
      <c r="C273" s="101">
        <v>100000.0</v>
      </c>
      <c r="D273" s="101">
        <v>0.0</v>
      </c>
      <c r="E273" s="75"/>
      <c r="F273" s="75"/>
      <c r="G273" s="138">
        <f t="shared" si="4"/>
        <v>100000.0</v>
      </c>
    </row>
    <row r="274" spans="8:8">
      <c r="A274" s="116" t="s">
        <v>4</v>
      </c>
      <c r="B274" s="126" t="s">
        <v>285</v>
      </c>
      <c r="C274" s="101">
        <v>60000.0</v>
      </c>
      <c r="D274" s="101">
        <v>0.0</v>
      </c>
      <c r="E274" s="75"/>
      <c r="F274" s="75"/>
      <c r="G274" s="153">
        <v>102120.0</v>
      </c>
    </row>
    <row r="275" spans="8:8">
      <c r="A275" s="116" t="s">
        <v>287</v>
      </c>
      <c r="B275" s="126" t="s">
        <v>285</v>
      </c>
      <c r="C275" s="101">
        <v>150000.0</v>
      </c>
      <c r="D275" s="101">
        <v>0.0</v>
      </c>
      <c r="E275" s="75"/>
      <c r="F275" s="75"/>
      <c r="G275" s="138">
        <f t="shared" si="4"/>
        <v>150000.0</v>
      </c>
    </row>
    <row r="276" spans="8:8">
      <c r="A276" s="116" t="s">
        <v>5</v>
      </c>
      <c r="B276" s="126" t="s">
        <v>285</v>
      </c>
      <c r="C276" s="101">
        <v>50000.0</v>
      </c>
      <c r="D276" s="101">
        <v>0.0</v>
      </c>
      <c r="E276" s="75"/>
      <c r="F276" s="75"/>
      <c r="G276" s="138">
        <f t="shared" si="4"/>
        <v>50000.0</v>
      </c>
    </row>
    <row r="277" spans="8:8">
      <c r="A277" s="116" t="s">
        <v>288</v>
      </c>
      <c r="B277" s="126" t="s">
        <v>285</v>
      </c>
      <c r="C277" s="101">
        <v>500000.0</v>
      </c>
      <c r="D277" s="101">
        <v>0.0</v>
      </c>
      <c r="E277" s="75"/>
      <c r="F277" s="75"/>
      <c r="G277" s="138">
        <f t="shared" si="4"/>
        <v>500000.0</v>
      </c>
    </row>
    <row r="278" spans="8:8">
      <c r="A278" s="116" t="s">
        <v>289</v>
      </c>
      <c r="B278" s="126" t="s">
        <v>290</v>
      </c>
      <c r="C278" s="101">
        <v>380.0</v>
      </c>
      <c r="D278" s="101">
        <v>405775.34</v>
      </c>
      <c r="E278" s="101">
        <v>102120.0</v>
      </c>
      <c r="F278" s="101">
        <v>50000.0</v>
      </c>
      <c r="G278" s="138">
        <f t="shared" si="4"/>
        <v>558275.3400000001</v>
      </c>
    </row>
    <row r="279" spans="8:8">
      <c r="A279" s="116" t="s">
        <v>291</v>
      </c>
      <c r="B279" s="126" t="s">
        <v>290</v>
      </c>
      <c r="C279" s="101">
        <v>429000.0</v>
      </c>
      <c r="D279" s="101">
        <v>265200.0</v>
      </c>
      <c r="E279" s="101">
        <v>102120.0</v>
      </c>
      <c r="F279" s="101">
        <v>50000.0</v>
      </c>
      <c r="G279" s="138">
        <f t="shared" si="4"/>
        <v>846320.0</v>
      </c>
    </row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:J280"/>
  <sheetViews>
    <sheetView workbookViewId="0" topLeftCell="A59">
      <selection activeCell="B59" sqref="B1:G1048576"/>
    </sheetView>
  </sheetViews>
  <sheetFormatPr defaultRowHeight="15.0" defaultColWidth="10"/>
  <cols>
    <col min="1" max="1" customWidth="1" width="59.0" style="73"/>
    <col min="2" max="2" customWidth="1" width="12.425781" style="0"/>
    <col min="3" max="3" customWidth="1" width="12.425781" style="74"/>
    <col min="4" max="4" customWidth="1" width="15.285156" style="74"/>
    <col min="5" max="5" customWidth="1" width="12.855469" style="74"/>
    <col min="6" max="6" customWidth="1" width="18.140625" style="74"/>
    <col min="7" max="7" customWidth="1" width="15.855469" style="75"/>
    <col min="8" max="8" customWidth="1" bestFit="1" width="12.5703125" style="116"/>
    <col min="9" max="9" customWidth="1" bestFit="1" width="11.7109375" style="0"/>
  </cols>
  <sheetData>
    <row r="1" spans="8:8" ht="15.75">
      <c r="A1" s="154" t="s">
        <v>0</v>
      </c>
      <c r="B1" s="154" t="s">
        <v>1</v>
      </c>
      <c r="C1" s="155" t="s">
        <v>2</v>
      </c>
      <c r="D1" s="155" t="s">
        <v>3</v>
      </c>
      <c r="E1" s="155" t="s">
        <v>4</v>
      </c>
      <c r="F1" s="155" t="s">
        <v>5</v>
      </c>
      <c r="G1" s="155" t="s">
        <v>6</v>
      </c>
    </row>
    <row r="2" spans="8:8" ht="15.75">
      <c r="A2" s="156" t="s">
        <v>7</v>
      </c>
      <c r="B2" s="112" t="s">
        <v>8</v>
      </c>
      <c r="C2" s="114">
        <v>320.0</v>
      </c>
      <c r="D2" s="114">
        <v>433719.0</v>
      </c>
      <c r="E2" s="114">
        <v>60000.0</v>
      </c>
      <c r="F2" s="114">
        <v>50000.0</v>
      </c>
      <c r="G2" s="137">
        <f>(C2+D2+E2+F2)</f>
        <v>544039.0</v>
      </c>
    </row>
    <row r="3" spans="8:8" ht="16.5">
      <c r="A3" s="120" t="s">
        <v>9</v>
      </c>
      <c r="B3" s="121" t="s">
        <v>8</v>
      </c>
      <c r="C3" s="123">
        <v>320.0</v>
      </c>
      <c r="D3" s="123">
        <v>433719.0</v>
      </c>
      <c r="E3" s="123">
        <v>60000.0</v>
      </c>
      <c r="F3" s="123">
        <v>50000.0</v>
      </c>
      <c r="G3" s="157">
        <f t="shared" si="0" ref="G3:G66">(C3+D3+E3+F3)</f>
        <v>544039.0</v>
      </c>
    </row>
    <row r="4" spans="8:8" ht="16.5">
      <c r="A4" s="120" t="s">
        <v>10</v>
      </c>
      <c r="B4" s="121" t="s">
        <v>8</v>
      </c>
      <c r="C4" s="123">
        <v>320.0</v>
      </c>
      <c r="D4" s="123">
        <v>669529.28</v>
      </c>
      <c r="E4" s="123">
        <v>60000.0</v>
      </c>
      <c r="F4" s="123">
        <v>50000.0</v>
      </c>
      <c r="G4" s="157">
        <f t="shared" si="0"/>
        <v>779849.28</v>
      </c>
    </row>
    <row r="5" spans="8:8" ht="15.75">
      <c r="A5" s="116" t="s">
        <v>11</v>
      </c>
      <c r="B5" s="117" t="s">
        <v>8</v>
      </c>
      <c r="C5" s="101">
        <v>320.0</v>
      </c>
      <c r="D5" s="101">
        <v>176077.51</v>
      </c>
      <c r="E5" s="101">
        <v>60000.0</v>
      </c>
      <c r="F5" s="101">
        <v>50000.0</v>
      </c>
      <c r="G5" s="138">
        <f t="shared" si="0"/>
        <v>286397.51</v>
      </c>
    </row>
    <row r="6" spans="8:8" ht="15.75">
      <c r="A6" s="111" t="s">
        <v>12</v>
      </c>
      <c r="B6" s="119" t="s">
        <v>13</v>
      </c>
      <c r="C6" s="130">
        <v>387320.03</v>
      </c>
      <c r="D6" s="130">
        <v>166575.97</v>
      </c>
      <c r="E6" s="130">
        <v>60000.0</v>
      </c>
      <c r="F6" s="130">
        <v>50000.0</v>
      </c>
      <c r="G6" s="140">
        <f t="shared" si="0"/>
        <v>663896.0</v>
      </c>
    </row>
    <row r="7" spans="8:8" ht="16.5">
      <c r="A7" s="120" t="s">
        <v>14</v>
      </c>
      <c r="B7" s="121" t="s">
        <v>13</v>
      </c>
      <c r="C7" s="123">
        <v>468732.33</v>
      </c>
      <c r="D7" s="123">
        <v>169790.09</v>
      </c>
      <c r="E7" s="123">
        <v>60000.0</v>
      </c>
      <c r="F7" s="123">
        <v>50000.0</v>
      </c>
      <c r="G7" s="157">
        <f t="shared" si="0"/>
        <v>748522.42</v>
      </c>
    </row>
    <row r="8" spans="8:8" ht="15.75">
      <c r="A8" s="116" t="s">
        <v>15</v>
      </c>
      <c r="B8" s="117" t="s">
        <v>13</v>
      </c>
      <c r="C8" s="101">
        <v>611641.32</v>
      </c>
      <c r="D8" s="101">
        <v>221638.54</v>
      </c>
      <c r="E8" s="101">
        <v>60000.0</v>
      </c>
      <c r="F8" s="101">
        <v>50000.0</v>
      </c>
      <c r="G8" s="138">
        <f t="shared" si="0"/>
        <v>943279.86</v>
      </c>
    </row>
    <row r="9" spans="8:8">
      <c r="A9" s="116" t="s">
        <v>16</v>
      </c>
      <c r="B9" s="117" t="s">
        <v>13</v>
      </c>
      <c r="C9" s="101">
        <v>773715.95</v>
      </c>
      <c r="D9" s="101">
        <v>280126.48</v>
      </c>
      <c r="E9" s="101">
        <v>60000.0</v>
      </c>
      <c r="F9" s="101">
        <v>50000.0</v>
      </c>
      <c r="G9" s="138">
        <f t="shared" si="0"/>
        <v>1163842.43</v>
      </c>
    </row>
    <row r="10" spans="8:8">
      <c r="A10" s="116" t="s">
        <v>17</v>
      </c>
      <c r="B10" s="117" t="s">
        <v>13</v>
      </c>
      <c r="C10" s="101">
        <v>2691529.67</v>
      </c>
      <c r="D10" s="101">
        <v>975161.28</v>
      </c>
      <c r="E10" s="101">
        <v>60000.0</v>
      </c>
      <c r="F10" s="101">
        <v>50000.0</v>
      </c>
      <c r="G10" s="138">
        <f t="shared" si="0"/>
        <v>3776690.95</v>
      </c>
    </row>
    <row r="11" spans="8:8">
      <c r="A11" s="116" t="s">
        <v>18</v>
      </c>
      <c r="B11" s="117" t="s">
        <v>13</v>
      </c>
      <c r="C11" s="101">
        <v>1427014.22</v>
      </c>
      <c r="D11" s="101">
        <v>516734.07</v>
      </c>
      <c r="E11" s="101">
        <v>60000.0</v>
      </c>
      <c r="F11" s="101">
        <v>50000.0</v>
      </c>
      <c r="G11" s="138">
        <f t="shared" si="0"/>
        <v>2053748.29</v>
      </c>
    </row>
    <row r="12" spans="8:8">
      <c r="A12" s="116" t="s">
        <v>19</v>
      </c>
      <c r="B12" s="117" t="s">
        <v>13</v>
      </c>
      <c r="C12" s="101">
        <v>687470.58</v>
      </c>
      <c r="D12" s="101">
        <v>254594.59</v>
      </c>
      <c r="E12" s="101">
        <v>60000.0</v>
      </c>
      <c r="F12" s="101">
        <v>50000.0</v>
      </c>
      <c r="G12" s="138">
        <f t="shared" si="0"/>
        <v>1052065.17</v>
      </c>
    </row>
    <row r="13" spans="8:8">
      <c r="A13" s="116" t="s">
        <v>20</v>
      </c>
      <c r="B13" s="117" t="s">
        <v>13</v>
      </c>
      <c r="C13" s="101">
        <v>749967.23</v>
      </c>
      <c r="D13" s="101">
        <v>261958.4</v>
      </c>
      <c r="E13" s="101">
        <v>60000.0</v>
      </c>
      <c r="F13" s="101">
        <v>50000.0</v>
      </c>
      <c r="G13" s="138">
        <f t="shared" si="0"/>
        <v>1121925.63</v>
      </c>
    </row>
    <row r="14" spans="8:8">
      <c r="A14" s="116" t="s">
        <v>21</v>
      </c>
      <c r="B14" s="117" t="s">
        <v>13</v>
      </c>
      <c r="C14" s="101">
        <v>1583255.83</v>
      </c>
      <c r="D14" s="101">
        <v>584275.88</v>
      </c>
      <c r="E14" s="101">
        <v>60000.0</v>
      </c>
      <c r="F14" s="101">
        <v>50000.0</v>
      </c>
      <c r="G14" s="138">
        <f t="shared" si="0"/>
        <v>2277531.71</v>
      </c>
    </row>
    <row r="15" spans="8:8">
      <c r="A15" s="116" t="s">
        <v>22</v>
      </c>
      <c r="B15" s="117" t="s">
        <v>13</v>
      </c>
      <c r="C15" s="101">
        <v>749967.23</v>
      </c>
      <c r="D15" s="101">
        <v>284894.85</v>
      </c>
      <c r="E15" s="101">
        <v>60000.0</v>
      </c>
      <c r="F15" s="101">
        <v>50000.0</v>
      </c>
      <c r="G15" s="138">
        <f t="shared" si="0"/>
        <v>1144862.08</v>
      </c>
    </row>
    <row r="16" spans="8:8">
      <c r="A16" s="116" t="s">
        <v>23</v>
      </c>
      <c r="B16" s="117" t="s">
        <v>13</v>
      </c>
      <c r="C16" s="101">
        <v>1583255.83</v>
      </c>
      <c r="D16" s="101">
        <v>629907.35</v>
      </c>
      <c r="E16" s="101">
        <v>60000.0</v>
      </c>
      <c r="F16" s="101">
        <v>50000.0</v>
      </c>
      <c r="G16" s="138">
        <f t="shared" si="0"/>
        <v>2323163.18</v>
      </c>
    </row>
    <row r="17" spans="8:8">
      <c r="A17" s="116" t="s">
        <v>24</v>
      </c>
      <c r="B17" s="117" t="s">
        <v>13</v>
      </c>
      <c r="C17" s="101">
        <v>666638.37</v>
      </c>
      <c r="D17" s="101">
        <v>246325.4</v>
      </c>
      <c r="E17" s="101">
        <v>60000.0</v>
      </c>
      <c r="F17" s="101">
        <v>50000.0</v>
      </c>
      <c r="G17" s="138">
        <f t="shared" si="0"/>
        <v>1022963.77</v>
      </c>
    </row>
    <row r="18" spans="8:8">
      <c r="A18" s="116" t="s">
        <v>25</v>
      </c>
      <c r="B18" s="117" t="s">
        <v>13</v>
      </c>
      <c r="C18" s="101">
        <v>624973.94</v>
      </c>
      <c r="D18" s="101">
        <v>231295.99</v>
      </c>
      <c r="E18" s="101">
        <v>60000.0</v>
      </c>
      <c r="F18" s="101">
        <v>50000.0</v>
      </c>
      <c r="G18" s="138">
        <f t="shared" si="0"/>
        <v>966269.9299999999</v>
      </c>
    </row>
    <row r="19" spans="8:8">
      <c r="A19" s="116" t="s">
        <v>26</v>
      </c>
      <c r="B19" s="117" t="s">
        <v>13</v>
      </c>
      <c r="C19" s="101">
        <v>916624.95</v>
      </c>
      <c r="D19" s="101">
        <v>331733.5</v>
      </c>
      <c r="E19" s="101">
        <v>60000.0</v>
      </c>
      <c r="F19" s="101">
        <v>50000.0</v>
      </c>
      <c r="G19" s="138">
        <f t="shared" si="0"/>
        <v>1358358.45</v>
      </c>
    </row>
    <row r="20" spans="8:8">
      <c r="A20" s="116" t="s">
        <v>27</v>
      </c>
      <c r="B20" s="117" t="s">
        <v>13</v>
      </c>
      <c r="C20" s="101">
        <v>666638.37</v>
      </c>
      <c r="D20" s="101">
        <v>246506.48</v>
      </c>
      <c r="E20" s="101">
        <v>60000.0</v>
      </c>
      <c r="F20" s="101">
        <v>50000.0</v>
      </c>
      <c r="G20" s="138">
        <f t="shared" si="0"/>
        <v>1023144.85</v>
      </c>
    </row>
    <row r="21" spans="8:8">
      <c r="A21" s="116" t="s">
        <v>28</v>
      </c>
      <c r="B21" s="117" t="s">
        <v>13</v>
      </c>
      <c r="C21" s="101">
        <v>916624.95</v>
      </c>
      <c r="D21" s="101">
        <v>331733.5</v>
      </c>
      <c r="E21" s="101">
        <v>60000.0</v>
      </c>
      <c r="F21" s="101">
        <v>50000.0</v>
      </c>
      <c r="G21" s="138">
        <f t="shared" si="0"/>
        <v>1358358.45</v>
      </c>
    </row>
    <row r="22" spans="8:8">
      <c r="A22" s="116" t="s">
        <v>29</v>
      </c>
      <c r="B22" s="117" t="s">
        <v>13</v>
      </c>
      <c r="C22" s="101">
        <v>833296.09</v>
      </c>
      <c r="D22" s="101">
        <v>345253.93</v>
      </c>
      <c r="E22" s="101">
        <v>60000.0</v>
      </c>
      <c r="F22" s="101">
        <v>50000.0</v>
      </c>
      <c r="G22" s="138">
        <f t="shared" si="0"/>
        <v>1288550.02</v>
      </c>
    </row>
    <row r="23" spans="8:8">
      <c r="A23" s="116" t="s">
        <v>30</v>
      </c>
      <c r="B23" s="117" t="s">
        <v>13</v>
      </c>
      <c r="C23" s="101">
        <v>624973.94</v>
      </c>
      <c r="D23" s="101">
        <v>231295.99</v>
      </c>
      <c r="E23" s="101">
        <v>60000.0</v>
      </c>
      <c r="F23" s="101">
        <v>50000.0</v>
      </c>
      <c r="G23" s="138">
        <f t="shared" si="0"/>
        <v>966269.9299999999</v>
      </c>
    </row>
    <row r="24" spans="8:8">
      <c r="A24" s="116" t="s">
        <v>31</v>
      </c>
      <c r="B24" s="117" t="s">
        <v>13</v>
      </c>
      <c r="C24" s="101">
        <v>624973.94</v>
      </c>
      <c r="D24" s="101">
        <v>231295.99</v>
      </c>
      <c r="E24" s="101">
        <v>60000.0</v>
      </c>
      <c r="F24" s="101">
        <v>50000.0</v>
      </c>
      <c r="G24" s="138">
        <f t="shared" si="0"/>
        <v>966269.9299999999</v>
      </c>
    </row>
    <row r="25" spans="8:8">
      <c r="A25" s="116" t="s">
        <v>32</v>
      </c>
      <c r="B25" s="117" t="s">
        <v>13</v>
      </c>
      <c r="C25" s="101">
        <v>1124947.1</v>
      </c>
      <c r="D25" s="101">
        <v>408993.12</v>
      </c>
      <c r="E25" s="101">
        <v>60000.0</v>
      </c>
      <c r="F25" s="101">
        <v>50000.0</v>
      </c>
      <c r="G25" s="138">
        <f t="shared" si="0"/>
        <v>1643940.2200000002</v>
      </c>
    </row>
    <row r="26" spans="8:8">
      <c r="A26" s="116" t="s">
        <v>33</v>
      </c>
      <c r="B26" s="117" t="s">
        <v>13</v>
      </c>
      <c r="C26" s="101">
        <v>1124947.1</v>
      </c>
      <c r="D26" s="101">
        <v>408993.12</v>
      </c>
      <c r="E26" s="101">
        <v>60000.0</v>
      </c>
      <c r="F26" s="101">
        <v>50000.0</v>
      </c>
      <c r="G26" s="138">
        <f t="shared" si="0"/>
        <v>1643940.2200000002</v>
      </c>
    </row>
    <row r="27" spans="8:8">
      <c r="A27" s="116" t="s">
        <v>34</v>
      </c>
      <c r="B27" s="117" t="s">
        <v>13</v>
      </c>
      <c r="C27" s="101">
        <v>833296.09</v>
      </c>
      <c r="D27" s="101">
        <v>308072.74</v>
      </c>
      <c r="E27" s="101">
        <v>60000.0</v>
      </c>
      <c r="F27" s="101">
        <v>50000.0</v>
      </c>
      <c r="G27" s="138">
        <f t="shared" si="0"/>
        <v>1251368.83</v>
      </c>
    </row>
    <row r="28" spans="8:8">
      <c r="A28" s="116" t="s">
        <v>35</v>
      </c>
      <c r="B28" s="117" t="s">
        <v>13</v>
      </c>
      <c r="C28" s="101">
        <v>1120780.66</v>
      </c>
      <c r="D28" s="101">
        <v>405975.16</v>
      </c>
      <c r="E28" s="101">
        <v>60000.0</v>
      </c>
      <c r="F28" s="101">
        <v>50000.0</v>
      </c>
      <c r="G28" s="138">
        <f t="shared" si="0"/>
        <v>1636755.8199999998</v>
      </c>
    </row>
    <row r="29" spans="8:8">
      <c r="A29" s="116" t="s">
        <v>36</v>
      </c>
      <c r="B29" s="117" t="s">
        <v>13</v>
      </c>
      <c r="C29" s="101">
        <v>845795.42</v>
      </c>
      <c r="D29" s="101">
        <v>306503.4</v>
      </c>
      <c r="E29" s="101">
        <v>60000.0</v>
      </c>
      <c r="F29" s="101">
        <v>50000.0</v>
      </c>
      <c r="G29" s="138">
        <f t="shared" si="0"/>
        <v>1262298.82</v>
      </c>
    </row>
    <row r="30" spans="8:8" ht="15.75">
      <c r="A30" s="111" t="s">
        <v>37</v>
      </c>
      <c r="B30" s="119" t="s">
        <v>13</v>
      </c>
      <c r="C30" s="130">
        <v>429151.12</v>
      </c>
      <c r="D30" s="130">
        <v>155605.7</v>
      </c>
      <c r="E30" s="130">
        <v>60000.0</v>
      </c>
      <c r="F30" s="130">
        <v>50000.0</v>
      </c>
      <c r="G30" s="140">
        <f t="shared" si="0"/>
        <v>694756.8200000001</v>
      </c>
    </row>
    <row r="31" spans="8:8" ht="15.75">
      <c r="A31" s="116" t="s">
        <v>38</v>
      </c>
      <c r="B31" s="117" t="s">
        <v>13</v>
      </c>
      <c r="C31" s="101">
        <v>458316.22</v>
      </c>
      <c r="D31" s="101">
        <v>162245.2</v>
      </c>
      <c r="E31" s="101">
        <v>60000.0</v>
      </c>
      <c r="F31" s="101">
        <v>50000.0</v>
      </c>
      <c r="G31" s="138">
        <f t="shared" si="0"/>
        <v>730561.4199999999</v>
      </c>
    </row>
    <row r="32" spans="8:8">
      <c r="A32" s="116" t="s">
        <v>39</v>
      </c>
      <c r="B32" s="117" t="s">
        <v>13</v>
      </c>
      <c r="C32" s="101">
        <v>520812.86</v>
      </c>
      <c r="D32" s="101">
        <v>192786.9</v>
      </c>
      <c r="E32" s="101">
        <v>60000.0</v>
      </c>
      <c r="F32" s="101">
        <v>50000.0</v>
      </c>
      <c r="G32" s="138">
        <f t="shared" si="0"/>
        <v>823599.76</v>
      </c>
    </row>
    <row r="33" spans="8:8">
      <c r="A33" s="116" t="s">
        <v>40</v>
      </c>
      <c r="B33" s="117" t="s">
        <v>13</v>
      </c>
      <c r="C33" s="101">
        <v>833296.09</v>
      </c>
      <c r="D33" s="101">
        <v>308072.74</v>
      </c>
      <c r="E33" s="101">
        <v>60000.0</v>
      </c>
      <c r="F33" s="101">
        <v>50000.0</v>
      </c>
      <c r="G33" s="138">
        <f t="shared" si="0"/>
        <v>1251368.83</v>
      </c>
    </row>
    <row r="34" spans="8:8" ht="15.75">
      <c r="A34" s="111" t="s">
        <v>41</v>
      </c>
      <c r="B34" s="119" t="s">
        <v>13</v>
      </c>
      <c r="C34" s="130">
        <v>374987.36</v>
      </c>
      <c r="D34" s="130">
        <v>138825.88</v>
      </c>
      <c r="E34" s="130">
        <v>60000.0</v>
      </c>
      <c r="F34" s="130">
        <v>50000.0</v>
      </c>
      <c r="G34" s="140">
        <f t="shared" si="0"/>
        <v>623813.24</v>
      </c>
    </row>
    <row r="35" spans="8:8" ht="16.5">
      <c r="A35" s="120" t="s">
        <v>42</v>
      </c>
      <c r="B35" s="121" t="s">
        <v>13</v>
      </c>
      <c r="C35" s="123">
        <v>374987.36</v>
      </c>
      <c r="D35" s="123">
        <v>138825.88</v>
      </c>
      <c r="E35" s="123">
        <v>60000.0</v>
      </c>
      <c r="F35" s="123">
        <v>50000.0</v>
      </c>
      <c r="G35" s="157">
        <f t="shared" si="0"/>
        <v>623813.24</v>
      </c>
    </row>
    <row r="36" spans="8:8" ht="15.75">
      <c r="A36" s="116" t="s">
        <v>43</v>
      </c>
      <c r="B36" s="117" t="s">
        <v>13</v>
      </c>
      <c r="C36" s="101">
        <v>845795.42</v>
      </c>
      <c r="D36" s="101">
        <v>306503.4</v>
      </c>
      <c r="E36" s="101">
        <v>60000.0</v>
      </c>
      <c r="F36" s="101">
        <v>50000.0</v>
      </c>
      <c r="G36" s="138">
        <f t="shared" si="0"/>
        <v>1262298.82</v>
      </c>
    </row>
    <row r="37" spans="8:8">
      <c r="A37" s="116" t="s">
        <v>44</v>
      </c>
      <c r="B37" s="117" t="s">
        <v>13</v>
      </c>
      <c r="C37" s="101">
        <v>458316.22</v>
      </c>
      <c r="D37" s="101">
        <v>176731.38</v>
      </c>
      <c r="E37" s="101">
        <v>60000.0</v>
      </c>
      <c r="F37" s="101">
        <v>50000.0</v>
      </c>
      <c r="G37" s="138">
        <f t="shared" si="0"/>
        <v>745047.6</v>
      </c>
    </row>
    <row r="38" spans="8:8">
      <c r="A38" s="116" t="s">
        <v>45</v>
      </c>
      <c r="B38" s="117" t="s">
        <v>13</v>
      </c>
      <c r="C38" s="101">
        <v>1749913.55</v>
      </c>
      <c r="D38" s="101">
        <v>632321.71</v>
      </c>
      <c r="E38" s="101">
        <v>60000.0</v>
      </c>
      <c r="F38" s="101">
        <v>50000.0</v>
      </c>
      <c r="G38" s="138">
        <f t="shared" si="0"/>
        <v>2492235.26</v>
      </c>
    </row>
    <row r="39" spans="8:8">
      <c r="A39" s="116" t="s">
        <v>46</v>
      </c>
      <c r="B39" s="117" t="s">
        <v>13</v>
      </c>
      <c r="C39" s="101">
        <v>1749913.55</v>
      </c>
      <c r="D39" s="101">
        <v>632321.71</v>
      </c>
      <c r="E39" s="101">
        <v>60000.0</v>
      </c>
      <c r="F39" s="101">
        <v>50000.0</v>
      </c>
      <c r="G39" s="138">
        <f t="shared" si="0"/>
        <v>2492235.26</v>
      </c>
    </row>
    <row r="40" spans="8:8">
      <c r="A40" s="116" t="s">
        <v>47</v>
      </c>
      <c r="B40" s="117" t="s">
        <v>13</v>
      </c>
      <c r="C40" s="101">
        <v>2458208.86</v>
      </c>
      <c r="D40" s="101">
        <v>894762.98</v>
      </c>
      <c r="E40" s="101">
        <v>60000.0</v>
      </c>
      <c r="F40" s="101">
        <v>50000.0</v>
      </c>
      <c r="G40" s="138">
        <f t="shared" si="0"/>
        <v>3462971.84</v>
      </c>
    </row>
    <row r="41" spans="8:8">
      <c r="A41" s="116" t="s">
        <v>48</v>
      </c>
      <c r="B41" s="117" t="s">
        <v>13</v>
      </c>
      <c r="C41" s="101">
        <v>999953.81</v>
      </c>
      <c r="D41" s="101">
        <v>370121.87</v>
      </c>
      <c r="E41" s="101">
        <v>60000.0</v>
      </c>
      <c r="F41" s="101">
        <v>50000.0</v>
      </c>
      <c r="G41" s="138">
        <f t="shared" si="0"/>
        <v>1480075.6800000002</v>
      </c>
    </row>
    <row r="42" spans="8:8" ht="15.75">
      <c r="A42" s="111" t="s">
        <v>49</v>
      </c>
      <c r="B42" s="119" t="s">
        <v>13</v>
      </c>
      <c r="C42" s="130">
        <v>374987.36</v>
      </c>
      <c r="D42" s="130">
        <v>138825.88</v>
      </c>
      <c r="E42" s="130">
        <v>60000.0</v>
      </c>
      <c r="F42" s="130">
        <v>50000.0</v>
      </c>
      <c r="G42" s="140">
        <f t="shared" si="0"/>
        <v>623813.24</v>
      </c>
    </row>
    <row r="43" spans="8:8" ht="16.5">
      <c r="A43" s="120" t="s">
        <v>50</v>
      </c>
      <c r="B43" s="121" t="s">
        <v>13</v>
      </c>
      <c r="C43" s="123">
        <v>374987.36</v>
      </c>
      <c r="D43" s="123">
        <v>138825.88</v>
      </c>
      <c r="E43" s="123">
        <v>60000.0</v>
      </c>
      <c r="F43" s="123">
        <v>50000.0</v>
      </c>
      <c r="G43" s="157">
        <f t="shared" si="0"/>
        <v>623813.24</v>
      </c>
    </row>
    <row r="44" spans="8:8" ht="16.5">
      <c r="A44" s="111" t="s">
        <v>51</v>
      </c>
      <c r="B44" s="119" t="s">
        <v>13</v>
      </c>
      <c r="C44" s="130">
        <v>374987.36</v>
      </c>
      <c r="D44" s="130">
        <v>138825.88</v>
      </c>
      <c r="E44" s="130">
        <v>60000.0</v>
      </c>
      <c r="F44" s="130">
        <v>50000.0</v>
      </c>
      <c r="G44" s="140">
        <f t="shared" si="0"/>
        <v>623813.24</v>
      </c>
    </row>
    <row r="45" spans="8:8" ht="15.75">
      <c r="A45" s="116" t="s">
        <v>52</v>
      </c>
      <c r="B45" s="117" t="s">
        <v>13</v>
      </c>
      <c r="C45" s="101">
        <v>374987.36</v>
      </c>
      <c r="D45" s="101">
        <v>134962.9</v>
      </c>
      <c r="E45" s="101">
        <v>60000.0</v>
      </c>
      <c r="F45" s="101">
        <v>50000.0</v>
      </c>
      <c r="G45" s="138">
        <f t="shared" si="0"/>
        <v>619950.26</v>
      </c>
    </row>
    <row r="46" spans="8:8">
      <c r="A46" s="116" t="s">
        <v>53</v>
      </c>
      <c r="B46" s="117" t="s">
        <v>13</v>
      </c>
      <c r="C46" s="101">
        <v>512479.98</v>
      </c>
      <c r="D46" s="101">
        <v>186750.99</v>
      </c>
      <c r="E46" s="101">
        <v>60000.0</v>
      </c>
      <c r="F46" s="101">
        <v>50000.0</v>
      </c>
      <c r="G46" s="138">
        <f t="shared" si="0"/>
        <v>809230.97</v>
      </c>
    </row>
    <row r="47" spans="8:8">
      <c r="A47" s="116" t="s">
        <v>54</v>
      </c>
      <c r="B47" s="117" t="s">
        <v>13</v>
      </c>
      <c r="C47" s="101">
        <v>812463.87</v>
      </c>
      <c r="D47" s="101">
        <v>292982.97</v>
      </c>
      <c r="E47" s="101">
        <v>60000.0</v>
      </c>
      <c r="F47" s="101">
        <v>50000.0</v>
      </c>
      <c r="G47" s="138">
        <f t="shared" si="0"/>
        <v>1215446.8399999999</v>
      </c>
    </row>
    <row r="48" spans="8:8" ht="15.75">
      <c r="A48" s="111" t="s">
        <v>55</v>
      </c>
      <c r="B48" s="119" t="s">
        <v>13</v>
      </c>
      <c r="C48" s="130">
        <v>429151.12</v>
      </c>
      <c r="D48" s="130">
        <v>155605.7</v>
      </c>
      <c r="E48" s="130">
        <v>60000.0</v>
      </c>
      <c r="F48" s="130">
        <v>50000.0</v>
      </c>
      <c r="G48" s="140">
        <f t="shared" si="0"/>
        <v>694756.8200000001</v>
      </c>
    </row>
    <row r="49" spans="8:8" ht="15.75">
      <c r="A49" s="116" t="s">
        <v>56</v>
      </c>
      <c r="B49" s="117" t="s">
        <v>13</v>
      </c>
      <c r="C49" s="101">
        <v>562477.29</v>
      </c>
      <c r="D49" s="101">
        <v>207997.39</v>
      </c>
      <c r="E49" s="101">
        <v>60000.0</v>
      </c>
      <c r="F49" s="101">
        <v>50000.0</v>
      </c>
      <c r="G49" s="138">
        <f t="shared" si="0"/>
        <v>880474.68</v>
      </c>
    </row>
    <row r="50" spans="8:8">
      <c r="A50" s="116" t="s">
        <v>57</v>
      </c>
      <c r="B50" s="117" t="s">
        <v>13</v>
      </c>
      <c r="C50" s="101">
        <v>560.0</v>
      </c>
      <c r="D50" s="101">
        <v>605619.66</v>
      </c>
      <c r="E50" s="101">
        <v>60000.0</v>
      </c>
      <c r="F50" s="101">
        <v>50000.0</v>
      </c>
      <c r="G50" s="138">
        <f t="shared" si="0"/>
        <v>716179.66</v>
      </c>
    </row>
    <row r="51" spans="8:8">
      <c r="A51" s="116" t="s">
        <v>58</v>
      </c>
      <c r="B51" s="117" t="s">
        <v>13</v>
      </c>
      <c r="C51" s="101">
        <v>380.0</v>
      </c>
      <c r="D51" s="101">
        <v>346937.9</v>
      </c>
      <c r="E51" s="101">
        <v>60000.0</v>
      </c>
      <c r="F51" s="101">
        <v>50000.0</v>
      </c>
      <c r="G51" s="138">
        <f t="shared" si="0"/>
        <v>457317.9</v>
      </c>
    </row>
    <row r="52" spans="8:8">
      <c r="A52" s="116" t="s">
        <v>59</v>
      </c>
      <c r="B52" s="117" t="s">
        <v>60</v>
      </c>
      <c r="C52" s="101">
        <v>560.0</v>
      </c>
      <c r="D52" s="101">
        <v>605619.66</v>
      </c>
      <c r="E52" s="101">
        <v>60000.0</v>
      </c>
      <c r="F52" s="101">
        <v>50000.0</v>
      </c>
      <c r="G52" s="138">
        <f t="shared" si="0"/>
        <v>716179.66</v>
      </c>
    </row>
    <row r="53" spans="8:8">
      <c r="A53" s="116" t="s">
        <v>61</v>
      </c>
      <c r="B53" s="117" t="s">
        <v>60</v>
      </c>
      <c r="C53" s="101">
        <v>351000.0</v>
      </c>
      <c r="D53" s="101">
        <v>608662.98</v>
      </c>
      <c r="E53" s="101">
        <v>60000.0</v>
      </c>
      <c r="F53" s="101">
        <v>50000.0</v>
      </c>
      <c r="G53" s="138">
        <f t="shared" si="0"/>
        <v>1069662.98</v>
      </c>
    </row>
    <row r="54" spans="8:8">
      <c r="A54" s="116" t="s">
        <v>62</v>
      </c>
      <c r="B54" s="117" t="s">
        <v>60</v>
      </c>
      <c r="C54" s="101">
        <v>380.0</v>
      </c>
      <c r="D54" s="101">
        <v>346937.9</v>
      </c>
      <c r="E54" s="101">
        <v>60000.0</v>
      </c>
      <c r="F54" s="101">
        <v>50000.0</v>
      </c>
      <c r="G54" s="138">
        <f t="shared" si="0"/>
        <v>457317.9</v>
      </c>
    </row>
    <row r="55" spans="8:8">
      <c r="A55" s="116" t="s">
        <v>63</v>
      </c>
      <c r="B55" s="117" t="s">
        <v>60</v>
      </c>
      <c r="C55" s="101">
        <v>560.0</v>
      </c>
      <c r="D55" s="101">
        <v>81804.3</v>
      </c>
      <c r="E55" s="101">
        <v>60000.0</v>
      </c>
      <c r="F55" s="101">
        <v>50000.0</v>
      </c>
      <c r="G55" s="138">
        <f t="shared" si="0"/>
        <v>192364.3</v>
      </c>
    </row>
    <row r="56" spans="8:8">
      <c r="A56" s="116" t="s">
        <v>64</v>
      </c>
      <c r="B56" s="117" t="s">
        <v>65</v>
      </c>
      <c r="C56" s="101">
        <v>208.0</v>
      </c>
      <c r="D56" s="101">
        <v>391674.63</v>
      </c>
      <c r="E56" s="101">
        <v>60000.0</v>
      </c>
      <c r="F56" s="101">
        <v>50000.0</v>
      </c>
      <c r="G56" s="138">
        <f t="shared" si="0"/>
        <v>501882.63</v>
      </c>
    </row>
    <row r="57" spans="8:8">
      <c r="A57" s="116" t="s">
        <v>66</v>
      </c>
      <c r="B57" s="117" t="s">
        <v>65</v>
      </c>
      <c r="C57" s="101">
        <v>247.0</v>
      </c>
      <c r="D57" s="101">
        <v>657926.64</v>
      </c>
      <c r="E57" s="101">
        <v>60000.0</v>
      </c>
      <c r="F57" s="101">
        <v>50000.0</v>
      </c>
      <c r="G57" s="138">
        <f t="shared" si="0"/>
        <v>768173.64</v>
      </c>
    </row>
    <row r="58" spans="8:8">
      <c r="A58" s="116" t="s">
        <v>67</v>
      </c>
      <c r="B58" s="117" t="s">
        <v>65</v>
      </c>
      <c r="C58" s="101">
        <v>208.0</v>
      </c>
      <c r="D58" s="101">
        <v>391674.63</v>
      </c>
      <c r="E58" s="101">
        <v>60000.0</v>
      </c>
      <c r="F58" s="101">
        <v>50000.0</v>
      </c>
      <c r="G58" s="138">
        <f t="shared" si="0"/>
        <v>501882.63</v>
      </c>
    </row>
    <row r="59" spans="8:8">
      <c r="A59" s="116" t="s">
        <v>68</v>
      </c>
      <c r="B59" s="117" t="s">
        <v>65</v>
      </c>
      <c r="C59" s="101">
        <v>247.0</v>
      </c>
      <c r="D59" s="101">
        <v>657926.64</v>
      </c>
      <c r="E59" s="101">
        <v>60000.0</v>
      </c>
      <c r="F59" s="101">
        <v>50000.0</v>
      </c>
      <c r="G59" s="138">
        <f t="shared" si="0"/>
        <v>768173.64</v>
      </c>
    </row>
    <row r="60" spans="8:8">
      <c r="A60" s="116" t="s">
        <v>69</v>
      </c>
      <c r="B60" s="117" t="s">
        <v>65</v>
      </c>
      <c r="C60" s="101">
        <v>325.0</v>
      </c>
      <c r="D60" s="101">
        <v>970056.62</v>
      </c>
      <c r="E60" s="101">
        <v>60000.0</v>
      </c>
      <c r="F60" s="101">
        <v>50000.0</v>
      </c>
      <c r="G60" s="138">
        <f t="shared" si="0"/>
        <v>1080381.62</v>
      </c>
    </row>
    <row r="61" spans="8:8">
      <c r="A61" s="116" t="s">
        <v>70</v>
      </c>
      <c r="B61" s="117" t="s">
        <v>65</v>
      </c>
      <c r="C61" s="101">
        <v>208.0</v>
      </c>
      <c r="D61" s="101">
        <v>391674.63</v>
      </c>
      <c r="E61" s="101">
        <v>60000.0</v>
      </c>
      <c r="F61" s="101">
        <v>50000.0</v>
      </c>
      <c r="G61" s="138">
        <f t="shared" si="0"/>
        <v>501882.63</v>
      </c>
    </row>
    <row r="62" spans="8:8">
      <c r="A62" s="116" t="s">
        <v>71</v>
      </c>
      <c r="B62" s="117" t="s">
        <v>65</v>
      </c>
      <c r="C62" s="101">
        <v>286.0</v>
      </c>
      <c r="D62" s="101">
        <v>874762.82</v>
      </c>
      <c r="E62" s="101">
        <v>60000.0</v>
      </c>
      <c r="F62" s="101">
        <v>50000.0</v>
      </c>
      <c r="G62" s="138">
        <f t="shared" si="0"/>
        <v>985048.82</v>
      </c>
    </row>
    <row r="63" spans="8:8">
      <c r="A63" s="116" t="s">
        <v>72</v>
      </c>
      <c r="B63" s="117" t="s">
        <v>65</v>
      </c>
      <c r="C63" s="101">
        <v>247.0</v>
      </c>
      <c r="D63" s="101">
        <v>657926.64</v>
      </c>
      <c r="E63" s="101">
        <v>60000.0</v>
      </c>
      <c r="F63" s="101">
        <v>50000.0</v>
      </c>
      <c r="G63" s="138">
        <f t="shared" si="0"/>
        <v>768173.64</v>
      </c>
    </row>
    <row r="64" spans="8:8">
      <c r="A64" s="116" t="s">
        <v>73</v>
      </c>
      <c r="B64" s="117" t="s">
        <v>65</v>
      </c>
      <c r="C64" s="101">
        <v>208.0</v>
      </c>
      <c r="D64" s="101">
        <v>342220.76</v>
      </c>
      <c r="E64" s="101">
        <v>60000.0</v>
      </c>
      <c r="F64" s="101">
        <v>50000.0</v>
      </c>
      <c r="G64" s="138">
        <f t="shared" si="0"/>
        <v>452428.76</v>
      </c>
    </row>
    <row r="65" spans="8:8">
      <c r="A65" s="116" t="s">
        <v>74</v>
      </c>
      <c r="B65" s="117" t="s">
        <v>65</v>
      </c>
      <c r="C65" s="101">
        <v>247.0</v>
      </c>
      <c r="D65" s="101">
        <v>629395.56</v>
      </c>
      <c r="E65" s="101">
        <v>60000.0</v>
      </c>
      <c r="F65" s="101">
        <v>50000.0</v>
      </c>
      <c r="G65" s="138">
        <f t="shared" si="0"/>
        <v>739642.56</v>
      </c>
    </row>
    <row r="66" spans="8:8">
      <c r="A66" s="116" t="s">
        <v>75</v>
      </c>
      <c r="B66" s="117" t="s">
        <v>65</v>
      </c>
      <c r="C66" s="101">
        <v>247.0</v>
      </c>
      <c r="D66" s="101">
        <v>1485898.5</v>
      </c>
      <c r="E66" s="101">
        <v>60000.0</v>
      </c>
      <c r="F66" s="101">
        <v>50000.0</v>
      </c>
      <c r="G66" s="138">
        <f t="shared" si="0"/>
        <v>1596145.5</v>
      </c>
    </row>
    <row r="67" spans="8:8">
      <c r="A67" s="116" t="s">
        <v>76</v>
      </c>
      <c r="B67" s="117" t="s">
        <v>65</v>
      </c>
      <c r="C67" s="101">
        <v>208.0</v>
      </c>
      <c r="D67" s="101">
        <v>391674.63</v>
      </c>
      <c r="E67" s="101">
        <v>60000.0</v>
      </c>
      <c r="F67" s="101">
        <v>50000.0</v>
      </c>
      <c r="G67" s="138">
        <f t="shared" si="1" ref="G67:G130">(C67+D67+E67+F67)</f>
        <v>501882.63</v>
      </c>
    </row>
    <row r="68" spans="8:8">
      <c r="A68" s="116" t="s">
        <v>77</v>
      </c>
      <c r="B68" s="117" t="s">
        <v>65</v>
      </c>
      <c r="C68" s="101">
        <v>247.0</v>
      </c>
      <c r="D68" s="101">
        <v>629395.56</v>
      </c>
      <c r="E68" s="101">
        <v>60000.0</v>
      </c>
      <c r="F68" s="101">
        <v>50000.0</v>
      </c>
      <c r="G68" s="138">
        <f t="shared" si="1"/>
        <v>739642.56</v>
      </c>
    </row>
    <row r="69" spans="8:8">
      <c r="A69" s="116" t="s">
        <v>78</v>
      </c>
      <c r="B69" s="117" t="s">
        <v>65</v>
      </c>
      <c r="C69" s="101">
        <v>286.0</v>
      </c>
      <c r="D69" s="101">
        <v>808190.31</v>
      </c>
      <c r="E69" s="101">
        <v>60000.0</v>
      </c>
      <c r="F69" s="101">
        <v>50000.0</v>
      </c>
      <c r="G69" s="138">
        <f t="shared" si="1"/>
        <v>918476.31</v>
      </c>
    </row>
    <row r="70" spans="8:8">
      <c r="A70" s="116" t="s">
        <v>79</v>
      </c>
      <c r="B70" s="117" t="s">
        <v>65</v>
      </c>
      <c r="C70" s="101">
        <v>325.0</v>
      </c>
      <c r="D70" s="101">
        <v>970056.62</v>
      </c>
      <c r="E70" s="101">
        <v>60000.0</v>
      </c>
      <c r="F70" s="101">
        <v>50000.0</v>
      </c>
      <c r="G70" s="138">
        <f t="shared" si="1"/>
        <v>1080381.62</v>
      </c>
    </row>
    <row r="71" spans="8:8">
      <c r="A71" s="116" t="s">
        <v>80</v>
      </c>
      <c r="B71" s="117" t="s">
        <v>65</v>
      </c>
      <c r="C71" s="101">
        <v>208.0</v>
      </c>
      <c r="D71" s="101">
        <v>342220.76</v>
      </c>
      <c r="E71" s="101">
        <v>60000.0</v>
      </c>
      <c r="F71" s="101">
        <v>50000.0</v>
      </c>
      <c r="G71" s="138">
        <f t="shared" si="1"/>
        <v>452428.76</v>
      </c>
    </row>
    <row r="72" spans="8:8">
      <c r="A72" s="116" t="s">
        <v>81</v>
      </c>
      <c r="B72" s="117" t="s">
        <v>65</v>
      </c>
      <c r="C72" s="101">
        <v>247.0</v>
      </c>
      <c r="D72" s="101">
        <v>629395.56</v>
      </c>
      <c r="E72" s="101">
        <v>60000.0</v>
      </c>
      <c r="F72" s="101">
        <v>50000.0</v>
      </c>
      <c r="G72" s="138">
        <f t="shared" si="1"/>
        <v>739642.56</v>
      </c>
    </row>
    <row r="73" spans="8:8">
      <c r="A73" s="116" t="s">
        <v>82</v>
      </c>
      <c r="B73" s="117" t="s">
        <v>65</v>
      </c>
      <c r="C73" s="101">
        <v>208.0</v>
      </c>
      <c r="D73" s="101">
        <v>651649.8</v>
      </c>
      <c r="E73" s="101">
        <v>60000.0</v>
      </c>
      <c r="F73" s="101">
        <v>50000.0</v>
      </c>
      <c r="G73" s="138">
        <f t="shared" si="1"/>
        <v>761857.8</v>
      </c>
    </row>
    <row r="74" spans="8:8">
      <c r="A74" s="116" t="s">
        <v>83</v>
      </c>
      <c r="B74" s="117" t="s">
        <v>65</v>
      </c>
      <c r="C74" s="101">
        <v>247.0</v>
      </c>
      <c r="D74" s="101">
        <v>1352753.47</v>
      </c>
      <c r="E74" s="101">
        <v>60000.0</v>
      </c>
      <c r="F74" s="101">
        <v>50000.0</v>
      </c>
      <c r="G74" s="138">
        <f t="shared" si="1"/>
        <v>1463000.47</v>
      </c>
    </row>
    <row r="75" spans="8:8">
      <c r="A75" s="116" t="s">
        <v>84</v>
      </c>
      <c r="B75" s="117" t="s">
        <v>65</v>
      </c>
      <c r="C75" s="101">
        <v>247.0</v>
      </c>
      <c r="D75" s="101">
        <v>629395.56</v>
      </c>
      <c r="E75" s="101">
        <v>60000.0</v>
      </c>
      <c r="F75" s="101">
        <v>50000.0</v>
      </c>
      <c r="G75" s="138">
        <f t="shared" si="1"/>
        <v>739642.56</v>
      </c>
    </row>
    <row r="76" spans="8:8">
      <c r="A76" s="116" t="s">
        <v>85</v>
      </c>
      <c r="B76" s="117" t="s">
        <v>65</v>
      </c>
      <c r="C76" s="101">
        <v>247.0</v>
      </c>
      <c r="D76" s="101">
        <v>1352753.47</v>
      </c>
      <c r="E76" s="101">
        <v>60000.0</v>
      </c>
      <c r="F76" s="101">
        <v>50000.0</v>
      </c>
      <c r="G76" s="138">
        <f t="shared" si="1"/>
        <v>1463000.47</v>
      </c>
    </row>
    <row r="77" spans="8:8">
      <c r="A77" s="116" t="s">
        <v>86</v>
      </c>
      <c r="B77" s="117" t="s">
        <v>65</v>
      </c>
      <c r="C77" s="101">
        <v>247.0</v>
      </c>
      <c r="D77" s="101">
        <v>629395.56</v>
      </c>
      <c r="E77" s="101">
        <v>60000.0</v>
      </c>
      <c r="F77" s="101">
        <v>50000.0</v>
      </c>
      <c r="G77" s="138">
        <f t="shared" si="1"/>
        <v>739642.56</v>
      </c>
    </row>
    <row r="78" spans="8:8">
      <c r="A78" s="116" t="s">
        <v>87</v>
      </c>
      <c r="B78" s="117" t="s">
        <v>65</v>
      </c>
      <c r="C78" s="101">
        <v>286.0</v>
      </c>
      <c r="D78" s="101">
        <v>741617.8</v>
      </c>
      <c r="E78" s="101">
        <v>60000.0</v>
      </c>
      <c r="F78" s="101">
        <v>50000.0</v>
      </c>
      <c r="G78" s="138">
        <f t="shared" si="1"/>
        <v>851903.8</v>
      </c>
    </row>
    <row r="79" spans="8:8">
      <c r="A79" s="116" t="s">
        <v>88</v>
      </c>
      <c r="B79" s="117" t="s">
        <v>65</v>
      </c>
      <c r="C79" s="101">
        <v>325.0</v>
      </c>
      <c r="D79" s="101">
        <v>970056.62</v>
      </c>
      <c r="E79" s="101">
        <v>60000.0</v>
      </c>
      <c r="F79" s="101">
        <v>50000.0</v>
      </c>
      <c r="G79" s="138">
        <f t="shared" si="1"/>
        <v>1080381.62</v>
      </c>
    </row>
    <row r="80" spans="8:8">
      <c r="A80" s="116" t="s">
        <v>89</v>
      </c>
      <c r="B80" s="117" t="s">
        <v>65</v>
      </c>
      <c r="C80" s="101">
        <v>364.0</v>
      </c>
      <c r="D80" s="101">
        <v>1229118.8</v>
      </c>
      <c r="E80" s="101">
        <v>60000.0</v>
      </c>
      <c r="F80" s="101">
        <v>50000.0</v>
      </c>
      <c r="G80" s="138">
        <f t="shared" si="1"/>
        <v>1339482.8</v>
      </c>
    </row>
    <row r="81" spans="8:8">
      <c r="A81" s="116" t="s">
        <v>90</v>
      </c>
      <c r="B81" s="117" t="s">
        <v>65</v>
      </c>
      <c r="C81" s="101">
        <v>403.0</v>
      </c>
      <c r="D81" s="101">
        <v>1471252.54</v>
      </c>
      <c r="E81" s="101">
        <v>60000.0</v>
      </c>
      <c r="F81" s="101">
        <v>50000.0</v>
      </c>
      <c r="G81" s="138">
        <f t="shared" si="1"/>
        <v>1581655.54</v>
      </c>
    </row>
    <row r="82" spans="8:8">
      <c r="A82" s="116" t="s">
        <v>91</v>
      </c>
      <c r="B82" s="117" t="s">
        <v>65</v>
      </c>
      <c r="C82" s="101">
        <v>442.0</v>
      </c>
      <c r="D82" s="101">
        <v>1006584.01</v>
      </c>
      <c r="E82" s="101">
        <v>60000.0</v>
      </c>
      <c r="F82" s="101">
        <v>50000.0</v>
      </c>
      <c r="G82" s="138">
        <f t="shared" si="1"/>
        <v>1117026.01</v>
      </c>
    </row>
    <row r="83" spans="8:8">
      <c r="A83" s="116" t="s">
        <v>92</v>
      </c>
      <c r="B83" s="117" t="s">
        <v>65</v>
      </c>
      <c r="C83" s="101">
        <v>208.0</v>
      </c>
      <c r="D83" s="101">
        <v>391674.63</v>
      </c>
      <c r="E83" s="101">
        <v>60000.0</v>
      </c>
      <c r="F83" s="101">
        <v>50000.0</v>
      </c>
      <c r="G83" s="138">
        <f t="shared" si="1"/>
        <v>501882.63</v>
      </c>
    </row>
    <row r="84" spans="8:8">
      <c r="A84" s="116" t="s">
        <v>93</v>
      </c>
      <c r="B84" s="117" t="s">
        <v>65</v>
      </c>
      <c r="C84" s="101">
        <v>247.0</v>
      </c>
      <c r="D84" s="101">
        <v>657926.64</v>
      </c>
      <c r="E84" s="101">
        <v>60000.0</v>
      </c>
      <c r="F84" s="101">
        <v>50000.0</v>
      </c>
      <c r="G84" s="138">
        <f t="shared" si="1"/>
        <v>768173.64</v>
      </c>
    </row>
    <row r="85" spans="8:8">
      <c r="A85" s="116" t="s">
        <v>94</v>
      </c>
      <c r="B85" s="117" t="s">
        <v>65</v>
      </c>
      <c r="C85" s="101">
        <v>325.0</v>
      </c>
      <c r="D85" s="101">
        <v>848799.54</v>
      </c>
      <c r="E85" s="101">
        <v>60000.0</v>
      </c>
      <c r="F85" s="101">
        <v>50000.0</v>
      </c>
      <c r="G85" s="138">
        <f t="shared" si="1"/>
        <v>959124.54</v>
      </c>
    </row>
    <row r="86" spans="8:8">
      <c r="A86" s="116" t="s">
        <v>95</v>
      </c>
      <c r="B86" s="117" t="s">
        <v>65</v>
      </c>
      <c r="C86" s="101">
        <v>247.0</v>
      </c>
      <c r="D86" s="101">
        <v>1114423.87</v>
      </c>
      <c r="E86" s="101">
        <v>60000.0</v>
      </c>
      <c r="F86" s="101">
        <v>50000.0</v>
      </c>
      <c r="G86" s="138">
        <f t="shared" si="1"/>
        <v>1224670.87</v>
      </c>
    </row>
    <row r="87" spans="8:8">
      <c r="A87" s="116" t="s">
        <v>96</v>
      </c>
      <c r="B87" s="117" t="s">
        <v>65</v>
      </c>
      <c r="C87" s="101">
        <v>325.0</v>
      </c>
      <c r="D87" s="101">
        <v>1381379.65</v>
      </c>
      <c r="E87" s="101">
        <v>60000.0</v>
      </c>
      <c r="F87" s="101">
        <v>50000.0</v>
      </c>
      <c r="G87" s="138">
        <f t="shared" si="1"/>
        <v>1491704.65</v>
      </c>
    </row>
    <row r="88" spans="8:8">
      <c r="A88" s="116" t="s">
        <v>97</v>
      </c>
      <c r="B88" s="117" t="s">
        <v>65</v>
      </c>
      <c r="C88" s="101">
        <v>208.0</v>
      </c>
      <c r="D88" s="101">
        <v>490582.36</v>
      </c>
      <c r="E88" s="101">
        <v>60000.0</v>
      </c>
      <c r="F88" s="101">
        <v>50000.0</v>
      </c>
      <c r="G88" s="138">
        <f t="shared" si="1"/>
        <v>600790.36</v>
      </c>
    </row>
    <row r="89" spans="8:8">
      <c r="A89" s="116" t="s">
        <v>98</v>
      </c>
      <c r="B89" s="117" t="s">
        <v>65</v>
      </c>
      <c r="C89" s="101">
        <v>247.0</v>
      </c>
      <c r="D89" s="101">
        <v>657926.64</v>
      </c>
      <c r="E89" s="101">
        <v>60000.0</v>
      </c>
      <c r="F89" s="101">
        <v>50000.0</v>
      </c>
      <c r="G89" s="138">
        <f t="shared" si="1"/>
        <v>768173.64</v>
      </c>
    </row>
    <row r="90" spans="8:8">
      <c r="A90" s="116" t="s">
        <v>99</v>
      </c>
      <c r="B90" s="117" t="s">
        <v>65</v>
      </c>
      <c r="C90" s="101">
        <v>325.0</v>
      </c>
      <c r="D90" s="101">
        <v>848799.54</v>
      </c>
      <c r="E90" s="101">
        <v>60000.0</v>
      </c>
      <c r="F90" s="101">
        <v>50000.0</v>
      </c>
      <c r="G90" s="138">
        <f t="shared" si="1"/>
        <v>959124.54</v>
      </c>
    </row>
    <row r="91" spans="8:8">
      <c r="A91" s="116" t="s">
        <v>100</v>
      </c>
      <c r="B91" s="117" t="s">
        <v>65</v>
      </c>
      <c r="C91" s="101">
        <v>403.0</v>
      </c>
      <c r="D91" s="101">
        <v>1328597.16</v>
      </c>
      <c r="E91" s="101">
        <v>60000.0</v>
      </c>
      <c r="F91" s="101">
        <v>50000.0</v>
      </c>
      <c r="G91" s="138">
        <f t="shared" si="1"/>
        <v>1439000.16</v>
      </c>
    </row>
    <row r="92" spans="8:8">
      <c r="A92" s="116" t="s">
        <v>101</v>
      </c>
      <c r="B92" s="117" t="s">
        <v>65</v>
      </c>
      <c r="C92" s="101">
        <v>442.0</v>
      </c>
      <c r="D92" s="101">
        <v>957130.14</v>
      </c>
      <c r="E92" s="101">
        <v>60000.0</v>
      </c>
      <c r="F92" s="101">
        <v>50000.0</v>
      </c>
      <c r="G92" s="138">
        <f t="shared" si="1"/>
        <v>1067572.1400000001</v>
      </c>
    </row>
    <row r="93" spans="8:8">
      <c r="A93" s="116" t="s">
        <v>102</v>
      </c>
      <c r="B93" s="117" t="s">
        <v>65</v>
      </c>
      <c r="C93" s="101">
        <v>247.0</v>
      </c>
      <c r="D93" s="101">
        <v>543802.33</v>
      </c>
      <c r="E93" s="101">
        <v>60000.0</v>
      </c>
      <c r="F93" s="101">
        <v>50000.0</v>
      </c>
      <c r="G93" s="138">
        <f t="shared" si="1"/>
        <v>654049.33</v>
      </c>
    </row>
    <row r="94" spans="8:8">
      <c r="A94" s="116" t="s">
        <v>103</v>
      </c>
      <c r="B94" s="117" t="s">
        <v>65</v>
      </c>
      <c r="C94" s="101">
        <v>208.0</v>
      </c>
      <c r="D94" s="101">
        <v>391674.63</v>
      </c>
      <c r="E94" s="101">
        <v>60000.0</v>
      </c>
      <c r="F94" s="101">
        <v>50000.0</v>
      </c>
      <c r="G94" s="138">
        <f t="shared" si="1"/>
        <v>501882.63</v>
      </c>
    </row>
    <row r="95" spans="8:8">
      <c r="A95" s="116" t="s">
        <v>104</v>
      </c>
      <c r="B95" s="117" t="s">
        <v>65</v>
      </c>
      <c r="C95" s="101">
        <v>247.0</v>
      </c>
      <c r="D95" s="101">
        <v>657926.64</v>
      </c>
      <c r="E95" s="101">
        <v>60000.0</v>
      </c>
      <c r="F95" s="101">
        <v>50000.0</v>
      </c>
      <c r="G95" s="138">
        <f t="shared" si="1"/>
        <v>768173.64</v>
      </c>
    </row>
    <row r="96" spans="8:8">
      <c r="A96" s="116" t="s">
        <v>105</v>
      </c>
      <c r="B96" s="117" t="s">
        <v>65</v>
      </c>
      <c r="C96" s="101">
        <v>286.0</v>
      </c>
      <c r="D96" s="101">
        <v>874762.82</v>
      </c>
      <c r="E96" s="101">
        <v>60000.0</v>
      </c>
      <c r="F96" s="101">
        <v>50000.0</v>
      </c>
      <c r="G96" s="138">
        <f t="shared" si="1"/>
        <v>985048.82</v>
      </c>
    </row>
    <row r="97" spans="8:8">
      <c r="A97" s="116" t="s">
        <v>106</v>
      </c>
      <c r="B97" s="117" t="s">
        <v>65</v>
      </c>
      <c r="C97" s="101">
        <v>208.0</v>
      </c>
      <c r="D97" s="101">
        <v>391674.63</v>
      </c>
      <c r="E97" s="101">
        <v>60000.0</v>
      </c>
      <c r="F97" s="101">
        <v>50000.0</v>
      </c>
      <c r="G97" s="138">
        <f t="shared" si="1"/>
        <v>501882.63</v>
      </c>
    </row>
    <row r="98" spans="8:8">
      <c r="A98" s="116" t="s">
        <v>107</v>
      </c>
      <c r="B98" s="117" t="s">
        <v>65</v>
      </c>
      <c r="C98" s="101">
        <v>247.0</v>
      </c>
      <c r="D98" s="101">
        <v>657926.64</v>
      </c>
      <c r="E98" s="101">
        <v>60000.0</v>
      </c>
      <c r="F98" s="101">
        <v>50000.0</v>
      </c>
      <c r="G98" s="138">
        <f t="shared" si="1"/>
        <v>768173.64</v>
      </c>
    </row>
    <row r="99" spans="8:8">
      <c r="A99" s="116" t="s">
        <v>108</v>
      </c>
      <c r="B99" s="117" t="s">
        <v>65</v>
      </c>
      <c r="C99" s="101">
        <v>247.0</v>
      </c>
      <c r="D99" s="101">
        <v>543802.33</v>
      </c>
      <c r="E99" s="101">
        <v>60000.0</v>
      </c>
      <c r="F99" s="101">
        <v>50000.0</v>
      </c>
      <c r="G99" s="138">
        <f t="shared" si="1"/>
        <v>654049.33</v>
      </c>
    </row>
    <row r="100" spans="8:8">
      <c r="A100" s="116" t="s">
        <v>109</v>
      </c>
      <c r="B100" s="117" t="s">
        <v>65</v>
      </c>
      <c r="C100" s="101">
        <v>286.0</v>
      </c>
      <c r="D100" s="101">
        <v>808190.31</v>
      </c>
      <c r="E100" s="101">
        <v>60000.0</v>
      </c>
      <c r="F100" s="101">
        <v>50000.0</v>
      </c>
      <c r="G100" s="138">
        <f t="shared" si="1"/>
        <v>918476.31</v>
      </c>
    </row>
    <row r="101" spans="8:8">
      <c r="A101" s="116" t="s">
        <v>110</v>
      </c>
      <c r="B101" s="117" t="s">
        <v>65</v>
      </c>
      <c r="C101" s="101">
        <v>300000.0</v>
      </c>
      <c r="D101" s="101">
        <v>372872.65</v>
      </c>
      <c r="E101" s="101">
        <v>60000.0</v>
      </c>
      <c r="F101" s="101">
        <v>50000.0</v>
      </c>
      <c r="G101" s="138">
        <f t="shared" si="1"/>
        <v>782872.65</v>
      </c>
      <c r="H101" s="139">
        <v>600000.0</v>
      </c>
    </row>
    <row r="102" spans="8:8">
      <c r="A102" s="116" t="s">
        <v>111</v>
      </c>
      <c r="B102" s="117" t="s">
        <v>65</v>
      </c>
      <c r="C102" s="101">
        <v>208.0</v>
      </c>
      <c r="D102" s="101">
        <v>342220.76</v>
      </c>
      <c r="E102" s="101">
        <v>60000.0</v>
      </c>
      <c r="F102" s="101">
        <v>50000.0</v>
      </c>
      <c r="G102" s="138">
        <f t="shared" si="1"/>
        <v>452428.76</v>
      </c>
      <c r="H102" s="158">
        <v>851903.8</v>
      </c>
    </row>
    <row r="103" spans="8:8">
      <c r="A103" s="116" t="s">
        <v>112</v>
      </c>
      <c r="B103" s="117" t="s">
        <v>65</v>
      </c>
      <c r="C103" s="101">
        <v>247.0</v>
      </c>
      <c r="D103" s="101">
        <v>566056.57</v>
      </c>
      <c r="E103" s="101">
        <v>60000.0</v>
      </c>
      <c r="F103" s="101">
        <v>50000.0</v>
      </c>
      <c r="G103" s="138">
        <f t="shared" si="1"/>
        <v>676303.57</v>
      </c>
      <c r="H103" s="158">
        <v>739642.56</v>
      </c>
    </row>
    <row r="104" spans="8:8">
      <c r="A104" s="116" t="s">
        <v>113</v>
      </c>
      <c r="B104" s="117" t="s">
        <v>65</v>
      </c>
      <c r="C104" s="101">
        <v>286.0</v>
      </c>
      <c r="D104" s="101">
        <v>734294.82</v>
      </c>
      <c r="E104" s="101">
        <v>60000.0</v>
      </c>
      <c r="F104" s="101">
        <v>50000.0</v>
      </c>
      <c r="G104" s="138">
        <f t="shared" si="1"/>
        <v>844580.82</v>
      </c>
    </row>
    <row r="105" spans="8:8">
      <c r="A105" s="116" t="s">
        <v>114</v>
      </c>
      <c r="B105" s="117" t="s">
        <v>65</v>
      </c>
      <c r="C105" s="101">
        <v>208.0</v>
      </c>
      <c r="D105" s="101">
        <v>303646.74</v>
      </c>
      <c r="E105" s="101">
        <v>60000.0</v>
      </c>
      <c r="F105" s="101">
        <v>50000.0</v>
      </c>
      <c r="G105" s="138">
        <f t="shared" si="1"/>
        <v>413854.74</v>
      </c>
      <c r="H105" s="152">
        <f>SUM(H101:H103)</f>
        <v>2191546.3600000003</v>
      </c>
    </row>
    <row r="106" spans="8:8">
      <c r="A106" s="116" t="s">
        <v>115</v>
      </c>
      <c r="B106" s="117" t="s">
        <v>65</v>
      </c>
      <c r="C106" s="101">
        <v>247.0</v>
      </c>
      <c r="D106" s="101">
        <v>651649.8</v>
      </c>
      <c r="E106" s="101">
        <v>60000.0</v>
      </c>
      <c r="F106" s="101">
        <v>50000.0</v>
      </c>
      <c r="G106" s="138">
        <f t="shared" si="1"/>
        <v>761896.8</v>
      </c>
    </row>
    <row r="107" spans="8:8">
      <c r="A107" s="116" t="s">
        <v>116</v>
      </c>
      <c r="B107" s="117" t="s">
        <v>65</v>
      </c>
      <c r="C107" s="101">
        <v>286.0</v>
      </c>
      <c r="D107" s="101">
        <v>867439.85</v>
      </c>
      <c r="E107" s="101">
        <v>60000.0</v>
      </c>
      <c r="F107" s="101">
        <v>50000.0</v>
      </c>
      <c r="G107" s="138">
        <f t="shared" si="1"/>
        <v>977725.85</v>
      </c>
    </row>
    <row r="108" spans="8:8">
      <c r="A108" s="116" t="s">
        <v>117</v>
      </c>
      <c r="B108" s="117" t="s">
        <v>65</v>
      </c>
      <c r="C108" s="101">
        <v>247.0</v>
      </c>
      <c r="D108" s="101">
        <v>635672.4</v>
      </c>
      <c r="E108" s="101">
        <v>60000.0</v>
      </c>
      <c r="F108" s="101">
        <v>50000.0</v>
      </c>
      <c r="G108" s="138">
        <f t="shared" si="1"/>
        <v>745919.4</v>
      </c>
    </row>
    <row r="109" spans="8:8">
      <c r="A109" s="116" t="s">
        <v>118</v>
      </c>
      <c r="B109" s="117" t="s">
        <v>65</v>
      </c>
      <c r="C109" s="101">
        <v>208.0</v>
      </c>
      <c r="D109" s="101">
        <v>322933.75</v>
      </c>
      <c r="E109" s="101">
        <v>60000.0</v>
      </c>
      <c r="F109" s="101">
        <v>50000.0</v>
      </c>
      <c r="G109" s="138">
        <f t="shared" si="1"/>
        <v>433141.75</v>
      </c>
    </row>
    <row r="110" spans="8:8">
      <c r="A110" s="116" t="s">
        <v>119</v>
      </c>
      <c r="B110" s="117" t="s">
        <v>65</v>
      </c>
      <c r="C110" s="101">
        <v>247.0</v>
      </c>
      <c r="D110" s="101">
        <v>651649.8</v>
      </c>
      <c r="E110" s="101">
        <v>60000.0</v>
      </c>
      <c r="F110" s="101">
        <v>50000.0</v>
      </c>
      <c r="G110" s="138">
        <f t="shared" si="1"/>
        <v>761896.8</v>
      </c>
    </row>
    <row r="111" spans="8:8">
      <c r="A111" s="116" t="s">
        <v>120</v>
      </c>
      <c r="B111" s="117" t="s">
        <v>65</v>
      </c>
      <c r="C111" s="101">
        <v>208.0</v>
      </c>
      <c r="D111" s="101">
        <v>629395.56</v>
      </c>
      <c r="E111" s="101">
        <v>60000.0</v>
      </c>
      <c r="F111" s="101">
        <v>50000.0</v>
      </c>
      <c r="G111" s="138">
        <f t="shared" si="1"/>
        <v>739603.56</v>
      </c>
    </row>
    <row r="112" spans="8:8">
      <c r="A112" s="116" t="s">
        <v>121</v>
      </c>
      <c r="B112" s="117" t="s">
        <v>65</v>
      </c>
      <c r="C112" s="101">
        <v>247.0</v>
      </c>
      <c r="D112" s="101">
        <v>1382425.79</v>
      </c>
      <c r="E112" s="101">
        <v>60000.0</v>
      </c>
      <c r="F112" s="101">
        <v>50000.0</v>
      </c>
      <c r="G112" s="138">
        <f t="shared" si="1"/>
        <v>1492672.79</v>
      </c>
    </row>
    <row r="113" spans="8:8">
      <c r="A113" s="116" t="s">
        <v>122</v>
      </c>
      <c r="B113" s="117" t="s">
        <v>65</v>
      </c>
      <c r="C113" s="101">
        <v>208.0</v>
      </c>
      <c r="D113" s="101">
        <v>372387.62</v>
      </c>
      <c r="E113" s="101">
        <v>60000.0</v>
      </c>
      <c r="F113" s="101">
        <v>50000.0</v>
      </c>
      <c r="G113" s="138">
        <f t="shared" si="1"/>
        <v>482595.62</v>
      </c>
    </row>
    <row r="114" spans="8:8">
      <c r="A114" s="116" t="s">
        <v>123</v>
      </c>
      <c r="B114" s="117" t="s">
        <v>65</v>
      </c>
      <c r="C114" s="101">
        <v>247.0</v>
      </c>
      <c r="D114" s="101">
        <v>680180.88</v>
      </c>
      <c r="E114" s="101">
        <v>60000.0</v>
      </c>
      <c r="F114" s="101">
        <v>50000.0</v>
      </c>
      <c r="G114" s="138">
        <f t="shared" si="1"/>
        <v>790427.88</v>
      </c>
    </row>
    <row r="115" spans="8:8">
      <c r="A115" s="116" t="s">
        <v>124</v>
      </c>
      <c r="B115" s="117" t="s">
        <v>65</v>
      </c>
      <c r="C115" s="101">
        <v>286.0</v>
      </c>
      <c r="D115" s="101">
        <v>900726.1</v>
      </c>
      <c r="E115" s="101">
        <v>60000.0</v>
      </c>
      <c r="F115" s="101">
        <v>50000.0</v>
      </c>
      <c r="G115" s="138">
        <f t="shared" si="1"/>
        <v>1011012.1</v>
      </c>
    </row>
    <row r="116" spans="8:8">
      <c r="A116" s="116" t="s">
        <v>125</v>
      </c>
      <c r="B116" s="117" t="s">
        <v>65</v>
      </c>
      <c r="C116" s="101">
        <v>325.0</v>
      </c>
      <c r="D116" s="101">
        <v>1151894.69</v>
      </c>
      <c r="E116" s="101">
        <v>60000.0</v>
      </c>
      <c r="F116" s="101">
        <v>50000.0</v>
      </c>
      <c r="G116" s="138">
        <f t="shared" si="1"/>
        <v>1262219.69</v>
      </c>
    </row>
    <row r="117" spans="8:8">
      <c r="A117" s="116" t="s">
        <v>126</v>
      </c>
      <c r="B117" s="117" t="s">
        <v>65</v>
      </c>
      <c r="C117" s="101">
        <v>364.0</v>
      </c>
      <c r="D117" s="101">
        <v>1433686.63</v>
      </c>
      <c r="E117" s="101">
        <v>60000.0</v>
      </c>
      <c r="F117" s="101">
        <v>50000.0</v>
      </c>
      <c r="G117" s="138">
        <f t="shared" si="1"/>
        <v>1544050.63</v>
      </c>
    </row>
    <row r="118" spans="8:8">
      <c r="A118" s="116" t="s">
        <v>127</v>
      </c>
      <c r="B118" s="117" t="s">
        <v>65</v>
      </c>
      <c r="C118" s="101">
        <v>208.0</v>
      </c>
      <c r="D118" s="101">
        <v>265072.73</v>
      </c>
      <c r="E118" s="101">
        <v>60000.0</v>
      </c>
      <c r="F118" s="101">
        <v>50000.0</v>
      </c>
      <c r="G118" s="138">
        <f t="shared" si="1"/>
        <v>375280.73</v>
      </c>
    </row>
    <row r="119" spans="8:8">
      <c r="A119" s="116" t="s">
        <v>128</v>
      </c>
      <c r="B119" s="117" t="s">
        <v>65</v>
      </c>
      <c r="C119" s="101">
        <v>247.0</v>
      </c>
      <c r="D119" s="101">
        <v>868866.4</v>
      </c>
      <c r="E119" s="101">
        <v>60000.0</v>
      </c>
      <c r="F119" s="101">
        <v>50000.0</v>
      </c>
      <c r="G119" s="138">
        <f t="shared" si="1"/>
        <v>979113.4</v>
      </c>
    </row>
    <row r="120" spans="8:8">
      <c r="A120" s="116" t="s">
        <v>129</v>
      </c>
      <c r="B120" s="117" t="s">
        <v>65</v>
      </c>
      <c r="C120" s="101">
        <v>286.0</v>
      </c>
      <c r="D120" s="101">
        <v>1334303.37</v>
      </c>
      <c r="E120" s="101">
        <v>60000.0</v>
      </c>
      <c r="F120" s="101">
        <v>50000.0</v>
      </c>
      <c r="G120" s="138">
        <f t="shared" si="1"/>
        <v>1444589.37</v>
      </c>
    </row>
    <row r="121" spans="8:8">
      <c r="A121" s="116" t="s">
        <v>130</v>
      </c>
      <c r="B121" s="117" t="s">
        <v>65</v>
      </c>
      <c r="C121" s="101">
        <v>325.0</v>
      </c>
      <c r="D121" s="101">
        <v>1899028.49</v>
      </c>
      <c r="E121" s="101">
        <v>60000.0</v>
      </c>
      <c r="F121" s="101">
        <v>50000.0</v>
      </c>
      <c r="G121" s="138">
        <f t="shared" si="1"/>
        <v>2009353.49</v>
      </c>
    </row>
    <row r="122" spans="8:8">
      <c r="A122" s="116" t="s">
        <v>131</v>
      </c>
      <c r="B122" s="117" t="s">
        <v>65</v>
      </c>
      <c r="C122" s="101">
        <v>364.0</v>
      </c>
      <c r="D122" s="101">
        <v>2363324.22</v>
      </c>
      <c r="E122" s="101">
        <v>60000.0</v>
      </c>
      <c r="F122" s="101">
        <v>50000.0</v>
      </c>
      <c r="G122" s="138">
        <f t="shared" si="1"/>
        <v>2473688.22</v>
      </c>
    </row>
    <row r="123" spans="8:8">
      <c r="A123" s="116" t="s">
        <v>132</v>
      </c>
      <c r="B123" s="117" t="s">
        <v>65</v>
      </c>
      <c r="C123" s="101">
        <v>208.0</v>
      </c>
      <c r="D123" s="101">
        <v>265072.73</v>
      </c>
      <c r="E123" s="101">
        <v>60000.0</v>
      </c>
      <c r="F123" s="101">
        <v>50000.0</v>
      </c>
      <c r="G123" s="138">
        <f t="shared" si="1"/>
        <v>375280.73</v>
      </c>
    </row>
    <row r="124" spans="8:8">
      <c r="A124" s="116" t="s">
        <v>133</v>
      </c>
      <c r="B124" s="117" t="s">
        <v>65</v>
      </c>
      <c r="C124" s="101">
        <v>247.0</v>
      </c>
      <c r="D124" s="101">
        <v>651649.8</v>
      </c>
      <c r="E124" s="101">
        <v>60000.0</v>
      </c>
      <c r="F124" s="101">
        <v>50000.0</v>
      </c>
      <c r="G124" s="138">
        <f t="shared" si="1"/>
        <v>761896.8</v>
      </c>
    </row>
    <row r="125" spans="8:8">
      <c r="A125" s="116" t="s">
        <v>134</v>
      </c>
      <c r="B125" s="117" t="s">
        <v>65</v>
      </c>
      <c r="C125" s="101">
        <v>286.0</v>
      </c>
      <c r="D125" s="101">
        <v>934012.36</v>
      </c>
      <c r="E125" s="101">
        <v>60000.0</v>
      </c>
      <c r="F125" s="101">
        <v>50000.0</v>
      </c>
      <c r="G125" s="138">
        <f t="shared" si="1"/>
        <v>1044298.36</v>
      </c>
    </row>
    <row r="126" spans="8:8">
      <c r="A126" s="116" t="s">
        <v>135</v>
      </c>
      <c r="B126" s="117" t="s">
        <v>65</v>
      </c>
      <c r="C126" s="101">
        <v>208.0</v>
      </c>
      <c r="D126" s="101">
        <v>303646.74</v>
      </c>
      <c r="E126" s="101">
        <v>60000.0</v>
      </c>
      <c r="F126" s="101">
        <v>50000.0</v>
      </c>
      <c r="G126" s="138">
        <f t="shared" si="1"/>
        <v>413854.74</v>
      </c>
    </row>
    <row r="127" spans="8:8">
      <c r="A127" s="116" t="s">
        <v>136</v>
      </c>
      <c r="B127" s="117" t="s">
        <v>65</v>
      </c>
      <c r="C127" s="101">
        <v>247.0</v>
      </c>
      <c r="D127" s="101">
        <v>651649.8</v>
      </c>
      <c r="E127" s="101">
        <v>60000.0</v>
      </c>
      <c r="F127" s="101">
        <v>50000.0</v>
      </c>
      <c r="G127" s="138">
        <f t="shared" si="1"/>
        <v>761896.8</v>
      </c>
    </row>
    <row r="128" spans="8:8">
      <c r="A128" s="116" t="s">
        <v>137</v>
      </c>
      <c r="B128" s="117" t="s">
        <v>65</v>
      </c>
      <c r="C128" s="101">
        <v>208.0</v>
      </c>
      <c r="D128" s="101">
        <v>545476.15</v>
      </c>
      <c r="E128" s="101">
        <v>60000.0</v>
      </c>
      <c r="F128" s="101">
        <v>50000.0</v>
      </c>
      <c r="G128" s="138">
        <f t="shared" si="1"/>
        <v>655684.15</v>
      </c>
    </row>
    <row r="129" spans="8:8">
      <c r="A129" s="116" t="s">
        <v>138</v>
      </c>
      <c r="B129" s="117" t="s">
        <v>65</v>
      </c>
      <c r="C129" s="101">
        <v>247.0</v>
      </c>
      <c r="D129" s="101">
        <v>1036819.34</v>
      </c>
      <c r="E129" s="101">
        <v>60000.0</v>
      </c>
      <c r="F129" s="101">
        <v>50000.0</v>
      </c>
      <c r="G129" s="138">
        <f t="shared" si="1"/>
        <v>1147066.3399999999</v>
      </c>
    </row>
    <row r="130" spans="8:8">
      <c r="A130" s="116" t="s">
        <v>139</v>
      </c>
      <c r="B130" s="117" t="s">
        <v>65</v>
      </c>
      <c r="C130" s="101">
        <v>208.0</v>
      </c>
      <c r="D130" s="101">
        <v>342220.76</v>
      </c>
      <c r="E130" s="101">
        <v>60000.0</v>
      </c>
      <c r="F130" s="101">
        <v>50000.0</v>
      </c>
      <c r="G130" s="138">
        <f t="shared" si="1"/>
        <v>452428.76</v>
      </c>
    </row>
    <row r="131" spans="8:8">
      <c r="A131" s="116" t="s">
        <v>140</v>
      </c>
      <c r="B131" s="117" t="s">
        <v>65</v>
      </c>
      <c r="C131" s="101">
        <v>247.0</v>
      </c>
      <c r="D131" s="101">
        <v>629395.56</v>
      </c>
      <c r="E131" s="101">
        <v>60000.0</v>
      </c>
      <c r="F131" s="101">
        <v>50000.0</v>
      </c>
      <c r="G131" s="138">
        <f t="shared" si="2" ref="G131:G194">(C131+D131+E131+F131)</f>
        <v>739642.56</v>
      </c>
    </row>
    <row r="132" spans="8:8">
      <c r="A132" s="116" t="s">
        <v>141</v>
      </c>
      <c r="B132" s="117" t="s">
        <v>65</v>
      </c>
      <c r="C132" s="101">
        <v>286.0</v>
      </c>
      <c r="D132" s="101">
        <v>908049.08</v>
      </c>
      <c r="E132" s="101">
        <v>60000.0</v>
      </c>
      <c r="F132" s="101">
        <v>50000.0</v>
      </c>
      <c r="G132" s="138">
        <f t="shared" si="2"/>
        <v>1018335.08</v>
      </c>
    </row>
    <row r="133" spans="8:8">
      <c r="A133" s="116" t="s">
        <v>142</v>
      </c>
      <c r="B133" s="117" t="s">
        <v>65</v>
      </c>
      <c r="C133" s="101">
        <v>208.0</v>
      </c>
      <c r="D133" s="101">
        <v>564763.16</v>
      </c>
      <c r="E133" s="101">
        <v>60000.0</v>
      </c>
      <c r="F133" s="101">
        <v>50000.0</v>
      </c>
      <c r="G133" s="138">
        <f t="shared" si="2"/>
        <v>674971.16</v>
      </c>
    </row>
    <row r="134" spans="8:8">
      <c r="A134" s="116" t="s">
        <v>143</v>
      </c>
      <c r="B134" s="117" t="s">
        <v>65</v>
      </c>
      <c r="C134" s="101">
        <v>247.0</v>
      </c>
      <c r="D134" s="101">
        <v>607141.32</v>
      </c>
      <c r="E134" s="101">
        <v>60000.0</v>
      </c>
      <c r="F134" s="101">
        <v>50000.0</v>
      </c>
      <c r="G134" s="138">
        <f t="shared" si="2"/>
        <v>717388.32</v>
      </c>
    </row>
    <row r="135" spans="8:8">
      <c r="A135" s="116" t="s">
        <v>144</v>
      </c>
      <c r="B135" s="117" t="s">
        <v>65</v>
      </c>
      <c r="C135" s="101">
        <v>286.0</v>
      </c>
      <c r="D135" s="101">
        <v>1037770.38</v>
      </c>
      <c r="E135" s="101">
        <v>60000.0</v>
      </c>
      <c r="F135" s="101">
        <v>50000.0</v>
      </c>
      <c r="G135" s="138">
        <f t="shared" si="2"/>
        <v>1148056.38</v>
      </c>
    </row>
    <row r="136" spans="8:8">
      <c r="A136" s="116" t="s">
        <v>145</v>
      </c>
      <c r="B136" s="117" t="s">
        <v>65</v>
      </c>
      <c r="C136" s="101">
        <v>208.0</v>
      </c>
      <c r="D136" s="101">
        <v>342220.76</v>
      </c>
      <c r="E136" s="101">
        <v>60000.0</v>
      </c>
      <c r="F136" s="101">
        <v>50000.0</v>
      </c>
      <c r="G136" s="138">
        <f t="shared" si="2"/>
        <v>452428.76</v>
      </c>
    </row>
    <row r="137" spans="8:8">
      <c r="A137" s="116" t="s">
        <v>146</v>
      </c>
      <c r="B137" s="117" t="s">
        <v>65</v>
      </c>
      <c r="C137" s="101">
        <v>247.0</v>
      </c>
      <c r="D137" s="101">
        <v>629395.56</v>
      </c>
      <c r="E137" s="101">
        <v>60000.0</v>
      </c>
      <c r="F137" s="101">
        <v>50000.0</v>
      </c>
      <c r="G137" s="138">
        <f t="shared" si="2"/>
        <v>739642.56</v>
      </c>
    </row>
    <row r="138" spans="8:8">
      <c r="A138" s="116" t="s">
        <v>147</v>
      </c>
      <c r="B138" s="117" t="s">
        <v>65</v>
      </c>
      <c r="C138" s="101">
        <v>286.0</v>
      </c>
      <c r="D138" s="101">
        <v>908049.08</v>
      </c>
      <c r="E138" s="101">
        <v>60000.0</v>
      </c>
      <c r="F138" s="101">
        <v>50000.0</v>
      </c>
      <c r="G138" s="138">
        <f t="shared" si="2"/>
        <v>1018335.08</v>
      </c>
    </row>
    <row r="139" spans="8:8">
      <c r="A139" s="116" t="s">
        <v>148</v>
      </c>
      <c r="B139" s="117" t="s">
        <v>65</v>
      </c>
      <c r="C139" s="101">
        <v>247.0</v>
      </c>
      <c r="D139" s="101">
        <v>629395.56</v>
      </c>
      <c r="E139" s="101">
        <v>60000.0</v>
      </c>
      <c r="F139" s="101">
        <v>50000.0</v>
      </c>
      <c r="G139" s="138">
        <f t="shared" si="2"/>
        <v>739642.56</v>
      </c>
    </row>
    <row r="140" spans="8:8">
      <c r="A140" s="116" t="s">
        <v>149</v>
      </c>
      <c r="B140" s="117" t="s">
        <v>65</v>
      </c>
      <c r="C140" s="101">
        <v>286.0</v>
      </c>
      <c r="D140" s="101">
        <v>908049.08</v>
      </c>
      <c r="E140" s="101">
        <v>60000.0</v>
      </c>
      <c r="F140" s="101">
        <v>50000.0</v>
      </c>
      <c r="G140" s="138">
        <f t="shared" si="2"/>
        <v>1018335.08</v>
      </c>
    </row>
    <row r="141" spans="8:8">
      <c r="A141" s="116" t="s">
        <v>150</v>
      </c>
      <c r="B141" s="117" t="s">
        <v>65</v>
      </c>
      <c r="C141" s="101">
        <v>403.0</v>
      </c>
      <c r="D141" s="101">
        <v>1542580.24</v>
      </c>
      <c r="E141" s="101">
        <v>60000.0</v>
      </c>
      <c r="F141" s="101">
        <v>50000.0</v>
      </c>
      <c r="G141" s="138">
        <f t="shared" si="2"/>
        <v>1652983.24</v>
      </c>
    </row>
    <row r="142" spans="8:8">
      <c r="A142" s="116" t="s">
        <v>151</v>
      </c>
      <c r="B142" s="117" t="s">
        <v>65</v>
      </c>
      <c r="C142" s="101">
        <v>247.0</v>
      </c>
      <c r="D142" s="101">
        <v>1638064.24</v>
      </c>
      <c r="E142" s="101">
        <v>60000.0</v>
      </c>
      <c r="F142" s="101">
        <v>50000.0</v>
      </c>
      <c r="G142" s="138">
        <f t="shared" si="2"/>
        <v>1748311.24</v>
      </c>
    </row>
    <row r="143" spans="8:8">
      <c r="A143" s="116" t="s">
        <v>152</v>
      </c>
      <c r="B143" s="117" t="s">
        <v>65</v>
      </c>
      <c r="C143" s="101">
        <v>286.0</v>
      </c>
      <c r="D143" s="101">
        <v>2295800.67</v>
      </c>
      <c r="E143" s="101">
        <v>60000.0</v>
      </c>
      <c r="F143" s="101">
        <v>50000.0</v>
      </c>
      <c r="G143" s="138">
        <f t="shared" si="2"/>
        <v>2406086.67</v>
      </c>
    </row>
    <row r="144" spans="8:8">
      <c r="A144" s="116" t="s">
        <v>153</v>
      </c>
      <c r="B144" s="117" t="s">
        <v>65</v>
      </c>
      <c r="C144" s="101">
        <v>403.0</v>
      </c>
      <c r="D144" s="101">
        <v>4445712.44</v>
      </c>
      <c r="E144" s="101">
        <v>60000.0</v>
      </c>
      <c r="F144" s="101">
        <v>50000.0</v>
      </c>
      <c r="G144" s="138">
        <f t="shared" si="2"/>
        <v>4556115.44</v>
      </c>
    </row>
    <row r="145" spans="8:8">
      <c r="A145" s="116" t="s">
        <v>154</v>
      </c>
      <c r="B145" s="117" t="s">
        <v>65</v>
      </c>
      <c r="C145" s="101">
        <v>800.0</v>
      </c>
      <c r="D145" s="101">
        <v>98907.73</v>
      </c>
      <c r="E145" s="101">
        <v>60000.0</v>
      </c>
      <c r="F145" s="101">
        <v>50000.0</v>
      </c>
      <c r="G145" s="138">
        <f t="shared" si="2"/>
        <v>209707.72999999998</v>
      </c>
    </row>
    <row r="146" spans="8:8">
      <c r="A146" s="116" t="s">
        <v>155</v>
      </c>
      <c r="B146" s="117" t="s">
        <v>65</v>
      </c>
      <c r="C146" s="101">
        <v>208.0</v>
      </c>
      <c r="D146" s="101">
        <v>391674.63</v>
      </c>
      <c r="E146" s="101">
        <v>60000.0</v>
      </c>
      <c r="F146" s="101">
        <v>50000.0</v>
      </c>
      <c r="G146" s="138">
        <f t="shared" si="2"/>
        <v>501882.63</v>
      </c>
    </row>
    <row r="147" spans="8:8">
      <c r="A147" s="116" t="s">
        <v>156</v>
      </c>
      <c r="B147" s="117" t="s">
        <v>65</v>
      </c>
      <c r="C147" s="101">
        <v>247.0</v>
      </c>
      <c r="D147" s="101">
        <v>657926.64</v>
      </c>
      <c r="E147" s="101">
        <v>60000.0</v>
      </c>
      <c r="F147" s="101">
        <v>50000.0</v>
      </c>
      <c r="G147" s="138">
        <f t="shared" si="2"/>
        <v>768173.64</v>
      </c>
    </row>
    <row r="148" spans="8:8">
      <c r="A148" s="116" t="s">
        <v>157</v>
      </c>
      <c r="B148" s="117" t="s">
        <v>65</v>
      </c>
      <c r="C148" s="101">
        <v>208.0</v>
      </c>
      <c r="D148" s="101">
        <v>391674.63</v>
      </c>
      <c r="E148" s="101">
        <v>60000.0</v>
      </c>
      <c r="F148" s="101">
        <v>50000.0</v>
      </c>
      <c r="G148" s="138">
        <f t="shared" si="2"/>
        <v>501882.63</v>
      </c>
    </row>
    <row r="149" spans="8:8">
      <c r="A149" s="116" t="s">
        <v>158</v>
      </c>
      <c r="B149" s="117" t="s">
        <v>65</v>
      </c>
      <c r="C149" s="101">
        <v>247.0</v>
      </c>
      <c r="D149" s="101">
        <v>657926.64</v>
      </c>
      <c r="E149" s="101">
        <v>60000.0</v>
      </c>
      <c r="F149" s="101">
        <v>50000.0</v>
      </c>
      <c r="G149" s="138">
        <f t="shared" si="2"/>
        <v>768173.64</v>
      </c>
    </row>
    <row r="150" spans="8:8">
      <c r="A150" s="116" t="s">
        <v>159</v>
      </c>
      <c r="B150" s="117" t="s">
        <v>65</v>
      </c>
      <c r="C150" s="101">
        <v>286.0</v>
      </c>
      <c r="D150" s="101">
        <v>941335.34</v>
      </c>
      <c r="E150" s="101">
        <v>60000.0</v>
      </c>
      <c r="F150" s="101">
        <v>50000.0</v>
      </c>
      <c r="G150" s="138">
        <f t="shared" si="2"/>
        <v>1051621.3399999999</v>
      </c>
    </row>
    <row r="151" spans="8:8">
      <c r="A151" s="116" t="s">
        <v>160</v>
      </c>
      <c r="B151" s="117" t="s">
        <v>65</v>
      </c>
      <c r="C151" s="101">
        <v>247.0</v>
      </c>
      <c r="D151" s="101">
        <v>629395.56</v>
      </c>
      <c r="E151" s="101">
        <v>60000.0</v>
      </c>
      <c r="F151" s="101">
        <v>50000.0</v>
      </c>
      <c r="G151" s="138">
        <f t="shared" si="2"/>
        <v>739642.56</v>
      </c>
    </row>
    <row r="152" spans="8:8">
      <c r="A152" s="116" t="s">
        <v>161</v>
      </c>
      <c r="B152" s="117" t="s">
        <v>65</v>
      </c>
      <c r="C152" s="101">
        <v>286.0</v>
      </c>
      <c r="D152" s="101">
        <v>908049.08</v>
      </c>
      <c r="E152" s="101">
        <v>60000.0</v>
      </c>
      <c r="F152" s="101">
        <v>50000.0</v>
      </c>
      <c r="G152" s="138">
        <f t="shared" si="2"/>
        <v>1018335.08</v>
      </c>
    </row>
    <row r="153" spans="8:8">
      <c r="A153" s="116" t="s">
        <v>162</v>
      </c>
      <c r="B153" s="117" t="s">
        <v>65</v>
      </c>
      <c r="C153" s="101">
        <v>247.0</v>
      </c>
      <c r="D153" s="101">
        <v>1352753.47</v>
      </c>
      <c r="E153" s="101">
        <v>60000.0</v>
      </c>
      <c r="F153" s="101">
        <v>50000.0</v>
      </c>
      <c r="G153" s="138">
        <f t="shared" si="2"/>
        <v>1463000.47</v>
      </c>
    </row>
    <row r="154" spans="8:8">
      <c r="A154" s="116" t="s">
        <v>163</v>
      </c>
      <c r="B154" s="117" t="s">
        <v>65</v>
      </c>
      <c r="C154" s="101">
        <v>286.0</v>
      </c>
      <c r="D154" s="101">
        <v>1608391.92</v>
      </c>
      <c r="E154" s="101">
        <v>60000.0</v>
      </c>
      <c r="F154" s="101">
        <v>50000.0</v>
      </c>
      <c r="G154" s="138">
        <f t="shared" si="2"/>
        <v>1718677.92</v>
      </c>
    </row>
    <row r="155" spans="8:8">
      <c r="A155" s="116" t="s">
        <v>164</v>
      </c>
      <c r="B155" s="117" t="s">
        <v>65</v>
      </c>
      <c r="C155" s="101">
        <v>971.46</v>
      </c>
      <c r="D155" s="101">
        <v>117605.1</v>
      </c>
      <c r="E155" s="101">
        <v>60000.0</v>
      </c>
      <c r="F155" s="101">
        <v>50000.0</v>
      </c>
      <c r="G155" s="138">
        <f t="shared" si="2"/>
        <v>228576.56</v>
      </c>
    </row>
    <row r="156" spans="8:8">
      <c r="A156" s="116" t="s">
        <v>165</v>
      </c>
      <c r="B156" s="117" t="s">
        <v>65</v>
      </c>
      <c r="C156" s="101">
        <v>247.0</v>
      </c>
      <c r="D156" s="101">
        <v>629395.56</v>
      </c>
      <c r="E156" s="101">
        <v>60000.0</v>
      </c>
      <c r="F156" s="101">
        <v>50000.0</v>
      </c>
      <c r="G156" s="138">
        <f t="shared" si="2"/>
        <v>739642.56</v>
      </c>
    </row>
    <row r="157" spans="8:8">
      <c r="A157" s="116" t="s">
        <v>166</v>
      </c>
      <c r="B157" s="117" t="s">
        <v>65</v>
      </c>
      <c r="C157" s="101">
        <v>208.0</v>
      </c>
      <c r="D157" s="101">
        <v>342220.76</v>
      </c>
      <c r="E157" s="101">
        <v>60000.0</v>
      </c>
      <c r="F157" s="101">
        <v>50000.0</v>
      </c>
      <c r="G157" s="138">
        <f t="shared" si="2"/>
        <v>452428.76</v>
      </c>
    </row>
    <row r="158" spans="8:8">
      <c r="A158" s="116" t="s">
        <v>167</v>
      </c>
      <c r="B158" s="117" t="s">
        <v>65</v>
      </c>
      <c r="C158" s="101">
        <v>247.0</v>
      </c>
      <c r="D158" s="101">
        <v>839194.08</v>
      </c>
      <c r="E158" s="101">
        <v>60000.0</v>
      </c>
      <c r="F158" s="101">
        <v>50000.0</v>
      </c>
      <c r="G158" s="138">
        <f t="shared" si="2"/>
        <v>949441.08</v>
      </c>
    </row>
    <row r="159" spans="8:8">
      <c r="A159" s="116" t="s">
        <v>168</v>
      </c>
      <c r="B159" s="117" t="s">
        <v>65</v>
      </c>
      <c r="C159" s="101">
        <v>208.0</v>
      </c>
      <c r="D159" s="101">
        <v>651649.8</v>
      </c>
      <c r="E159" s="101">
        <v>60000.0</v>
      </c>
      <c r="F159" s="101">
        <v>50000.0</v>
      </c>
      <c r="G159" s="138">
        <f t="shared" si="2"/>
        <v>761857.8</v>
      </c>
    </row>
    <row r="160" spans="8:8">
      <c r="A160" s="116" t="s">
        <v>169</v>
      </c>
      <c r="B160" s="117" t="s">
        <v>65</v>
      </c>
      <c r="C160" s="101">
        <v>247.0</v>
      </c>
      <c r="D160" s="101">
        <v>1105484.13</v>
      </c>
      <c r="E160" s="101">
        <v>60000.0</v>
      </c>
      <c r="F160" s="101">
        <v>50000.0</v>
      </c>
      <c r="G160" s="138">
        <f t="shared" si="2"/>
        <v>1215731.13</v>
      </c>
    </row>
    <row r="161" spans="8:8">
      <c r="A161" s="116" t="s">
        <v>170</v>
      </c>
      <c r="B161" s="117" t="s">
        <v>65</v>
      </c>
      <c r="C161" s="101">
        <v>208.0</v>
      </c>
      <c r="D161" s="101">
        <v>342220.76</v>
      </c>
      <c r="E161" s="101">
        <v>60000.0</v>
      </c>
      <c r="F161" s="101">
        <v>50000.0</v>
      </c>
      <c r="G161" s="138">
        <f t="shared" si="2"/>
        <v>452428.76</v>
      </c>
    </row>
    <row r="162" spans="8:8">
      <c r="A162" s="116" t="s">
        <v>171</v>
      </c>
      <c r="B162" s="117" t="s">
        <v>65</v>
      </c>
      <c r="C162" s="101">
        <v>247.0</v>
      </c>
      <c r="D162" s="101">
        <v>708331.54</v>
      </c>
      <c r="E162" s="101">
        <v>60000.0</v>
      </c>
      <c r="F162" s="101">
        <v>50000.0</v>
      </c>
      <c r="G162" s="138">
        <f t="shared" si="2"/>
        <v>818578.54</v>
      </c>
    </row>
    <row r="163" spans="8:8">
      <c r="A163" s="116" t="s">
        <v>172</v>
      </c>
      <c r="B163" s="117" t="s">
        <v>65</v>
      </c>
      <c r="C163" s="101">
        <v>286.0</v>
      </c>
      <c r="D163" s="101">
        <v>882085.8</v>
      </c>
      <c r="E163" s="101">
        <v>60000.0</v>
      </c>
      <c r="F163" s="101">
        <v>50000.0</v>
      </c>
      <c r="G163" s="138">
        <f t="shared" si="2"/>
        <v>992371.8</v>
      </c>
    </row>
    <row r="164" spans="8:8">
      <c r="A164" s="116" t="s">
        <v>173</v>
      </c>
      <c r="B164" s="117" t="s">
        <v>65</v>
      </c>
      <c r="C164" s="101">
        <v>208.0</v>
      </c>
      <c r="D164" s="101">
        <v>651649.8</v>
      </c>
      <c r="E164" s="101">
        <v>60000.0</v>
      </c>
      <c r="F164" s="101">
        <v>50000.0</v>
      </c>
      <c r="G164" s="138">
        <f t="shared" si="2"/>
        <v>761857.8</v>
      </c>
    </row>
    <row r="165" spans="8:8">
      <c r="A165" s="116" t="s">
        <v>174</v>
      </c>
      <c r="B165" s="117" t="s">
        <v>65</v>
      </c>
      <c r="C165" s="101">
        <v>247.0</v>
      </c>
      <c r="D165" s="101">
        <v>1105484.13</v>
      </c>
      <c r="E165" s="101">
        <v>60000.0</v>
      </c>
      <c r="F165" s="101">
        <v>50000.0</v>
      </c>
      <c r="G165" s="138">
        <f t="shared" si="2"/>
        <v>1215731.13</v>
      </c>
    </row>
    <row r="166" spans="8:8">
      <c r="A166" s="116" t="s">
        <v>175</v>
      </c>
      <c r="B166" s="117" t="s">
        <v>65</v>
      </c>
      <c r="C166" s="101">
        <v>286.0</v>
      </c>
      <c r="D166" s="101">
        <v>1653851.44</v>
      </c>
      <c r="E166" s="101">
        <v>60000.0</v>
      </c>
      <c r="F166" s="101">
        <v>50000.0</v>
      </c>
      <c r="G166" s="138">
        <f t="shared" si="2"/>
        <v>1764137.44</v>
      </c>
    </row>
    <row r="167" spans="8:8" ht="15.75">
      <c r="A167" s="111" t="s">
        <v>176</v>
      </c>
      <c r="B167" s="119" t="s">
        <v>65</v>
      </c>
      <c r="C167" s="130">
        <v>286.0</v>
      </c>
      <c r="D167" s="130">
        <v>741617.8</v>
      </c>
      <c r="E167" s="130">
        <v>60000.0</v>
      </c>
      <c r="F167" s="130">
        <v>50000.0</v>
      </c>
      <c r="G167" s="140">
        <f t="shared" si="2"/>
        <v>851903.8</v>
      </c>
    </row>
    <row r="168" spans="8:8" ht="15.75">
      <c r="A168" s="116" t="s">
        <v>177</v>
      </c>
      <c r="B168" s="117" t="s">
        <v>65</v>
      </c>
      <c r="C168" s="101">
        <v>286.0</v>
      </c>
      <c r="D168" s="101">
        <v>741617.8</v>
      </c>
      <c r="E168" s="101">
        <v>60000.0</v>
      </c>
      <c r="F168" s="101">
        <v>50000.0</v>
      </c>
      <c r="G168" s="138">
        <f t="shared" si="2"/>
        <v>851903.8</v>
      </c>
    </row>
    <row r="169" spans="8:8">
      <c r="A169" s="116" t="s">
        <v>178</v>
      </c>
      <c r="B169" s="117" t="s">
        <v>65</v>
      </c>
      <c r="C169" s="101">
        <v>380033.95</v>
      </c>
      <c r="D169" s="101">
        <v>2421946.07</v>
      </c>
      <c r="E169" s="101">
        <v>60000.0</v>
      </c>
      <c r="F169" s="101">
        <v>50000.0</v>
      </c>
      <c r="G169" s="138">
        <f t="shared" si="2"/>
        <v>2911980.02</v>
      </c>
    </row>
    <row r="170" spans="8:8">
      <c r="A170" s="116" t="s">
        <v>179</v>
      </c>
      <c r="B170" s="117" t="s">
        <v>65</v>
      </c>
      <c r="C170" s="101">
        <v>247.0</v>
      </c>
      <c r="D170" s="101">
        <v>620265.62</v>
      </c>
      <c r="E170" s="101">
        <v>60000.0</v>
      </c>
      <c r="F170" s="101">
        <v>50000.0</v>
      </c>
      <c r="G170" s="138">
        <f t="shared" si="2"/>
        <v>730512.62</v>
      </c>
    </row>
    <row r="171" spans="8:8">
      <c r="A171" s="116" t="s">
        <v>180</v>
      </c>
      <c r="B171" s="117" t="s">
        <v>65</v>
      </c>
      <c r="C171" s="101">
        <v>247.0</v>
      </c>
      <c r="D171" s="101">
        <v>629395.56</v>
      </c>
      <c r="E171" s="101">
        <v>60000.0</v>
      </c>
      <c r="F171" s="101">
        <v>50000.0</v>
      </c>
      <c r="G171" s="138">
        <f t="shared" si="2"/>
        <v>739642.56</v>
      </c>
    </row>
    <row r="172" spans="8:8">
      <c r="A172" s="116" t="s">
        <v>181</v>
      </c>
      <c r="B172" s="117" t="s">
        <v>65</v>
      </c>
      <c r="C172" s="101">
        <v>247.0</v>
      </c>
      <c r="D172" s="101">
        <v>1352753.47</v>
      </c>
      <c r="E172" s="101">
        <v>60000.0</v>
      </c>
      <c r="F172" s="101">
        <v>50000.0</v>
      </c>
      <c r="G172" s="138">
        <f t="shared" si="2"/>
        <v>1463000.47</v>
      </c>
    </row>
    <row r="173" spans="8:8">
      <c r="A173" s="116" t="s">
        <v>182</v>
      </c>
      <c r="B173" s="117" t="s">
        <v>65</v>
      </c>
      <c r="C173" s="101">
        <v>208.0</v>
      </c>
      <c r="D173" s="101">
        <v>342220.76</v>
      </c>
      <c r="E173" s="101">
        <v>60000.0</v>
      </c>
      <c r="F173" s="101">
        <v>50000.0</v>
      </c>
      <c r="G173" s="138">
        <f t="shared" si="2"/>
        <v>452428.76</v>
      </c>
    </row>
    <row r="174" spans="8:8">
      <c r="A174" s="116" t="s">
        <v>183</v>
      </c>
      <c r="B174" s="117" t="s">
        <v>65</v>
      </c>
      <c r="C174" s="101">
        <v>247.0</v>
      </c>
      <c r="D174" s="101">
        <v>629395.56</v>
      </c>
      <c r="E174" s="101">
        <v>60000.0</v>
      </c>
      <c r="F174" s="101">
        <v>50000.0</v>
      </c>
      <c r="G174" s="138">
        <f t="shared" si="2"/>
        <v>739642.56</v>
      </c>
    </row>
    <row r="175" spans="8:8">
      <c r="A175" s="116" t="s">
        <v>184</v>
      </c>
      <c r="B175" s="117" t="s">
        <v>65</v>
      </c>
      <c r="C175" s="101">
        <v>286.0</v>
      </c>
      <c r="D175" s="101">
        <v>708331.54</v>
      </c>
      <c r="E175" s="101">
        <v>60000.0</v>
      </c>
      <c r="F175" s="101">
        <v>50000.0</v>
      </c>
      <c r="G175" s="138">
        <f t="shared" si="2"/>
        <v>818617.54</v>
      </c>
    </row>
    <row r="176" spans="8:8">
      <c r="A176" s="116" t="s">
        <v>185</v>
      </c>
      <c r="B176" s="117" t="s">
        <v>65</v>
      </c>
      <c r="C176" s="101">
        <v>208.0</v>
      </c>
      <c r="D176" s="101">
        <v>564763.16</v>
      </c>
      <c r="E176" s="101">
        <v>60000.0</v>
      </c>
      <c r="F176" s="101">
        <v>50000.0</v>
      </c>
      <c r="G176" s="138">
        <f t="shared" si="2"/>
        <v>674971.16</v>
      </c>
    </row>
    <row r="177" spans="8:8">
      <c r="A177" s="116" t="s">
        <v>186</v>
      </c>
      <c r="B177" s="117" t="s">
        <v>65</v>
      </c>
      <c r="C177" s="101">
        <v>247.0</v>
      </c>
      <c r="D177" s="101">
        <v>829113.1</v>
      </c>
      <c r="E177" s="101">
        <v>60000.0</v>
      </c>
      <c r="F177" s="101">
        <v>50000.0</v>
      </c>
      <c r="G177" s="138">
        <f t="shared" si="2"/>
        <v>939360.1</v>
      </c>
    </row>
    <row r="178" spans="8:8">
      <c r="A178" s="116" t="s">
        <v>187</v>
      </c>
      <c r="B178" s="117" t="s">
        <v>65</v>
      </c>
      <c r="C178" s="101">
        <v>286.0</v>
      </c>
      <c r="D178" s="101">
        <v>1157696.01</v>
      </c>
      <c r="E178" s="101">
        <v>60000.0</v>
      </c>
      <c r="F178" s="101">
        <v>50000.0</v>
      </c>
      <c r="G178" s="138">
        <f t="shared" si="2"/>
        <v>1267982.01</v>
      </c>
    </row>
    <row r="179" spans="8:8" ht="15.75">
      <c r="A179" s="111" t="s">
        <v>188</v>
      </c>
      <c r="B179" s="119" t="s">
        <v>65</v>
      </c>
      <c r="C179" s="130">
        <v>208.0</v>
      </c>
      <c r="D179" s="130">
        <v>391674.63</v>
      </c>
      <c r="E179" s="130">
        <v>60000.0</v>
      </c>
      <c r="F179" s="130">
        <v>50000.0</v>
      </c>
      <c r="G179" s="140">
        <f t="shared" si="2"/>
        <v>501882.63</v>
      </c>
    </row>
    <row r="180" spans="8:8" ht="16.5">
      <c r="A180" s="111" t="s">
        <v>189</v>
      </c>
      <c r="B180" s="119" t="s">
        <v>65</v>
      </c>
      <c r="C180" s="130">
        <v>247.0</v>
      </c>
      <c r="D180" s="130">
        <v>657926.64</v>
      </c>
      <c r="E180" s="130">
        <v>60000.0</v>
      </c>
      <c r="F180" s="130">
        <v>50000.0</v>
      </c>
      <c r="G180" s="140">
        <f t="shared" si="2"/>
        <v>768173.64</v>
      </c>
      <c r="H180" s="152"/>
    </row>
    <row r="181" spans="8:8" ht="15.75">
      <c r="A181" s="116" t="s">
        <v>190</v>
      </c>
      <c r="B181" s="117" t="s">
        <v>65</v>
      </c>
      <c r="C181" s="101">
        <v>208.0</v>
      </c>
      <c r="D181" s="101">
        <v>391674.63</v>
      </c>
      <c r="E181" s="101">
        <v>60000.0</v>
      </c>
      <c r="F181" s="101">
        <v>50000.0</v>
      </c>
      <c r="G181" s="138">
        <f t="shared" si="2"/>
        <v>501882.63</v>
      </c>
    </row>
    <row r="182" spans="8:8">
      <c r="A182" s="116" t="s">
        <v>191</v>
      </c>
      <c r="B182" s="117" t="s">
        <v>65</v>
      </c>
      <c r="C182" s="101">
        <v>247.0</v>
      </c>
      <c r="D182" s="101">
        <v>657926.64</v>
      </c>
      <c r="E182" s="101">
        <v>60000.0</v>
      </c>
      <c r="F182" s="101">
        <v>50000.0</v>
      </c>
      <c r="G182" s="138">
        <f t="shared" si="2"/>
        <v>768173.64</v>
      </c>
    </row>
    <row r="183" spans="8:8">
      <c r="A183" s="116" t="s">
        <v>192</v>
      </c>
      <c r="B183" s="117" t="s">
        <v>65</v>
      </c>
      <c r="C183" s="101">
        <v>286.0</v>
      </c>
      <c r="D183" s="101">
        <v>941335.34</v>
      </c>
      <c r="E183" s="101">
        <v>60000.0</v>
      </c>
      <c r="F183" s="101">
        <v>50000.0</v>
      </c>
      <c r="G183" s="138">
        <f t="shared" si="2"/>
        <v>1051621.3399999999</v>
      </c>
    </row>
    <row r="184" spans="8:8">
      <c r="A184" s="116" t="s">
        <v>193</v>
      </c>
      <c r="B184" s="117" t="s">
        <v>65</v>
      </c>
      <c r="C184" s="101">
        <v>208.0</v>
      </c>
      <c r="D184" s="101">
        <v>391674.63</v>
      </c>
      <c r="E184" s="101">
        <v>60000.0</v>
      </c>
      <c r="F184" s="101">
        <v>50000.0</v>
      </c>
      <c r="G184" s="138">
        <f t="shared" si="2"/>
        <v>501882.63</v>
      </c>
    </row>
    <row r="185" spans="8:8">
      <c r="A185" s="116" t="s">
        <v>194</v>
      </c>
      <c r="B185" s="117" t="s">
        <v>65</v>
      </c>
      <c r="C185" s="101">
        <v>247.0</v>
      </c>
      <c r="D185" s="101">
        <v>657926.64</v>
      </c>
      <c r="E185" s="101">
        <v>60000.0</v>
      </c>
      <c r="F185" s="101">
        <v>50000.0</v>
      </c>
      <c r="G185" s="138">
        <f t="shared" si="2"/>
        <v>768173.64</v>
      </c>
    </row>
    <row r="186" spans="8:8">
      <c r="A186" s="116" t="s">
        <v>195</v>
      </c>
      <c r="B186" s="117" t="s">
        <v>196</v>
      </c>
      <c r="C186" s="101">
        <v>450000.0</v>
      </c>
      <c r="D186" s="101">
        <v>942895.04</v>
      </c>
      <c r="E186" s="101">
        <v>60000.0</v>
      </c>
      <c r="F186" s="101">
        <v>50000.0</v>
      </c>
      <c r="G186" s="138">
        <f t="shared" si="2"/>
        <v>1502895.04</v>
      </c>
    </row>
    <row r="187" spans="8:8">
      <c r="A187" s="116" t="s">
        <v>197</v>
      </c>
      <c r="B187" s="117" t="s">
        <v>196</v>
      </c>
      <c r="C187" s="101">
        <v>800.0</v>
      </c>
      <c r="D187" s="101">
        <v>1616761.04</v>
      </c>
      <c r="E187" s="101">
        <v>60000.0</v>
      </c>
      <c r="F187" s="101">
        <v>50000.0</v>
      </c>
      <c r="G187" s="138">
        <f t="shared" si="2"/>
        <v>1727561.04</v>
      </c>
    </row>
    <row r="188" spans="8:8">
      <c r="A188" s="116" t="s">
        <v>198</v>
      </c>
      <c r="B188" s="117" t="s">
        <v>196</v>
      </c>
      <c r="C188" s="101">
        <v>800.0</v>
      </c>
      <c r="D188" s="101">
        <v>2217054.9</v>
      </c>
      <c r="E188" s="101">
        <v>60000.0</v>
      </c>
      <c r="F188" s="101">
        <v>50000.0</v>
      </c>
      <c r="G188" s="138">
        <f t="shared" si="2"/>
        <v>2327854.9</v>
      </c>
    </row>
    <row r="189" spans="8:8">
      <c r="A189" s="116" t="s">
        <v>199</v>
      </c>
      <c r="B189" s="117" t="s">
        <v>196</v>
      </c>
      <c r="C189" s="101">
        <v>800.0</v>
      </c>
      <c r="D189" s="101">
        <v>1236346.68</v>
      </c>
      <c r="E189" s="101">
        <v>60000.0</v>
      </c>
      <c r="F189" s="101">
        <v>50000.0</v>
      </c>
      <c r="G189" s="138">
        <f t="shared" si="2"/>
        <v>1347146.68</v>
      </c>
    </row>
    <row r="190" spans="8:8">
      <c r="A190" s="116" t="s">
        <v>200</v>
      </c>
      <c r="B190" s="117" t="s">
        <v>196</v>
      </c>
      <c r="C190" s="101">
        <v>800.0</v>
      </c>
      <c r="D190" s="101">
        <v>2948211.3</v>
      </c>
      <c r="E190" s="101">
        <v>60000.0</v>
      </c>
      <c r="F190" s="101">
        <v>50000.0</v>
      </c>
      <c r="G190" s="138">
        <f t="shared" si="2"/>
        <v>3059011.3</v>
      </c>
      <c r="I190" s="159">
        <v>851903.8</v>
      </c>
    </row>
    <row r="191" spans="8:8">
      <c r="A191" s="116" t="s">
        <v>201</v>
      </c>
      <c r="B191" s="117" t="s">
        <v>196</v>
      </c>
      <c r="C191" s="101">
        <v>800.0</v>
      </c>
      <c r="D191" s="101">
        <v>1711864.63</v>
      </c>
      <c r="E191" s="101">
        <v>60000.0</v>
      </c>
      <c r="F191" s="101">
        <v>50000.0</v>
      </c>
      <c r="G191" s="138">
        <f t="shared" si="2"/>
        <v>1822664.63</v>
      </c>
      <c r="I191" s="159">
        <v>739642.56</v>
      </c>
    </row>
    <row r="192" spans="8:8">
      <c r="A192" s="116" t="s">
        <v>202</v>
      </c>
      <c r="B192" s="117" t="s">
        <v>196</v>
      </c>
      <c r="C192" s="101">
        <v>800.0</v>
      </c>
      <c r="D192" s="101">
        <v>1141243.08</v>
      </c>
      <c r="E192" s="101">
        <v>60000.0</v>
      </c>
      <c r="F192" s="101">
        <v>50000.0</v>
      </c>
      <c r="G192" s="138">
        <f t="shared" si="2"/>
        <v>1252043.08</v>
      </c>
      <c r="I192" s="159">
        <v>600000.0</v>
      </c>
    </row>
    <row r="193" spans="8:8">
      <c r="A193" s="116" t="s">
        <v>203</v>
      </c>
      <c r="B193" s="117" t="s">
        <v>196</v>
      </c>
      <c r="C193" s="101">
        <v>800.0</v>
      </c>
      <c r="D193" s="101">
        <v>1141243.08</v>
      </c>
      <c r="E193" s="101">
        <v>60000.0</v>
      </c>
      <c r="F193" s="101">
        <v>50000.0</v>
      </c>
      <c r="G193" s="138">
        <f t="shared" si="2"/>
        <v>1252043.08</v>
      </c>
      <c r="I193" s="160">
        <f>SUM(I190:I192)</f>
        <v>2191546.3600000003</v>
      </c>
    </row>
    <row r="194" spans="8:8">
      <c r="A194" s="116" t="s">
        <v>204</v>
      </c>
      <c r="B194" s="117" t="s">
        <v>196</v>
      </c>
      <c r="C194" s="101">
        <v>800.0</v>
      </c>
      <c r="D194" s="101">
        <v>1141243.08</v>
      </c>
      <c r="E194" s="101">
        <v>60000.0</v>
      </c>
      <c r="F194" s="101">
        <v>50000.0</v>
      </c>
      <c r="G194" s="138">
        <f t="shared" si="2"/>
        <v>1252043.08</v>
      </c>
    </row>
    <row r="195" spans="8:8">
      <c r="A195" s="116" t="s">
        <v>205</v>
      </c>
      <c r="B195" s="117" t="s">
        <v>196</v>
      </c>
      <c r="C195" s="101">
        <v>800.0</v>
      </c>
      <c r="D195" s="101">
        <v>1141243.08</v>
      </c>
      <c r="E195" s="101">
        <v>60000.0</v>
      </c>
      <c r="F195" s="101">
        <v>50000.0</v>
      </c>
      <c r="G195" s="138">
        <f t="shared" si="3" ref="G195:G258">(C195+D195+E195+F195)</f>
        <v>1252043.08</v>
      </c>
      <c r="I195" s="76"/>
    </row>
    <row r="196" spans="8:8">
      <c r="A196" s="116" t="s">
        <v>206</v>
      </c>
      <c r="B196" s="117" t="s">
        <v>196</v>
      </c>
      <c r="C196" s="101">
        <v>800.0</v>
      </c>
      <c r="D196" s="101">
        <v>1521657.45</v>
      </c>
      <c r="E196" s="101">
        <v>60000.0</v>
      </c>
      <c r="F196" s="101">
        <v>50000.0</v>
      </c>
      <c r="G196" s="138">
        <f t="shared" si="3"/>
        <v>1632457.45</v>
      </c>
    </row>
    <row r="197" spans="8:8">
      <c r="A197" s="116" t="s">
        <v>207</v>
      </c>
      <c r="B197" s="117" t="s">
        <v>196</v>
      </c>
      <c r="C197" s="101">
        <v>800.0</v>
      </c>
      <c r="D197" s="101">
        <v>1331450.27</v>
      </c>
      <c r="E197" s="101">
        <v>60000.0</v>
      </c>
      <c r="F197" s="101">
        <v>50000.0</v>
      </c>
      <c r="G197" s="138">
        <f t="shared" si="3"/>
        <v>1442250.27</v>
      </c>
    </row>
    <row r="198" spans="8:8">
      <c r="A198" s="116" t="s">
        <v>208</v>
      </c>
      <c r="B198" s="117" t="s">
        <v>196</v>
      </c>
      <c r="C198" s="101">
        <v>800.0</v>
      </c>
      <c r="D198" s="101">
        <v>1331450.27</v>
      </c>
      <c r="E198" s="101">
        <v>60000.0</v>
      </c>
      <c r="F198" s="101">
        <v>50000.0</v>
      </c>
      <c r="G198" s="138">
        <f t="shared" si="3"/>
        <v>1442250.27</v>
      </c>
    </row>
    <row r="199" spans="8:8">
      <c r="A199" s="116" t="s">
        <v>209</v>
      </c>
      <c r="B199" s="117" t="s">
        <v>196</v>
      </c>
      <c r="C199" s="101">
        <v>800.0</v>
      </c>
      <c r="D199" s="101">
        <v>1806968.22</v>
      </c>
      <c r="E199" s="101">
        <v>60000.0</v>
      </c>
      <c r="F199" s="101">
        <v>50000.0</v>
      </c>
      <c r="G199" s="138">
        <f t="shared" si="3"/>
        <v>1917768.22</v>
      </c>
    </row>
    <row r="200" spans="8:8">
      <c r="A200" s="116" t="s">
        <v>210</v>
      </c>
      <c r="B200" s="117" t="s">
        <v>196</v>
      </c>
      <c r="C200" s="101">
        <v>800.0</v>
      </c>
      <c r="D200" s="101">
        <v>1331450.27</v>
      </c>
      <c r="E200" s="101">
        <v>60000.0</v>
      </c>
      <c r="F200" s="101">
        <v>50000.0</v>
      </c>
      <c r="G200" s="138">
        <f t="shared" si="3"/>
        <v>1442250.27</v>
      </c>
    </row>
    <row r="201" spans="8:8">
      <c r="A201" s="116" t="s">
        <v>211</v>
      </c>
      <c r="B201" s="117" t="s">
        <v>196</v>
      </c>
      <c r="C201" s="101">
        <v>800.0</v>
      </c>
      <c r="D201" s="101">
        <v>1331450.27</v>
      </c>
      <c r="E201" s="101">
        <v>60000.0</v>
      </c>
      <c r="F201" s="101">
        <v>50000.0</v>
      </c>
      <c r="G201" s="138">
        <f t="shared" si="3"/>
        <v>1442250.27</v>
      </c>
    </row>
    <row r="202" spans="8:8">
      <c r="A202" s="116" t="s">
        <v>212</v>
      </c>
      <c r="B202" s="117" t="s">
        <v>196</v>
      </c>
      <c r="C202" s="101">
        <v>800.0</v>
      </c>
      <c r="D202" s="101">
        <v>1331450.27</v>
      </c>
      <c r="E202" s="101">
        <v>60000.0</v>
      </c>
      <c r="F202" s="101">
        <v>50000.0</v>
      </c>
      <c r="G202" s="138">
        <f t="shared" si="3"/>
        <v>1442250.27</v>
      </c>
    </row>
    <row r="203" spans="8:8">
      <c r="A203" s="116" t="s">
        <v>213</v>
      </c>
      <c r="B203" s="117" t="s">
        <v>196</v>
      </c>
      <c r="C203" s="101">
        <v>800.0</v>
      </c>
      <c r="D203" s="101">
        <v>3994350.8</v>
      </c>
      <c r="E203" s="101">
        <v>60000.0</v>
      </c>
      <c r="F203" s="101">
        <v>50000.0</v>
      </c>
      <c r="G203" s="138">
        <f t="shared" si="3"/>
        <v>4105150.8</v>
      </c>
    </row>
    <row r="204" spans="8:8">
      <c r="A204" s="116" t="s">
        <v>214</v>
      </c>
      <c r="B204" s="117" t="s">
        <v>196</v>
      </c>
      <c r="C204" s="101">
        <v>800.0</v>
      </c>
      <c r="D204" s="101">
        <v>1331450.27</v>
      </c>
      <c r="E204" s="101">
        <v>60000.0</v>
      </c>
      <c r="F204" s="101">
        <v>50000.0</v>
      </c>
      <c r="G204" s="138">
        <f t="shared" si="3"/>
        <v>1442250.27</v>
      </c>
    </row>
    <row r="205" spans="8:8">
      <c r="A205" s="116" t="s">
        <v>215</v>
      </c>
      <c r="B205" s="117" t="s">
        <v>196</v>
      </c>
      <c r="C205" s="101">
        <v>1500.0</v>
      </c>
      <c r="D205" s="101">
        <v>1426553.86</v>
      </c>
      <c r="E205" s="101">
        <v>60000.0</v>
      </c>
      <c r="F205" s="101">
        <v>50000.0</v>
      </c>
      <c r="G205" s="138">
        <f t="shared" si="3"/>
        <v>1538053.86</v>
      </c>
    </row>
    <row r="206" spans="8:8">
      <c r="A206" s="116" t="s">
        <v>216</v>
      </c>
      <c r="B206" s="117" t="s">
        <v>196</v>
      </c>
      <c r="C206" s="101">
        <v>800.0</v>
      </c>
      <c r="D206" s="101">
        <v>1426553.86</v>
      </c>
      <c r="E206" s="101">
        <v>60000.0</v>
      </c>
      <c r="F206" s="101">
        <v>50000.0</v>
      </c>
      <c r="G206" s="138">
        <f t="shared" si="3"/>
        <v>1537353.86</v>
      </c>
    </row>
    <row r="207" spans="8:8">
      <c r="A207" s="116" t="s">
        <v>217</v>
      </c>
      <c r="B207" s="117" t="s">
        <v>196</v>
      </c>
      <c r="C207" s="101">
        <v>800.0</v>
      </c>
      <c r="D207" s="101">
        <v>1331450.27</v>
      </c>
      <c r="E207" s="101">
        <v>60000.0</v>
      </c>
      <c r="F207" s="101">
        <v>50000.0</v>
      </c>
      <c r="G207" s="138">
        <f t="shared" si="3"/>
        <v>1442250.27</v>
      </c>
    </row>
    <row r="208" spans="8:8">
      <c r="A208" s="116" t="s">
        <v>218</v>
      </c>
      <c r="B208" s="117" t="s">
        <v>196</v>
      </c>
      <c r="C208" s="101">
        <v>800.0</v>
      </c>
      <c r="D208" s="101">
        <v>1331450.27</v>
      </c>
      <c r="E208" s="101">
        <v>60000.0</v>
      </c>
      <c r="F208" s="101">
        <v>50000.0</v>
      </c>
      <c r="G208" s="138">
        <f t="shared" si="3"/>
        <v>1442250.27</v>
      </c>
    </row>
    <row r="209" spans="8:8">
      <c r="A209" s="116" t="s">
        <v>219</v>
      </c>
      <c r="B209" s="117" t="s">
        <v>196</v>
      </c>
      <c r="C209" s="101">
        <v>800.0</v>
      </c>
      <c r="D209" s="101">
        <v>1902071.81</v>
      </c>
      <c r="E209" s="101">
        <v>60000.0</v>
      </c>
      <c r="F209" s="101">
        <v>50000.0</v>
      </c>
      <c r="G209" s="138">
        <f t="shared" si="3"/>
        <v>2012871.81</v>
      </c>
    </row>
    <row r="210" spans="8:8">
      <c r="A210" s="116" t="s">
        <v>220</v>
      </c>
      <c r="B210" s="117" t="s">
        <v>196</v>
      </c>
      <c r="C210" s="101">
        <v>800.0</v>
      </c>
      <c r="D210" s="101">
        <v>1902071.81</v>
      </c>
      <c r="E210" s="101">
        <v>60000.0</v>
      </c>
      <c r="F210" s="101">
        <v>50000.0</v>
      </c>
      <c r="G210" s="138">
        <f t="shared" si="3"/>
        <v>2012871.81</v>
      </c>
    </row>
    <row r="211" spans="8:8">
      <c r="A211" s="116" t="s">
        <v>221</v>
      </c>
      <c r="B211" s="117" t="s">
        <v>196</v>
      </c>
      <c r="C211" s="101">
        <v>800.0</v>
      </c>
      <c r="D211" s="101">
        <v>1825427.26</v>
      </c>
      <c r="E211" s="101">
        <v>60000.0</v>
      </c>
      <c r="F211" s="101">
        <v>50000.0</v>
      </c>
      <c r="G211" s="138">
        <f t="shared" si="3"/>
        <v>1936227.26</v>
      </c>
    </row>
    <row r="212" spans="8:8">
      <c r="A212" s="116" t="s">
        <v>222</v>
      </c>
      <c r="B212" s="117" t="s">
        <v>196</v>
      </c>
      <c r="C212" s="101">
        <v>800.0</v>
      </c>
      <c r="D212" s="101">
        <v>1379002.06</v>
      </c>
      <c r="E212" s="101">
        <v>60000.0</v>
      </c>
      <c r="F212" s="101">
        <v>50000.0</v>
      </c>
      <c r="G212" s="138">
        <f t="shared" si="3"/>
        <v>1489802.06</v>
      </c>
    </row>
    <row r="213" spans="8:8">
      <c r="A213" s="116" t="s">
        <v>223</v>
      </c>
      <c r="B213" s="117" t="s">
        <v>196</v>
      </c>
      <c r="C213" s="101">
        <v>800.0</v>
      </c>
      <c r="D213" s="101">
        <v>1902071.81</v>
      </c>
      <c r="E213" s="101">
        <v>60000.0</v>
      </c>
      <c r="F213" s="101">
        <v>50000.0</v>
      </c>
      <c r="G213" s="138">
        <f t="shared" si="3"/>
        <v>2012871.81</v>
      </c>
    </row>
    <row r="214" spans="8:8">
      <c r="A214" s="116" t="s">
        <v>224</v>
      </c>
      <c r="B214" s="117" t="s">
        <v>196</v>
      </c>
      <c r="C214" s="101">
        <v>800.0</v>
      </c>
      <c r="D214" s="101">
        <v>1331450.27</v>
      </c>
      <c r="E214" s="101">
        <v>60000.0</v>
      </c>
      <c r="F214" s="101">
        <v>50000.0</v>
      </c>
      <c r="G214" s="138">
        <f t="shared" si="3"/>
        <v>1442250.27</v>
      </c>
    </row>
    <row r="215" spans="8:8">
      <c r="A215" s="116" t="s">
        <v>225</v>
      </c>
      <c r="B215" s="117" t="s">
        <v>196</v>
      </c>
      <c r="C215" s="101">
        <v>800.0</v>
      </c>
      <c r="D215" s="101">
        <v>1331450.27</v>
      </c>
      <c r="E215" s="101">
        <v>60000.0</v>
      </c>
      <c r="F215" s="101">
        <v>50000.0</v>
      </c>
      <c r="G215" s="138">
        <f t="shared" si="3"/>
        <v>1442250.27</v>
      </c>
    </row>
    <row r="216" spans="8:8">
      <c r="A216" s="116" t="s">
        <v>226</v>
      </c>
      <c r="B216" s="117" t="s">
        <v>196</v>
      </c>
      <c r="C216" s="101">
        <v>800.0</v>
      </c>
      <c r="D216" s="101">
        <v>4945386.7</v>
      </c>
      <c r="E216" s="101">
        <v>60000.0</v>
      </c>
      <c r="F216" s="101">
        <v>50000.0</v>
      </c>
      <c r="G216" s="138">
        <f t="shared" si="3"/>
        <v>5056186.7</v>
      </c>
    </row>
    <row r="217" spans="8:8">
      <c r="A217" s="116" t="s">
        <v>227</v>
      </c>
      <c r="B217" s="117" t="s">
        <v>196</v>
      </c>
      <c r="C217" s="101">
        <v>800.0</v>
      </c>
      <c r="D217" s="101">
        <v>6086629.79</v>
      </c>
      <c r="E217" s="101">
        <v>60000.0</v>
      </c>
      <c r="F217" s="101">
        <v>50000.0</v>
      </c>
      <c r="G217" s="138">
        <f t="shared" si="3"/>
        <v>6197429.79</v>
      </c>
    </row>
    <row r="218" spans="8:8">
      <c r="A218" s="116" t="s">
        <v>228</v>
      </c>
      <c r="B218" s="117" t="s">
        <v>196</v>
      </c>
      <c r="C218" s="101">
        <v>800.0</v>
      </c>
      <c r="D218" s="101">
        <v>1902071.81</v>
      </c>
      <c r="E218" s="101">
        <v>60000.0</v>
      </c>
      <c r="F218" s="101">
        <v>50000.0</v>
      </c>
      <c r="G218" s="138">
        <f t="shared" si="3"/>
        <v>2012871.81</v>
      </c>
    </row>
    <row r="219" spans="8:8">
      <c r="A219" s="116" t="s">
        <v>229</v>
      </c>
      <c r="B219" s="117" t="s">
        <v>196</v>
      </c>
      <c r="C219" s="101">
        <v>800.0</v>
      </c>
      <c r="D219" s="101">
        <v>1331450.27</v>
      </c>
      <c r="E219" s="101">
        <v>60000.0</v>
      </c>
      <c r="F219" s="101">
        <v>50000.0</v>
      </c>
      <c r="G219" s="138">
        <f t="shared" si="3"/>
        <v>1442250.27</v>
      </c>
    </row>
    <row r="220" spans="8:8">
      <c r="A220" s="116" t="s">
        <v>230</v>
      </c>
      <c r="B220" s="117" t="s">
        <v>196</v>
      </c>
      <c r="C220" s="101">
        <v>800.0</v>
      </c>
      <c r="D220" s="101">
        <v>1331450.27</v>
      </c>
      <c r="E220" s="101">
        <v>60000.0</v>
      </c>
      <c r="F220" s="101">
        <v>50000.0</v>
      </c>
      <c r="G220" s="138">
        <f t="shared" si="3"/>
        <v>1442250.27</v>
      </c>
    </row>
    <row r="221" spans="8:8">
      <c r="A221" s="116" t="s">
        <v>231</v>
      </c>
      <c r="B221" s="117" t="s">
        <v>196</v>
      </c>
      <c r="C221" s="101">
        <v>800.0</v>
      </c>
      <c r="D221" s="101">
        <v>1331450.27</v>
      </c>
      <c r="E221" s="101">
        <v>60000.0</v>
      </c>
      <c r="F221" s="101">
        <v>50000.0</v>
      </c>
      <c r="G221" s="138">
        <f t="shared" si="3"/>
        <v>1442250.27</v>
      </c>
    </row>
    <row r="222" spans="8:8">
      <c r="A222" s="116" t="s">
        <v>232</v>
      </c>
      <c r="B222" s="117" t="s">
        <v>196</v>
      </c>
      <c r="C222" s="101">
        <v>800.0</v>
      </c>
      <c r="D222" s="101">
        <v>1331450.27</v>
      </c>
      <c r="E222" s="101">
        <v>60000.0</v>
      </c>
      <c r="F222" s="101">
        <v>50000.0</v>
      </c>
      <c r="G222" s="138">
        <f t="shared" si="3"/>
        <v>1442250.27</v>
      </c>
    </row>
    <row r="223" spans="8:8">
      <c r="A223" s="116" t="s">
        <v>233</v>
      </c>
      <c r="B223" s="117" t="s">
        <v>196</v>
      </c>
      <c r="C223" s="101">
        <v>800.0</v>
      </c>
      <c r="D223" s="101">
        <v>1902071.81</v>
      </c>
      <c r="E223" s="101">
        <v>60000.0</v>
      </c>
      <c r="F223" s="101">
        <v>50000.0</v>
      </c>
      <c r="G223" s="138">
        <f t="shared" si="3"/>
        <v>2012871.81</v>
      </c>
    </row>
    <row r="224" spans="8:8">
      <c r="A224" s="116" t="s">
        <v>234</v>
      </c>
      <c r="B224" s="117" t="s">
        <v>196</v>
      </c>
      <c r="C224" s="101">
        <v>800.0</v>
      </c>
      <c r="D224" s="101">
        <v>1902071.81</v>
      </c>
      <c r="E224" s="101">
        <v>60000.0</v>
      </c>
      <c r="F224" s="101">
        <v>50000.0</v>
      </c>
      <c r="G224" s="138">
        <f t="shared" si="3"/>
        <v>2012871.81</v>
      </c>
    </row>
    <row r="225" spans="8:8">
      <c r="A225" s="116" t="s">
        <v>235</v>
      </c>
      <c r="B225" s="117" t="s">
        <v>196</v>
      </c>
      <c r="C225" s="101">
        <v>800.0</v>
      </c>
      <c r="D225" s="101">
        <v>1331450.27</v>
      </c>
      <c r="E225" s="101">
        <v>60000.0</v>
      </c>
      <c r="F225" s="101">
        <v>50000.0</v>
      </c>
      <c r="G225" s="138">
        <f t="shared" si="3"/>
        <v>1442250.27</v>
      </c>
    </row>
    <row r="226" spans="8:8">
      <c r="A226" s="116" t="s">
        <v>236</v>
      </c>
      <c r="B226" s="117" t="s">
        <v>196</v>
      </c>
      <c r="C226" s="101">
        <v>800.0</v>
      </c>
      <c r="D226" s="101">
        <v>1331450.27</v>
      </c>
      <c r="E226" s="101">
        <v>60000.0</v>
      </c>
      <c r="F226" s="101">
        <v>50000.0</v>
      </c>
      <c r="G226" s="138">
        <f t="shared" si="3"/>
        <v>1442250.27</v>
      </c>
    </row>
    <row r="227" spans="8:8">
      <c r="A227" s="116" t="s">
        <v>237</v>
      </c>
      <c r="B227" s="117" t="s">
        <v>196</v>
      </c>
      <c r="C227" s="101">
        <v>800.0</v>
      </c>
      <c r="D227" s="101">
        <v>1902071.81</v>
      </c>
      <c r="E227" s="101">
        <v>60000.0</v>
      </c>
      <c r="F227" s="101">
        <v>50000.0</v>
      </c>
      <c r="G227" s="138">
        <f t="shared" si="3"/>
        <v>2012871.81</v>
      </c>
    </row>
    <row r="228" spans="8:8">
      <c r="A228" s="116" t="s">
        <v>238</v>
      </c>
      <c r="B228" s="117" t="s">
        <v>196</v>
      </c>
      <c r="C228" s="101">
        <v>800.0</v>
      </c>
      <c r="D228" s="101">
        <v>1331450.27</v>
      </c>
      <c r="E228" s="101">
        <v>60000.0</v>
      </c>
      <c r="F228" s="101">
        <v>50000.0</v>
      </c>
      <c r="G228" s="138">
        <f t="shared" si="3"/>
        <v>1442250.27</v>
      </c>
    </row>
    <row r="229" spans="8:8">
      <c r="A229" s="116" t="s">
        <v>239</v>
      </c>
      <c r="B229" s="117" t="s">
        <v>196</v>
      </c>
      <c r="C229" s="101">
        <v>800.0</v>
      </c>
      <c r="D229" s="101">
        <v>1331450.27</v>
      </c>
      <c r="E229" s="101">
        <v>60000.0</v>
      </c>
      <c r="F229" s="101">
        <v>50000.0</v>
      </c>
      <c r="G229" s="138">
        <f t="shared" si="3"/>
        <v>1442250.27</v>
      </c>
    </row>
    <row r="230" spans="8:8">
      <c r="A230" s="116" t="s">
        <v>240</v>
      </c>
      <c r="B230" s="117" t="s">
        <v>196</v>
      </c>
      <c r="C230" s="101">
        <v>800.0</v>
      </c>
      <c r="D230" s="101">
        <v>1331450.27</v>
      </c>
      <c r="E230" s="101">
        <v>60000.0</v>
      </c>
      <c r="F230" s="101">
        <v>50000.0</v>
      </c>
      <c r="G230" s="138">
        <f t="shared" si="3"/>
        <v>1442250.27</v>
      </c>
    </row>
    <row r="231" spans="8:8">
      <c r="A231" s="116" t="s">
        <v>241</v>
      </c>
      <c r="B231" s="117" t="s">
        <v>196</v>
      </c>
      <c r="C231" s="101">
        <v>800.0</v>
      </c>
      <c r="D231" s="101">
        <v>1331450.27</v>
      </c>
      <c r="E231" s="101">
        <v>60000.0</v>
      </c>
      <c r="F231" s="101">
        <v>50000.0</v>
      </c>
      <c r="G231" s="138">
        <f t="shared" si="3"/>
        <v>1442250.27</v>
      </c>
    </row>
    <row r="232" spans="8:8">
      <c r="A232" s="116" t="s">
        <v>242</v>
      </c>
      <c r="B232" s="117" t="s">
        <v>196</v>
      </c>
      <c r="C232" s="101">
        <v>800.0</v>
      </c>
      <c r="D232" s="101">
        <v>1331450.27</v>
      </c>
      <c r="E232" s="101">
        <v>60000.0</v>
      </c>
      <c r="F232" s="101">
        <v>50000.0</v>
      </c>
      <c r="G232" s="138">
        <f t="shared" si="3"/>
        <v>1442250.27</v>
      </c>
    </row>
    <row r="233" spans="8:8">
      <c r="A233" s="116" t="s">
        <v>243</v>
      </c>
      <c r="B233" s="117" t="s">
        <v>196</v>
      </c>
      <c r="C233" s="101">
        <v>800.0</v>
      </c>
      <c r="D233" s="101">
        <v>1331450.27</v>
      </c>
      <c r="E233" s="101">
        <v>60000.0</v>
      </c>
      <c r="F233" s="101">
        <v>50000.0</v>
      </c>
      <c r="G233" s="138">
        <f t="shared" si="3"/>
        <v>1442250.27</v>
      </c>
    </row>
    <row r="234" spans="8:8">
      <c r="A234" s="116" t="s">
        <v>244</v>
      </c>
      <c r="B234" s="117" t="s">
        <v>196</v>
      </c>
      <c r="C234" s="101">
        <v>800.0</v>
      </c>
      <c r="D234" s="101">
        <v>1331450.27</v>
      </c>
      <c r="E234" s="101">
        <v>60000.0</v>
      </c>
      <c r="F234" s="101">
        <v>50000.0</v>
      </c>
      <c r="G234" s="138">
        <f t="shared" si="3"/>
        <v>1442250.27</v>
      </c>
    </row>
    <row r="235" spans="8:8">
      <c r="A235" s="116" t="s">
        <v>245</v>
      </c>
      <c r="B235" s="117" t="s">
        <v>196</v>
      </c>
      <c r="C235" s="101">
        <v>800.0</v>
      </c>
      <c r="D235" s="101">
        <v>5896422.6</v>
      </c>
      <c r="E235" s="101">
        <v>60000.0</v>
      </c>
      <c r="F235" s="101">
        <v>50000.0</v>
      </c>
      <c r="G235" s="138">
        <f t="shared" si="3"/>
        <v>6007222.6</v>
      </c>
    </row>
    <row r="236" spans="8:8">
      <c r="A236" s="116" t="s">
        <v>246</v>
      </c>
      <c r="B236" s="117" t="s">
        <v>196</v>
      </c>
      <c r="C236" s="101">
        <v>800.0</v>
      </c>
      <c r="D236" s="101">
        <v>1902071.81</v>
      </c>
      <c r="E236" s="101">
        <v>60000.0</v>
      </c>
      <c r="F236" s="101">
        <v>50000.0</v>
      </c>
      <c r="G236" s="138">
        <f t="shared" si="3"/>
        <v>2012871.81</v>
      </c>
    </row>
    <row r="237" spans="8:8">
      <c r="A237" s="116" t="s">
        <v>247</v>
      </c>
      <c r="B237" s="117" t="s">
        <v>196</v>
      </c>
      <c r="C237" s="101">
        <v>800.0</v>
      </c>
      <c r="D237" s="101">
        <v>1331450.27</v>
      </c>
      <c r="E237" s="101">
        <v>60000.0</v>
      </c>
      <c r="F237" s="101">
        <v>50000.0</v>
      </c>
      <c r="G237" s="138">
        <f t="shared" si="3"/>
        <v>1442250.27</v>
      </c>
    </row>
    <row r="238" spans="8:8">
      <c r="A238" s="116" t="s">
        <v>248</v>
      </c>
      <c r="B238" s="117" t="s">
        <v>196</v>
      </c>
      <c r="C238" s="101">
        <v>800.0</v>
      </c>
      <c r="D238" s="101">
        <v>1331450.27</v>
      </c>
      <c r="E238" s="101">
        <v>60000.0</v>
      </c>
      <c r="F238" s="101">
        <v>50000.0</v>
      </c>
      <c r="G238" s="138">
        <f t="shared" si="3"/>
        <v>1442250.27</v>
      </c>
    </row>
    <row r="239" spans="8:8">
      <c r="A239" s="116" t="s">
        <v>249</v>
      </c>
      <c r="B239" s="117" t="s">
        <v>196</v>
      </c>
      <c r="C239" s="101">
        <v>800.0</v>
      </c>
      <c r="D239" s="101">
        <v>1331450.27</v>
      </c>
      <c r="E239" s="101">
        <v>60000.0</v>
      </c>
      <c r="F239" s="101">
        <v>50000.0</v>
      </c>
      <c r="G239" s="138">
        <f t="shared" si="3"/>
        <v>1442250.27</v>
      </c>
    </row>
    <row r="240" spans="8:8">
      <c r="A240" s="116" t="s">
        <v>250</v>
      </c>
      <c r="B240" s="117" t="s">
        <v>196</v>
      </c>
      <c r="C240" s="101">
        <v>800.0</v>
      </c>
      <c r="D240" s="101">
        <v>1331450.27</v>
      </c>
      <c r="E240" s="101">
        <v>60000.0</v>
      </c>
      <c r="F240" s="101">
        <v>50000.0</v>
      </c>
      <c r="G240" s="138">
        <f t="shared" si="3"/>
        <v>1442250.27</v>
      </c>
    </row>
    <row r="241" spans="8:8">
      <c r="A241" s="116" t="s">
        <v>251</v>
      </c>
      <c r="B241" s="117" t="s">
        <v>196</v>
      </c>
      <c r="C241" s="101">
        <v>800.0</v>
      </c>
      <c r="D241" s="101">
        <v>1331450.27</v>
      </c>
      <c r="E241" s="101">
        <v>60000.0</v>
      </c>
      <c r="F241" s="101">
        <v>50000.0</v>
      </c>
      <c r="G241" s="138">
        <f t="shared" si="3"/>
        <v>1442250.27</v>
      </c>
    </row>
    <row r="242" spans="8:8">
      <c r="A242" s="116" t="s">
        <v>252</v>
      </c>
      <c r="B242" s="117" t="s">
        <v>196</v>
      </c>
      <c r="C242" s="101">
        <v>800.0</v>
      </c>
      <c r="D242" s="101">
        <v>1331450.27</v>
      </c>
      <c r="E242" s="101">
        <v>60000.0</v>
      </c>
      <c r="F242" s="101">
        <v>50000.0</v>
      </c>
      <c r="G242" s="138">
        <f t="shared" si="3"/>
        <v>1442250.27</v>
      </c>
    </row>
    <row r="243" spans="8:8">
      <c r="A243" s="116" t="s">
        <v>253</v>
      </c>
      <c r="B243" s="117" t="s">
        <v>196</v>
      </c>
      <c r="C243" s="101">
        <v>800.0</v>
      </c>
      <c r="D243" s="101">
        <v>1331450.27</v>
      </c>
      <c r="E243" s="101">
        <v>60000.0</v>
      </c>
      <c r="F243" s="101">
        <v>50000.0</v>
      </c>
      <c r="G243" s="138">
        <f t="shared" si="3"/>
        <v>1442250.27</v>
      </c>
    </row>
    <row r="244" spans="8:8">
      <c r="A244" s="116" t="s">
        <v>254</v>
      </c>
      <c r="B244" s="117" t="s">
        <v>196</v>
      </c>
      <c r="C244" s="101">
        <v>800.0</v>
      </c>
      <c r="D244" s="101">
        <v>1902071.81</v>
      </c>
      <c r="E244" s="101">
        <v>60000.0</v>
      </c>
      <c r="F244" s="101">
        <v>50000.0</v>
      </c>
      <c r="G244" s="138">
        <f t="shared" si="3"/>
        <v>2012871.81</v>
      </c>
    </row>
    <row r="245" spans="8:8">
      <c r="A245" s="116" t="s">
        <v>255</v>
      </c>
      <c r="B245" s="117" t="s">
        <v>196</v>
      </c>
      <c r="C245" s="101">
        <v>800.0</v>
      </c>
      <c r="D245" s="101">
        <v>1331450.27</v>
      </c>
      <c r="E245" s="101">
        <v>60000.0</v>
      </c>
      <c r="F245" s="101">
        <v>50000.0</v>
      </c>
      <c r="G245" s="138">
        <f t="shared" si="3"/>
        <v>1442250.27</v>
      </c>
    </row>
    <row r="246" spans="8:8">
      <c r="A246" s="116" t="s">
        <v>256</v>
      </c>
      <c r="B246" s="117" t="s">
        <v>196</v>
      </c>
      <c r="C246" s="101">
        <v>800.0</v>
      </c>
      <c r="D246" s="101">
        <v>1331450.27</v>
      </c>
      <c r="E246" s="101">
        <v>60000.0</v>
      </c>
      <c r="F246" s="101">
        <v>50000.0</v>
      </c>
      <c r="G246" s="138">
        <f t="shared" si="3"/>
        <v>1442250.27</v>
      </c>
    </row>
    <row r="247" spans="8:8">
      <c r="A247" s="116" t="s">
        <v>257</v>
      </c>
      <c r="B247" s="117" t="s">
        <v>196</v>
      </c>
      <c r="C247" s="101">
        <v>800.0</v>
      </c>
      <c r="D247" s="101">
        <v>2092278.99</v>
      </c>
      <c r="E247" s="101">
        <v>60000.0</v>
      </c>
      <c r="F247" s="101">
        <v>50000.0</v>
      </c>
      <c r="G247" s="138">
        <f t="shared" si="3"/>
        <v>2203078.99</v>
      </c>
    </row>
    <row r="248" spans="8:8">
      <c r="A248" s="116" t="s">
        <v>258</v>
      </c>
      <c r="B248" s="117" t="s">
        <v>196</v>
      </c>
      <c r="C248" s="101">
        <v>800.0</v>
      </c>
      <c r="D248" s="101">
        <v>1331450.27</v>
      </c>
      <c r="E248" s="101">
        <v>60000.0</v>
      </c>
      <c r="F248" s="101">
        <v>50000.0</v>
      </c>
      <c r="G248" s="138">
        <f t="shared" si="3"/>
        <v>1442250.27</v>
      </c>
    </row>
    <row r="249" spans="8:8">
      <c r="A249" s="116" t="s">
        <v>259</v>
      </c>
      <c r="B249" s="117" t="s">
        <v>196</v>
      </c>
      <c r="C249" s="101">
        <v>800.0</v>
      </c>
      <c r="D249" s="101">
        <v>1331450.27</v>
      </c>
      <c r="E249" s="101">
        <v>60000.0</v>
      </c>
      <c r="F249" s="101">
        <v>50000.0</v>
      </c>
      <c r="G249" s="138">
        <f t="shared" si="3"/>
        <v>1442250.27</v>
      </c>
    </row>
    <row r="250" spans="8:8">
      <c r="A250" s="116" t="s">
        <v>260</v>
      </c>
      <c r="B250" s="117" t="s">
        <v>196</v>
      </c>
      <c r="C250" s="101">
        <v>800.0</v>
      </c>
      <c r="D250" s="101">
        <v>2092278.99</v>
      </c>
      <c r="E250" s="101">
        <v>60000.0</v>
      </c>
      <c r="F250" s="101">
        <v>50000.0</v>
      </c>
      <c r="G250" s="138">
        <f t="shared" si="3"/>
        <v>2203078.99</v>
      </c>
    </row>
    <row r="251" spans="8:8">
      <c r="A251" s="116" t="s">
        <v>261</v>
      </c>
      <c r="B251" s="117" t="s">
        <v>196</v>
      </c>
      <c r="C251" s="101">
        <v>800.0</v>
      </c>
      <c r="D251" s="101">
        <v>1902071.81</v>
      </c>
      <c r="E251" s="101">
        <v>60000.0</v>
      </c>
      <c r="F251" s="101">
        <v>50000.0</v>
      </c>
      <c r="G251" s="138">
        <f t="shared" si="3"/>
        <v>2012871.81</v>
      </c>
    </row>
    <row r="252" spans="8:8">
      <c r="A252" s="116" t="s">
        <v>262</v>
      </c>
      <c r="B252" s="117" t="s">
        <v>196</v>
      </c>
      <c r="C252" s="101">
        <v>800.0</v>
      </c>
      <c r="D252" s="101">
        <v>1902071.81</v>
      </c>
      <c r="E252" s="101">
        <v>60000.0</v>
      </c>
      <c r="F252" s="101">
        <v>50000.0</v>
      </c>
      <c r="G252" s="138">
        <f t="shared" si="3"/>
        <v>2012871.81</v>
      </c>
    </row>
    <row r="253" spans="8:8">
      <c r="A253" s="116" t="s">
        <v>263</v>
      </c>
      <c r="B253" s="117" t="s">
        <v>196</v>
      </c>
      <c r="C253" s="101">
        <v>800.0</v>
      </c>
      <c r="D253" s="101">
        <v>1331450.27</v>
      </c>
      <c r="E253" s="101">
        <v>60000.0</v>
      </c>
      <c r="F253" s="101">
        <v>50000.0</v>
      </c>
      <c r="G253" s="138">
        <f t="shared" si="3"/>
        <v>1442250.27</v>
      </c>
    </row>
    <row r="254" spans="8:8">
      <c r="A254" s="116" t="s">
        <v>264</v>
      </c>
      <c r="B254" s="117" t="s">
        <v>196</v>
      </c>
      <c r="C254" s="101">
        <v>800.0</v>
      </c>
      <c r="D254" s="101">
        <v>1902071.81</v>
      </c>
      <c r="E254" s="101">
        <v>60000.0</v>
      </c>
      <c r="F254" s="101">
        <v>50000.0</v>
      </c>
      <c r="G254" s="138">
        <f t="shared" si="3"/>
        <v>2012871.81</v>
      </c>
    </row>
    <row r="255" spans="8:8">
      <c r="A255" s="116" t="s">
        <v>265</v>
      </c>
      <c r="B255" s="117" t="s">
        <v>196</v>
      </c>
      <c r="C255" s="101">
        <v>800.0</v>
      </c>
      <c r="D255" s="101">
        <v>1331450.27</v>
      </c>
      <c r="E255" s="101">
        <v>60000.0</v>
      </c>
      <c r="F255" s="101">
        <v>50000.0</v>
      </c>
      <c r="G255" s="138">
        <f t="shared" si="3"/>
        <v>1442250.27</v>
      </c>
    </row>
    <row r="256" spans="8:8">
      <c r="A256" s="116" t="s">
        <v>266</v>
      </c>
      <c r="B256" s="117" t="s">
        <v>196</v>
      </c>
      <c r="C256" s="101">
        <v>800.0</v>
      </c>
      <c r="D256" s="101">
        <v>1331450.27</v>
      </c>
      <c r="E256" s="101">
        <v>60000.0</v>
      </c>
      <c r="F256" s="101">
        <v>50000.0</v>
      </c>
      <c r="G256" s="138">
        <f t="shared" si="3"/>
        <v>1442250.27</v>
      </c>
    </row>
    <row r="257" spans="8:8">
      <c r="A257" s="116" t="s">
        <v>267</v>
      </c>
      <c r="B257" s="117" t="s">
        <v>196</v>
      </c>
      <c r="C257" s="101">
        <v>800.0</v>
      </c>
      <c r="D257" s="101">
        <v>1331450.27</v>
      </c>
      <c r="E257" s="101">
        <v>60000.0</v>
      </c>
      <c r="F257" s="101">
        <v>50000.0</v>
      </c>
      <c r="G257" s="138">
        <f t="shared" si="3"/>
        <v>1442250.27</v>
      </c>
    </row>
    <row r="258" spans="8:8">
      <c r="A258" s="116" t="s">
        <v>268</v>
      </c>
      <c r="B258" s="117" t="s">
        <v>196</v>
      </c>
      <c r="C258" s="101">
        <v>800.0</v>
      </c>
      <c r="D258" s="101">
        <v>1331450.27</v>
      </c>
      <c r="E258" s="101">
        <v>60000.0</v>
      </c>
      <c r="F258" s="101">
        <v>50000.0</v>
      </c>
      <c r="G258" s="138">
        <f t="shared" si="3"/>
        <v>1442250.27</v>
      </c>
    </row>
    <row r="259" spans="8:8">
      <c r="A259" s="116" t="s">
        <v>269</v>
      </c>
      <c r="B259" s="117" t="s">
        <v>196</v>
      </c>
      <c r="C259" s="101">
        <v>800.0</v>
      </c>
      <c r="D259" s="101">
        <v>1379002.06</v>
      </c>
      <c r="E259" s="101">
        <v>60000.0</v>
      </c>
      <c r="F259" s="101">
        <v>50000.0</v>
      </c>
      <c r="G259" s="138">
        <f t="shared" si="4" ref="G259:G280">(C259+D259+E259+F259)</f>
        <v>1489802.06</v>
      </c>
    </row>
    <row r="260" spans="8:8">
      <c r="A260" s="116" t="s">
        <v>270</v>
      </c>
      <c r="B260" s="117" t="s">
        <v>196</v>
      </c>
      <c r="C260" s="101">
        <v>800.0</v>
      </c>
      <c r="D260" s="101">
        <v>1331450.27</v>
      </c>
      <c r="E260" s="101">
        <v>60000.0</v>
      </c>
      <c r="F260" s="101">
        <v>50000.0</v>
      </c>
      <c r="G260" s="138">
        <f t="shared" si="4"/>
        <v>1442250.27</v>
      </c>
    </row>
    <row r="261" spans="8:8">
      <c r="A261" s="116" t="s">
        <v>271</v>
      </c>
      <c r="B261" s="117" t="s">
        <v>196</v>
      </c>
      <c r="C261" s="101">
        <v>800.0</v>
      </c>
      <c r="D261" s="101">
        <v>1331450.27</v>
      </c>
      <c r="E261" s="101">
        <v>60000.0</v>
      </c>
      <c r="F261" s="101">
        <v>50000.0</v>
      </c>
      <c r="G261" s="138">
        <f t="shared" si="4"/>
        <v>1442250.27</v>
      </c>
    </row>
    <row r="262" spans="8:8">
      <c r="A262" s="116" t="s">
        <v>272</v>
      </c>
      <c r="B262" s="117" t="s">
        <v>196</v>
      </c>
      <c r="C262" s="101">
        <v>800.0</v>
      </c>
      <c r="D262" s="101">
        <v>1331450.27</v>
      </c>
      <c r="E262" s="101">
        <v>60000.0</v>
      </c>
      <c r="F262" s="101">
        <v>50000.0</v>
      </c>
      <c r="G262" s="138">
        <f t="shared" si="4"/>
        <v>1442250.27</v>
      </c>
    </row>
    <row r="263" spans="8:8">
      <c r="A263" s="116" t="s">
        <v>273</v>
      </c>
      <c r="B263" s="117" t="s">
        <v>196</v>
      </c>
      <c r="C263" s="101">
        <v>800.0</v>
      </c>
      <c r="D263" s="101">
        <v>1902071.81</v>
      </c>
      <c r="E263" s="101">
        <v>60000.0</v>
      </c>
      <c r="F263" s="101">
        <v>50000.0</v>
      </c>
      <c r="G263" s="138">
        <f t="shared" si="4"/>
        <v>2012871.81</v>
      </c>
    </row>
    <row r="264" spans="8:8">
      <c r="A264" s="116" t="s">
        <v>274</v>
      </c>
      <c r="B264" s="117" t="s">
        <v>196</v>
      </c>
      <c r="C264" s="101">
        <v>800.0</v>
      </c>
      <c r="D264" s="101">
        <v>1331450.27</v>
      </c>
      <c r="E264" s="101">
        <v>60000.0</v>
      </c>
      <c r="F264" s="101">
        <v>50000.0</v>
      </c>
      <c r="G264" s="138">
        <f t="shared" si="4"/>
        <v>1442250.27</v>
      </c>
    </row>
    <row r="265" spans="8:8">
      <c r="A265" s="116" t="s">
        <v>275</v>
      </c>
      <c r="B265" s="117" t="s">
        <v>196</v>
      </c>
      <c r="C265" s="101">
        <v>800.0</v>
      </c>
      <c r="D265" s="101">
        <v>1331450.27</v>
      </c>
      <c r="E265" s="101">
        <v>60000.0</v>
      </c>
      <c r="F265" s="101">
        <v>50000.0</v>
      </c>
      <c r="G265" s="138">
        <f t="shared" si="4"/>
        <v>1442250.27</v>
      </c>
    </row>
    <row r="266" spans="8:8">
      <c r="A266" s="116" t="s">
        <v>276</v>
      </c>
      <c r="B266" s="117" t="s">
        <v>196</v>
      </c>
      <c r="C266" s="101">
        <v>800.0</v>
      </c>
      <c r="D266" s="101">
        <v>1902071.81</v>
      </c>
      <c r="E266" s="101">
        <v>60000.0</v>
      </c>
      <c r="F266" s="101">
        <v>50000.0</v>
      </c>
      <c r="G266" s="138">
        <f t="shared" si="4"/>
        <v>2012871.81</v>
      </c>
    </row>
    <row r="267" spans="8:8" ht="15.75">
      <c r="A267" s="111" t="s">
        <v>277</v>
      </c>
      <c r="B267" s="119" t="s">
        <v>196</v>
      </c>
      <c r="C267" s="130">
        <v>800.0</v>
      </c>
      <c r="D267" s="130">
        <v>1331450.27</v>
      </c>
      <c r="E267" s="130">
        <v>60000.0</v>
      </c>
      <c r="F267" s="130">
        <v>50000.0</v>
      </c>
      <c r="G267" s="140">
        <f t="shared" si="4"/>
        <v>1442250.27</v>
      </c>
    </row>
    <row r="268" spans="8:8" ht="15.75">
      <c r="A268" s="116" t="s">
        <v>278</v>
      </c>
      <c r="B268" s="117" t="s">
        <v>196</v>
      </c>
      <c r="C268" s="101">
        <v>800.0</v>
      </c>
      <c r="D268" s="101">
        <v>6371940.56</v>
      </c>
      <c r="E268" s="101">
        <v>60000.0</v>
      </c>
      <c r="F268" s="101">
        <v>50000.0</v>
      </c>
      <c r="G268" s="138">
        <f t="shared" si="4"/>
        <v>6482740.56</v>
      </c>
    </row>
    <row r="269" spans="8:8">
      <c r="A269" s="116" t="s">
        <v>279</v>
      </c>
      <c r="B269" s="117" t="s">
        <v>196</v>
      </c>
      <c r="C269" s="101">
        <v>800.0</v>
      </c>
      <c r="D269" s="101">
        <v>4469868.75</v>
      </c>
      <c r="E269" s="101">
        <v>60000.0</v>
      </c>
      <c r="F269" s="101">
        <v>50000.0</v>
      </c>
      <c r="G269" s="138">
        <f t="shared" si="4"/>
        <v>4580668.75</v>
      </c>
    </row>
    <row r="270" spans="8:8" ht="15.75">
      <c r="A270" s="111" t="s">
        <v>280</v>
      </c>
      <c r="B270" s="119" t="s">
        <v>196</v>
      </c>
      <c r="C270" s="130">
        <v>953971.2</v>
      </c>
      <c r="D270" s="130">
        <v>1409990.4</v>
      </c>
      <c r="E270" s="130">
        <v>60000.0</v>
      </c>
      <c r="F270" s="130">
        <v>50000.0</v>
      </c>
      <c r="G270" s="140">
        <f t="shared" si="4"/>
        <v>2473961.5999999996</v>
      </c>
    </row>
    <row r="271" spans="8:8" ht="15.75">
      <c r="A271" s="116" t="s">
        <v>281</v>
      </c>
      <c r="B271" s="117" t="s">
        <v>282</v>
      </c>
      <c r="C271" s="101">
        <v>500000.0</v>
      </c>
      <c r="D271" s="101">
        <v>0.0</v>
      </c>
      <c r="E271" s="75"/>
      <c r="F271" s="75"/>
      <c r="G271" s="138">
        <f t="shared" si="4"/>
        <v>500000.0</v>
      </c>
    </row>
    <row r="272" spans="8:8">
      <c r="A272" s="116" t="s">
        <v>283</v>
      </c>
      <c r="B272" s="117" t="s">
        <v>282</v>
      </c>
      <c r="C272" s="101">
        <v>500000.0</v>
      </c>
      <c r="D272" s="101">
        <v>0.0</v>
      </c>
      <c r="E272" s="75"/>
      <c r="F272" s="75"/>
      <c r="G272" s="138">
        <f t="shared" si="4"/>
        <v>500000.0</v>
      </c>
    </row>
    <row r="273" spans="8:8">
      <c r="A273" s="116" t="s">
        <v>284</v>
      </c>
      <c r="B273" s="126" t="s">
        <v>285</v>
      </c>
      <c r="C273" s="101">
        <v>10000.0</v>
      </c>
      <c r="D273" s="101">
        <v>0.0</v>
      </c>
      <c r="E273" s="75"/>
      <c r="F273" s="75"/>
      <c r="G273" s="138">
        <f t="shared" si="4"/>
        <v>10000.0</v>
      </c>
    </row>
    <row r="274" spans="8:8">
      <c r="A274" s="116" t="s">
        <v>286</v>
      </c>
      <c r="B274" s="126" t="s">
        <v>285</v>
      </c>
      <c r="C274" s="101">
        <v>100000.0</v>
      </c>
      <c r="D274" s="101">
        <v>0.0</v>
      </c>
      <c r="E274" s="75"/>
      <c r="F274" s="75"/>
      <c r="G274" s="138">
        <f t="shared" si="4"/>
        <v>100000.0</v>
      </c>
    </row>
    <row r="275" spans="8:8">
      <c r="A275" s="116" t="s">
        <v>4</v>
      </c>
      <c r="B275" s="126" t="s">
        <v>285</v>
      </c>
      <c r="C275" s="101">
        <v>60000.0</v>
      </c>
      <c r="D275" s="101">
        <v>0.0</v>
      </c>
      <c r="E275" s="75"/>
      <c r="F275" s="75"/>
      <c r="G275" s="138">
        <f t="shared" si="4"/>
        <v>60000.0</v>
      </c>
    </row>
    <row r="276" spans="8:8">
      <c r="A276" s="116" t="s">
        <v>287</v>
      </c>
      <c r="B276" s="126" t="s">
        <v>285</v>
      </c>
      <c r="C276" s="101">
        <v>150000.0</v>
      </c>
      <c r="D276" s="101">
        <v>0.0</v>
      </c>
      <c r="E276" s="75"/>
      <c r="F276" s="75"/>
      <c r="G276" s="138">
        <f t="shared" si="4"/>
        <v>150000.0</v>
      </c>
    </row>
    <row r="277" spans="8:8">
      <c r="A277" s="116" t="s">
        <v>5</v>
      </c>
      <c r="B277" s="126" t="s">
        <v>285</v>
      </c>
      <c r="C277" s="101">
        <v>50000.0</v>
      </c>
      <c r="D277" s="101">
        <v>0.0</v>
      </c>
      <c r="E277" s="75"/>
      <c r="F277" s="75"/>
      <c r="G277" s="138">
        <f t="shared" si="4"/>
        <v>50000.0</v>
      </c>
    </row>
    <row r="278" spans="8:8">
      <c r="A278" s="116" t="s">
        <v>288</v>
      </c>
      <c r="B278" s="126" t="s">
        <v>285</v>
      </c>
      <c r="C278" s="101">
        <v>500000.0</v>
      </c>
      <c r="D278" s="101">
        <v>0.0</v>
      </c>
      <c r="E278" s="75"/>
      <c r="F278" s="75"/>
      <c r="G278" s="138">
        <f t="shared" si="4"/>
        <v>500000.0</v>
      </c>
    </row>
    <row r="279" spans="8:8">
      <c r="A279" s="116" t="s">
        <v>289</v>
      </c>
      <c r="B279" s="126" t="s">
        <v>290</v>
      </c>
      <c r="C279" s="101">
        <v>380.0</v>
      </c>
      <c r="D279" s="101">
        <v>405775.34</v>
      </c>
      <c r="E279" s="101">
        <v>60000.0</v>
      </c>
      <c r="F279" s="101">
        <v>50000.0</v>
      </c>
      <c r="G279" s="138">
        <f t="shared" si="4"/>
        <v>516155.34</v>
      </c>
    </row>
    <row r="280" spans="8:8">
      <c r="A280" s="116" t="s">
        <v>291</v>
      </c>
      <c r="B280" s="126" t="s">
        <v>290</v>
      </c>
      <c r="C280" s="101">
        <v>429000.0</v>
      </c>
      <c r="D280" s="101">
        <v>265200.0</v>
      </c>
      <c r="E280" s="101">
        <v>60000.0</v>
      </c>
      <c r="F280" s="101">
        <v>50000.0</v>
      </c>
      <c r="G280" s="138">
        <f t="shared" si="4"/>
        <v>804200.0</v>
      </c>
    </row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:K277"/>
  <sheetViews>
    <sheetView workbookViewId="0">
      <selection activeCell="C26" sqref="C26"/>
    </sheetView>
  </sheetViews>
  <sheetFormatPr defaultRowHeight="15.0" defaultColWidth="10"/>
  <cols>
    <col min="1" max="1" customWidth="1" width="60.140625" style="38"/>
    <col min="2" max="2" customWidth="1" width="14.140625" style="39"/>
    <col min="3" max="3" customWidth="1" width="12.425781" style="40"/>
    <col min="4" max="4" customWidth="1" width="15.285156" style="40"/>
    <col min="5" max="5" customWidth="1" width="0.140625" style="40"/>
    <col min="6" max="6" customWidth="1" width="18.140625" style="40"/>
    <col min="7" max="7" customWidth="1" bestFit="1" width="14.5703125" style="161"/>
    <col min="8" max="16384" customWidth="0" width="11.425781" style="39"/>
  </cols>
  <sheetData>
    <row r="1" spans="8: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294</v>
      </c>
    </row>
    <row r="2" spans="8:8">
      <c r="A2" s="3" t="s">
        <v>7</v>
      </c>
      <c r="B2" s="4" t="s">
        <v>8</v>
      </c>
      <c r="C2" s="5">
        <v>0.01</v>
      </c>
      <c r="D2" s="5">
        <v>84960.0</v>
      </c>
      <c r="E2" s="6">
        <v>2000.0</v>
      </c>
      <c r="F2" s="6">
        <v>2500.0</v>
      </c>
      <c r="G2" s="6">
        <f t="shared" si="0" ref="G2:G61">SUM(C2:F2)</f>
        <v>89460.01</v>
      </c>
    </row>
    <row r="3" spans="8:8">
      <c r="A3" s="3" t="s">
        <v>9</v>
      </c>
      <c r="B3" s="4" t="s">
        <v>8</v>
      </c>
      <c r="C3" s="5">
        <v>0.01</v>
      </c>
      <c r="D3" s="5">
        <v>84960.0</v>
      </c>
      <c r="E3" s="6">
        <v>2000.0</v>
      </c>
      <c r="F3" s="6">
        <v>2500.0</v>
      </c>
      <c r="G3" s="6">
        <f t="shared" si="0"/>
        <v>89460.01</v>
      </c>
    </row>
    <row r="4" spans="8:8">
      <c r="A4" s="3" t="s">
        <v>10</v>
      </c>
      <c r="B4" s="4" t="s">
        <v>8</v>
      </c>
      <c r="C4" s="7">
        <v>0.01</v>
      </c>
      <c r="D4" s="7">
        <v>84960.0</v>
      </c>
      <c r="E4" s="6">
        <v>2000.0</v>
      </c>
      <c r="F4" s="6">
        <v>2500.0</v>
      </c>
      <c r="G4" s="6">
        <f t="shared" si="0"/>
        <v>89460.01</v>
      </c>
    </row>
    <row r="5" spans="8:8">
      <c r="A5" s="3" t="s">
        <v>11</v>
      </c>
      <c r="B5" s="4" t="s">
        <v>8</v>
      </c>
      <c r="C5" s="8">
        <v>0.01</v>
      </c>
      <c r="D5" s="9">
        <v>71760.0</v>
      </c>
      <c r="E5" s="6">
        <v>2000.0</v>
      </c>
      <c r="F5" s="6">
        <v>2500.0</v>
      </c>
      <c r="G5" s="6">
        <f t="shared" si="0"/>
        <v>76260.01</v>
      </c>
    </row>
    <row r="6" spans="8:8">
      <c r="A6" s="10" t="s">
        <v>12</v>
      </c>
      <c r="B6" s="11" t="s">
        <v>13</v>
      </c>
      <c r="C6" s="12">
        <v>54240.0</v>
      </c>
      <c r="D6" s="12">
        <v>30240.0</v>
      </c>
      <c r="E6" s="13">
        <v>2000.0</v>
      </c>
      <c r="F6" s="13">
        <v>2500.0</v>
      </c>
      <c r="G6" s="13">
        <v>92580.0</v>
      </c>
    </row>
    <row r="7" spans="8:8">
      <c r="A7" s="14" t="s">
        <v>313</v>
      </c>
      <c r="B7" s="4" t="s">
        <v>13</v>
      </c>
      <c r="C7" s="5">
        <v>100800.0</v>
      </c>
      <c r="D7" s="5">
        <v>30240.0</v>
      </c>
      <c r="E7" s="6">
        <v>2000.0</v>
      </c>
      <c r="F7" s="6">
        <v>2500.0</v>
      </c>
      <c r="G7" s="6">
        <v>139140.0</v>
      </c>
    </row>
    <row r="8" spans="8:8">
      <c r="A8" s="3" t="s">
        <v>15</v>
      </c>
      <c r="B8" s="4" t="s">
        <v>13</v>
      </c>
      <c r="C8" s="5">
        <v>54240.0</v>
      </c>
      <c r="D8" s="5">
        <v>30240.0</v>
      </c>
      <c r="E8" s="6">
        <v>2000.0</v>
      </c>
      <c r="F8" s="6">
        <v>2500.0</v>
      </c>
      <c r="G8" s="13">
        <v>92580.0</v>
      </c>
    </row>
    <row r="9" spans="8:8">
      <c r="A9" s="3" t="s">
        <v>16</v>
      </c>
      <c r="B9" s="4" t="s">
        <v>13</v>
      </c>
      <c r="C9" s="5">
        <v>54240.0</v>
      </c>
      <c r="D9" s="5">
        <v>30240.0</v>
      </c>
      <c r="E9" s="6">
        <v>2000.0</v>
      </c>
      <c r="F9" s="6">
        <v>2500.0</v>
      </c>
      <c r="G9" s="13">
        <v>92580.0</v>
      </c>
    </row>
    <row r="10" spans="8:8">
      <c r="A10" s="3" t="s">
        <v>17</v>
      </c>
      <c r="B10" s="4" t="s">
        <v>13</v>
      </c>
      <c r="C10" s="5">
        <v>188880.0</v>
      </c>
      <c r="D10" s="5">
        <v>69120.0</v>
      </c>
      <c r="E10" s="6">
        <v>2000.0</v>
      </c>
      <c r="F10" s="6">
        <v>2500.0</v>
      </c>
      <c r="G10" s="6">
        <v>266100.0</v>
      </c>
    </row>
    <row r="11" spans="8:8">
      <c r="A11" s="3" t="s">
        <v>18</v>
      </c>
      <c r="B11" s="4" t="s">
        <v>13</v>
      </c>
      <c r="C11" s="5">
        <v>64320.0</v>
      </c>
      <c r="D11" s="5">
        <v>69120.0</v>
      </c>
      <c r="E11" s="6">
        <v>2000.0</v>
      </c>
      <c r="F11" s="6">
        <v>2500.0</v>
      </c>
      <c r="G11" s="6">
        <v>141540.0</v>
      </c>
    </row>
    <row r="12" spans="8:8">
      <c r="A12" s="3" t="s">
        <v>19</v>
      </c>
      <c r="B12" s="4" t="s">
        <v>13</v>
      </c>
      <c r="C12" s="5">
        <v>64320.0</v>
      </c>
      <c r="D12" s="5">
        <v>69120.0</v>
      </c>
      <c r="E12" s="6">
        <v>2000.0</v>
      </c>
      <c r="F12" s="6">
        <v>2500.0</v>
      </c>
      <c r="G12" s="6">
        <v>141540.0</v>
      </c>
    </row>
    <row r="13" spans="8:8">
      <c r="A13" s="3" t="s">
        <v>20</v>
      </c>
      <c r="B13" s="4" t="s">
        <v>13</v>
      </c>
      <c r="C13" s="5">
        <v>64320.0</v>
      </c>
      <c r="D13" s="5">
        <v>69120.0</v>
      </c>
      <c r="E13" s="6">
        <v>2000.0</v>
      </c>
      <c r="F13" s="6">
        <v>2500.0</v>
      </c>
      <c r="G13" s="6">
        <v>141540.0</v>
      </c>
    </row>
    <row r="14" spans="8:8">
      <c r="A14" s="15" t="s">
        <v>21</v>
      </c>
      <c r="B14" s="16" t="s">
        <v>13</v>
      </c>
      <c r="C14" s="5">
        <v>64320.0</v>
      </c>
      <c r="D14" s="5">
        <v>69120.0</v>
      </c>
      <c r="E14" s="6">
        <v>2000.0</v>
      </c>
      <c r="F14" s="6">
        <v>2500.0</v>
      </c>
      <c r="G14" s="6">
        <v>141540.0</v>
      </c>
    </row>
    <row r="15" spans="8:8">
      <c r="A15" s="15" t="s">
        <v>22</v>
      </c>
      <c r="B15" s="16" t="s">
        <v>13</v>
      </c>
      <c r="C15" s="5">
        <v>64320.0</v>
      </c>
      <c r="D15" s="5">
        <v>69120.0</v>
      </c>
      <c r="E15" s="6">
        <v>2000.0</v>
      </c>
      <c r="F15" s="6">
        <v>2500.0</v>
      </c>
      <c r="G15" s="6">
        <v>141540.0</v>
      </c>
    </row>
    <row r="16" spans="8:8">
      <c r="A16" s="18" t="s">
        <v>334</v>
      </c>
      <c r="B16" s="16" t="s">
        <v>13</v>
      </c>
      <c r="C16" s="5">
        <v>64320.0</v>
      </c>
      <c r="D16" s="5">
        <v>69120.0</v>
      </c>
      <c r="E16" s="6">
        <v>2000.0</v>
      </c>
      <c r="F16" s="6">
        <v>2500.0</v>
      </c>
      <c r="G16" s="6">
        <v>141540.0</v>
      </c>
    </row>
    <row r="17" spans="8:8">
      <c r="A17" s="3" t="s">
        <v>24</v>
      </c>
      <c r="B17" s="4" t="s">
        <v>13</v>
      </c>
      <c r="C17" s="5">
        <v>64320.0</v>
      </c>
      <c r="D17" s="5">
        <v>69120.0</v>
      </c>
      <c r="E17" s="6">
        <v>2000.0</v>
      </c>
      <c r="F17" s="6">
        <v>2500.0</v>
      </c>
      <c r="G17" s="6">
        <v>141540.0</v>
      </c>
    </row>
    <row r="18" spans="8:8">
      <c r="A18" s="3" t="s">
        <v>25</v>
      </c>
      <c r="B18" s="4" t="s">
        <v>13</v>
      </c>
      <c r="C18" s="5">
        <v>64320.0</v>
      </c>
      <c r="D18" s="5">
        <v>69120.0</v>
      </c>
      <c r="E18" s="6">
        <v>2000.0</v>
      </c>
      <c r="F18" s="6">
        <v>2500.0</v>
      </c>
      <c r="G18" s="6">
        <v>141540.0</v>
      </c>
    </row>
    <row r="19" spans="8:8">
      <c r="A19" s="3" t="s">
        <v>26</v>
      </c>
      <c r="B19" s="4" t="s">
        <v>13</v>
      </c>
      <c r="C19" s="5">
        <v>64320.0</v>
      </c>
      <c r="D19" s="5">
        <v>69120.0</v>
      </c>
      <c r="E19" s="6">
        <v>2000.0</v>
      </c>
      <c r="F19" s="6">
        <v>2500.0</v>
      </c>
      <c r="G19" s="6">
        <v>141540.0</v>
      </c>
    </row>
    <row r="20" spans="8:8">
      <c r="A20" s="3" t="s">
        <v>27</v>
      </c>
      <c r="B20" s="4" t="s">
        <v>13</v>
      </c>
      <c r="C20" s="5">
        <v>64320.0</v>
      </c>
      <c r="D20" s="5">
        <v>69120.0</v>
      </c>
      <c r="E20" s="6">
        <v>2000.0</v>
      </c>
      <c r="F20" s="6">
        <v>2500.0</v>
      </c>
      <c r="G20" s="6">
        <v>141540.0</v>
      </c>
    </row>
    <row r="21" spans="8:8">
      <c r="A21" s="3" t="s">
        <v>28</v>
      </c>
      <c r="B21" s="4" t="s">
        <v>13</v>
      </c>
      <c r="C21" s="5">
        <v>64320.0</v>
      </c>
      <c r="D21" s="5">
        <v>69120.0</v>
      </c>
      <c r="E21" s="6">
        <v>2000.0</v>
      </c>
      <c r="F21" s="6">
        <v>2500.0</v>
      </c>
      <c r="G21" s="6">
        <v>141540.0</v>
      </c>
    </row>
    <row r="22" spans="8:8">
      <c r="A22" s="3" t="s">
        <v>29</v>
      </c>
      <c r="B22" s="4" t="s">
        <v>13</v>
      </c>
      <c r="C22" s="5">
        <v>64320.0</v>
      </c>
      <c r="D22" s="5">
        <v>69120.0</v>
      </c>
      <c r="E22" s="6">
        <v>2000.0</v>
      </c>
      <c r="F22" s="6">
        <v>2500.0</v>
      </c>
      <c r="G22" s="6">
        <v>141540.0</v>
      </c>
    </row>
    <row r="23" spans="8:8">
      <c r="A23" s="14" t="s">
        <v>314</v>
      </c>
      <c r="B23" s="4" t="s">
        <v>13</v>
      </c>
      <c r="C23" s="5">
        <v>64320.0</v>
      </c>
      <c r="D23" s="5">
        <v>69120.0</v>
      </c>
      <c r="E23" s="6">
        <v>2000.0</v>
      </c>
      <c r="F23" s="6">
        <v>2500.0</v>
      </c>
      <c r="G23" s="6">
        <v>141540.0</v>
      </c>
    </row>
    <row r="24" spans="8:8">
      <c r="A24" s="3" t="s">
        <v>31</v>
      </c>
      <c r="B24" s="4" t="s">
        <v>13</v>
      </c>
      <c r="C24" s="5">
        <v>64320.0</v>
      </c>
      <c r="D24" s="5">
        <v>69120.0</v>
      </c>
      <c r="E24" s="6">
        <v>2000.0</v>
      </c>
      <c r="F24" s="6">
        <v>2500.0</v>
      </c>
      <c r="G24" s="6">
        <v>141540.0</v>
      </c>
    </row>
    <row r="25" spans="8:8">
      <c r="A25" s="3" t="s">
        <v>32</v>
      </c>
      <c r="B25" s="4" t="s">
        <v>13</v>
      </c>
      <c r="C25" s="5">
        <v>64320.0</v>
      </c>
      <c r="D25" s="5">
        <v>69120.0</v>
      </c>
      <c r="E25" s="6">
        <v>2000.0</v>
      </c>
      <c r="F25" s="6">
        <v>2500.0</v>
      </c>
      <c r="G25" s="6">
        <v>141540.0</v>
      </c>
    </row>
    <row r="26" spans="8:8">
      <c r="A26" s="3" t="s">
        <v>33</v>
      </c>
      <c r="B26" s="4" t="s">
        <v>13</v>
      </c>
      <c r="C26" s="5">
        <v>64320.0</v>
      </c>
      <c r="D26" s="5">
        <v>69120.0</v>
      </c>
      <c r="E26" s="6">
        <v>2000.0</v>
      </c>
      <c r="F26" s="6">
        <v>2500.0</v>
      </c>
      <c r="G26" s="6">
        <v>141540.0</v>
      </c>
    </row>
    <row r="27" spans="8:8">
      <c r="A27" s="3" t="s">
        <v>34</v>
      </c>
      <c r="B27" s="4" t="s">
        <v>13</v>
      </c>
      <c r="C27" s="5">
        <v>54240.0</v>
      </c>
      <c r="D27" s="5">
        <v>30240.0</v>
      </c>
      <c r="E27" s="6">
        <v>2000.0</v>
      </c>
      <c r="F27" s="6">
        <v>2500.0</v>
      </c>
      <c r="G27" s="13">
        <v>92580.0</v>
      </c>
    </row>
    <row r="28" spans="8:8">
      <c r="A28" s="3" t="s">
        <v>35</v>
      </c>
      <c r="B28" s="4" t="s">
        <v>13</v>
      </c>
      <c r="C28" s="5">
        <v>54240.0</v>
      </c>
      <c r="D28" s="5">
        <v>30240.0</v>
      </c>
      <c r="E28" s="6">
        <v>2000.0</v>
      </c>
      <c r="F28" s="6">
        <v>2500.0</v>
      </c>
      <c r="G28" s="13">
        <v>92580.0</v>
      </c>
    </row>
    <row r="29" spans="8:8">
      <c r="A29" s="3" t="s">
        <v>36</v>
      </c>
      <c r="B29" s="4" t="s">
        <v>13</v>
      </c>
      <c r="C29" s="5">
        <v>54240.0</v>
      </c>
      <c r="D29" s="5">
        <v>30240.0</v>
      </c>
      <c r="E29" s="6">
        <v>2000.0</v>
      </c>
      <c r="F29" s="6">
        <v>2500.0</v>
      </c>
      <c r="G29" s="13">
        <v>92580.0</v>
      </c>
    </row>
    <row r="30" spans="8:8">
      <c r="A30" s="3" t="s">
        <v>37</v>
      </c>
      <c r="B30" s="4" t="s">
        <v>13</v>
      </c>
      <c r="C30" s="5">
        <v>54240.0</v>
      </c>
      <c r="D30" s="5">
        <v>30240.0</v>
      </c>
      <c r="E30" s="6">
        <v>2000.0</v>
      </c>
      <c r="F30" s="6">
        <v>2500.0</v>
      </c>
      <c r="G30" s="13">
        <v>92580.0</v>
      </c>
    </row>
    <row r="31" spans="8:8">
      <c r="A31" s="3" t="s">
        <v>38</v>
      </c>
      <c r="B31" s="4" t="s">
        <v>13</v>
      </c>
      <c r="C31" s="5">
        <v>54240.0</v>
      </c>
      <c r="D31" s="5">
        <v>30240.0</v>
      </c>
      <c r="E31" s="6">
        <v>2000.0</v>
      </c>
      <c r="F31" s="6">
        <v>2500.0</v>
      </c>
      <c r="G31" s="13">
        <v>92580.0</v>
      </c>
    </row>
    <row r="32" spans="8:8">
      <c r="A32" s="15" t="s">
        <v>41</v>
      </c>
      <c r="B32" s="16" t="s">
        <v>13</v>
      </c>
      <c r="C32" s="5">
        <v>54240.0</v>
      </c>
      <c r="D32" s="5">
        <v>30240.0</v>
      </c>
      <c r="E32" s="6">
        <v>2000.0</v>
      </c>
      <c r="F32" s="6">
        <v>2500.0</v>
      </c>
      <c r="G32" s="13">
        <v>92580.0</v>
      </c>
    </row>
    <row r="33" spans="8:8">
      <c r="A33" s="3" t="s">
        <v>42</v>
      </c>
      <c r="B33" s="4" t="s">
        <v>13</v>
      </c>
      <c r="C33" s="5">
        <v>54240.0</v>
      </c>
      <c r="D33" s="5">
        <v>30240.0</v>
      </c>
      <c r="E33" s="6">
        <v>2000.0</v>
      </c>
      <c r="F33" s="6">
        <v>2500.0</v>
      </c>
      <c r="G33" s="13">
        <v>92580.0</v>
      </c>
    </row>
    <row r="34" spans="8:8">
      <c r="A34" s="3" t="s">
        <v>43</v>
      </c>
      <c r="B34" s="4" t="s">
        <v>13</v>
      </c>
      <c r="C34" s="5">
        <v>54240.0</v>
      </c>
      <c r="D34" s="5">
        <v>30240.0</v>
      </c>
      <c r="E34" s="6">
        <v>2000.0</v>
      </c>
      <c r="F34" s="6">
        <v>2500.0</v>
      </c>
      <c r="G34" s="13">
        <v>92580.0</v>
      </c>
    </row>
    <row r="35" spans="8:8">
      <c r="A35" s="3" t="s">
        <v>44</v>
      </c>
      <c r="B35" s="4" t="s">
        <v>13</v>
      </c>
      <c r="C35" s="5">
        <v>54240.0</v>
      </c>
      <c r="D35" s="5">
        <v>30240.0</v>
      </c>
      <c r="E35" s="6">
        <v>2000.0</v>
      </c>
      <c r="F35" s="6">
        <v>2500.0</v>
      </c>
      <c r="G35" s="13">
        <v>92580.0</v>
      </c>
    </row>
    <row r="36" spans="8:8">
      <c r="A36" s="3" t="s">
        <v>45</v>
      </c>
      <c r="B36" s="4" t="s">
        <v>13</v>
      </c>
      <c r="C36" s="5">
        <v>122640.0</v>
      </c>
      <c r="D36" s="5">
        <v>72000.0</v>
      </c>
      <c r="E36" s="6">
        <v>2000.0</v>
      </c>
      <c r="F36" s="6">
        <v>2500.0</v>
      </c>
      <c r="G36" s="6">
        <v>202740.0</v>
      </c>
    </row>
    <row r="37" spans="8:8">
      <c r="A37" s="3" t="s">
        <v>46</v>
      </c>
      <c r="B37" s="4" t="s">
        <v>13</v>
      </c>
      <c r="C37" s="5">
        <v>122640.0</v>
      </c>
      <c r="D37" s="5">
        <v>72000.0</v>
      </c>
      <c r="E37" s="6">
        <v>2000.0</v>
      </c>
      <c r="F37" s="6">
        <v>2500.0</v>
      </c>
      <c r="G37" s="6">
        <v>202740.0</v>
      </c>
    </row>
    <row r="38" spans="8:8">
      <c r="A38" s="3" t="s">
        <v>47</v>
      </c>
      <c r="B38" s="4" t="s">
        <v>13</v>
      </c>
      <c r="C38" s="5">
        <v>172560.0</v>
      </c>
      <c r="D38" s="5">
        <v>72000.0</v>
      </c>
      <c r="E38" s="6">
        <v>2000.0</v>
      </c>
      <c r="F38" s="6">
        <v>2500.0</v>
      </c>
      <c r="G38" s="6">
        <v>252660.0</v>
      </c>
    </row>
    <row r="39" spans="8:8" s="49" ht="15.0" customFormat="1">
      <c r="A39" s="3" t="s">
        <v>48</v>
      </c>
      <c r="B39" s="4" t="s">
        <v>13</v>
      </c>
      <c r="C39" s="5">
        <v>54240.0</v>
      </c>
      <c r="D39" s="5">
        <v>72000.0</v>
      </c>
      <c r="E39" s="6">
        <v>2000.0</v>
      </c>
      <c r="F39" s="6">
        <v>2500.0</v>
      </c>
      <c r="G39" s="6">
        <v>134340.0</v>
      </c>
    </row>
    <row r="40" spans="8:8">
      <c r="A40" s="3" t="s">
        <v>49</v>
      </c>
      <c r="B40" s="4" t="s">
        <v>13</v>
      </c>
      <c r="C40" s="5">
        <v>54240.0</v>
      </c>
      <c r="D40" s="5">
        <v>30240.0</v>
      </c>
      <c r="E40" s="6">
        <v>2000.0</v>
      </c>
      <c r="F40" s="6">
        <v>2500.0</v>
      </c>
      <c r="G40" s="13">
        <v>92580.0</v>
      </c>
    </row>
    <row r="41" spans="8:8">
      <c r="A41" s="18" t="s">
        <v>315</v>
      </c>
      <c r="B41" s="16" t="s">
        <v>13</v>
      </c>
      <c r="C41" s="5">
        <v>54240.0</v>
      </c>
      <c r="D41" s="5">
        <v>30240.0</v>
      </c>
      <c r="E41" s="6">
        <v>2000.0</v>
      </c>
      <c r="F41" s="6">
        <v>2500.0</v>
      </c>
      <c r="G41" s="13">
        <v>92580.0</v>
      </c>
    </row>
    <row r="42" spans="8:8">
      <c r="A42" s="3" t="s">
        <v>51</v>
      </c>
      <c r="B42" s="4" t="s">
        <v>13</v>
      </c>
      <c r="C42" s="5">
        <v>54240.0</v>
      </c>
      <c r="D42" s="5">
        <v>30240.0</v>
      </c>
      <c r="E42" s="6">
        <v>2000.0</v>
      </c>
      <c r="F42" s="6">
        <v>2500.0</v>
      </c>
      <c r="G42" s="13">
        <v>92580.0</v>
      </c>
    </row>
    <row r="43" spans="8:8">
      <c r="A43" s="3" t="s">
        <v>52</v>
      </c>
      <c r="B43" s="4" t="s">
        <v>13</v>
      </c>
      <c r="C43" s="5">
        <v>54240.0</v>
      </c>
      <c r="D43" s="5">
        <v>30240.0</v>
      </c>
      <c r="E43" s="6">
        <v>2000.0</v>
      </c>
      <c r="F43" s="6">
        <v>2500.0</v>
      </c>
      <c r="G43" s="13">
        <v>92580.0</v>
      </c>
    </row>
    <row r="44" spans="8:8" s="49" ht="15.0" customFormat="1">
      <c r="A44" s="3" t="s">
        <v>53</v>
      </c>
      <c r="B44" s="4" t="s">
        <v>13</v>
      </c>
      <c r="C44" s="5">
        <v>54240.0</v>
      </c>
      <c r="D44" s="5">
        <v>30240.0</v>
      </c>
      <c r="E44" s="6">
        <v>2000.0</v>
      </c>
      <c r="F44" s="6">
        <v>2500.0</v>
      </c>
      <c r="G44" s="13">
        <v>92580.0</v>
      </c>
    </row>
    <row r="45" spans="8:8">
      <c r="A45" s="3" t="s">
        <v>54</v>
      </c>
      <c r="B45" s="4" t="s">
        <v>13</v>
      </c>
      <c r="C45" s="5">
        <v>54240.0</v>
      </c>
      <c r="D45" s="5">
        <v>30240.0</v>
      </c>
      <c r="E45" s="6">
        <v>2000.0</v>
      </c>
      <c r="F45" s="6">
        <v>2500.0</v>
      </c>
      <c r="G45" s="13">
        <v>92580.0</v>
      </c>
    </row>
    <row r="46" spans="8:8">
      <c r="A46" s="15" t="s">
        <v>55</v>
      </c>
      <c r="B46" s="16" t="s">
        <v>13</v>
      </c>
      <c r="C46" s="5">
        <v>201440.0</v>
      </c>
      <c r="D46" s="5">
        <v>30240.0</v>
      </c>
      <c r="E46" s="6">
        <v>2000.0</v>
      </c>
      <c r="F46" s="6">
        <v>2500.0</v>
      </c>
      <c r="G46" s="13">
        <v>92580.0</v>
      </c>
    </row>
    <row r="47" spans="8:8">
      <c r="A47" s="3" t="s">
        <v>56</v>
      </c>
      <c r="B47" s="4" t="s">
        <v>13</v>
      </c>
      <c r="C47" s="5">
        <v>10800.0</v>
      </c>
      <c r="D47" s="5">
        <v>79200.0</v>
      </c>
      <c r="E47" s="6">
        <v>2000.0</v>
      </c>
      <c r="F47" s="6">
        <v>2500.0</v>
      </c>
      <c r="G47" s="6">
        <v>98100.0</v>
      </c>
    </row>
    <row r="48" spans="8:8">
      <c r="A48" s="10" t="s">
        <v>59</v>
      </c>
      <c r="B48" s="11" t="s">
        <v>60</v>
      </c>
      <c r="C48" s="12">
        <v>0.01</v>
      </c>
      <c r="D48" s="12">
        <v>86400.0</v>
      </c>
      <c r="E48" s="13">
        <v>2000.0</v>
      </c>
      <c r="F48" s="13">
        <v>2500.0</v>
      </c>
      <c r="G48" s="13">
        <f t="shared" si="0"/>
        <v>90900.01</v>
      </c>
    </row>
    <row r="49" spans="8:8">
      <c r="A49" s="3" t="s">
        <v>61</v>
      </c>
      <c r="B49" s="4" t="s">
        <v>60</v>
      </c>
      <c r="C49" s="5">
        <v>18000.0</v>
      </c>
      <c r="D49" s="5">
        <v>151200.0</v>
      </c>
      <c r="E49" s="6">
        <v>2000.0</v>
      </c>
      <c r="F49" s="6">
        <v>2500.0</v>
      </c>
      <c r="G49" s="6">
        <f t="shared" si="0"/>
        <v>173700.0</v>
      </c>
    </row>
    <row r="50" spans="8:8">
      <c r="A50" s="3" t="s">
        <v>62</v>
      </c>
      <c r="B50" s="4" t="s">
        <v>60</v>
      </c>
      <c r="C50" s="5">
        <v>0.01</v>
      </c>
      <c r="D50" s="5">
        <v>86400.0</v>
      </c>
      <c r="E50" s="6">
        <v>2000.0</v>
      </c>
      <c r="F50" s="6">
        <v>2500.0</v>
      </c>
      <c r="G50" s="6">
        <f t="shared" si="0"/>
        <v>90900.01</v>
      </c>
    </row>
    <row r="51" spans="8:8">
      <c r="A51" s="3" t="s">
        <v>63</v>
      </c>
      <c r="B51" s="4" t="s">
        <v>60</v>
      </c>
      <c r="C51" s="5">
        <v>0.01</v>
      </c>
      <c r="D51" s="5">
        <v>86400.0</v>
      </c>
      <c r="E51" s="6">
        <v>2000.0</v>
      </c>
      <c r="F51" s="6">
        <v>2500.0</v>
      </c>
      <c r="G51" s="6">
        <f t="shared" si="0"/>
        <v>90900.01</v>
      </c>
    </row>
    <row r="52" spans="8:8">
      <c r="A52" s="10" t="s">
        <v>64</v>
      </c>
      <c r="B52" s="11" t="s">
        <v>65</v>
      </c>
      <c r="C52" s="12">
        <v>0.01</v>
      </c>
      <c r="D52" s="12">
        <v>63600.0</v>
      </c>
      <c r="E52" s="13">
        <v>2000.0</v>
      </c>
      <c r="F52" s="13">
        <v>2500.0</v>
      </c>
      <c r="G52" s="13">
        <f t="shared" si="0"/>
        <v>68100.01000000001</v>
      </c>
    </row>
    <row r="53" spans="8:8">
      <c r="A53" s="3" t="s">
        <v>66</v>
      </c>
      <c r="B53" s="4" t="s">
        <v>65</v>
      </c>
      <c r="C53" s="5">
        <v>0.01</v>
      </c>
      <c r="D53" s="5">
        <v>67680.0</v>
      </c>
      <c r="E53" s="6">
        <v>2000.0</v>
      </c>
      <c r="F53" s="6">
        <v>2500.0</v>
      </c>
      <c r="G53" s="6">
        <f t="shared" si="0"/>
        <v>72180.01</v>
      </c>
    </row>
    <row r="54" spans="8:8">
      <c r="A54" s="3" t="s">
        <v>67</v>
      </c>
      <c r="B54" s="4" t="s">
        <v>65</v>
      </c>
      <c r="C54" s="5">
        <v>0.01</v>
      </c>
      <c r="D54" s="5">
        <v>63600.0</v>
      </c>
      <c r="E54" s="6">
        <v>2000.0</v>
      </c>
      <c r="F54" s="6">
        <v>2500.0</v>
      </c>
      <c r="G54" s="6">
        <f t="shared" si="0"/>
        <v>68100.01000000001</v>
      </c>
    </row>
    <row r="55" spans="8:8">
      <c r="A55" s="3" t="s">
        <v>68</v>
      </c>
      <c r="B55" s="4" t="s">
        <v>65</v>
      </c>
      <c r="C55" s="5">
        <v>0.01</v>
      </c>
      <c r="D55" s="5">
        <v>67680.0</v>
      </c>
      <c r="E55" s="6">
        <v>2000.0</v>
      </c>
      <c r="F55" s="6">
        <v>2500.0</v>
      </c>
      <c r="G55" s="6">
        <f t="shared" si="0"/>
        <v>72180.01</v>
      </c>
    </row>
    <row r="56" spans="8:8">
      <c r="A56" s="3" t="s">
        <v>69</v>
      </c>
      <c r="B56" s="4" t="s">
        <v>65</v>
      </c>
      <c r="C56" s="5">
        <v>0.01</v>
      </c>
      <c r="D56" s="5">
        <v>82560.0</v>
      </c>
      <c r="E56" s="6">
        <v>2000.0</v>
      </c>
      <c r="F56" s="6">
        <v>2500.0</v>
      </c>
      <c r="G56" s="6">
        <f t="shared" si="0"/>
        <v>87060.01</v>
      </c>
    </row>
    <row r="57" spans="8:8">
      <c r="A57" s="3" t="s">
        <v>70</v>
      </c>
      <c r="B57" s="4" t="s">
        <v>65</v>
      </c>
      <c r="C57" s="5">
        <v>0.01</v>
      </c>
      <c r="D57" s="5">
        <v>63600.0</v>
      </c>
      <c r="E57" s="6">
        <v>2000.0</v>
      </c>
      <c r="F57" s="6">
        <v>2500.0</v>
      </c>
      <c r="G57" s="6">
        <f t="shared" si="0"/>
        <v>68100.01000000001</v>
      </c>
    </row>
    <row r="58" spans="8:8">
      <c r="A58" s="15" t="s">
        <v>71</v>
      </c>
      <c r="B58" s="16" t="s">
        <v>65</v>
      </c>
      <c r="C58" s="5">
        <v>0.01</v>
      </c>
      <c r="D58" s="5">
        <v>67680.0</v>
      </c>
      <c r="E58" s="6">
        <v>2000.0</v>
      </c>
      <c r="F58" s="6">
        <v>2500.0</v>
      </c>
      <c r="G58" s="6">
        <f t="shared" si="0"/>
        <v>72180.01</v>
      </c>
    </row>
    <row r="59" spans="8:8">
      <c r="A59" s="15" t="s">
        <v>72</v>
      </c>
      <c r="B59" s="16" t="s">
        <v>65</v>
      </c>
      <c r="C59" s="5">
        <v>0.01</v>
      </c>
      <c r="D59" s="5">
        <v>74880.0</v>
      </c>
      <c r="E59" s="6">
        <v>2000.0</v>
      </c>
      <c r="F59" s="6">
        <v>2500.0</v>
      </c>
      <c r="G59" s="6">
        <f t="shared" si="0"/>
        <v>79380.01</v>
      </c>
    </row>
    <row r="60" spans="8:8">
      <c r="A60" s="3" t="s">
        <v>73</v>
      </c>
      <c r="B60" s="4" t="s">
        <v>65</v>
      </c>
      <c r="C60" s="5">
        <v>0.01</v>
      </c>
      <c r="D60" s="5">
        <v>63600.0</v>
      </c>
      <c r="E60" s="6">
        <v>2000.0</v>
      </c>
      <c r="F60" s="6">
        <v>2500.0</v>
      </c>
      <c r="G60" s="6">
        <f t="shared" si="0"/>
        <v>68100.01000000001</v>
      </c>
    </row>
    <row r="61" spans="8:8">
      <c r="A61" s="3" t="s">
        <v>74</v>
      </c>
      <c r="B61" s="4" t="s">
        <v>65</v>
      </c>
      <c r="C61" s="5">
        <v>0.01</v>
      </c>
      <c r="D61" s="5">
        <v>67680.0</v>
      </c>
      <c r="E61" s="6">
        <v>2000.0</v>
      </c>
      <c r="F61" s="6">
        <v>2500.0</v>
      </c>
      <c r="G61" s="6">
        <f t="shared" si="0"/>
        <v>72180.01</v>
      </c>
    </row>
    <row r="62" spans="8:8">
      <c r="A62" s="3" t="s">
        <v>75</v>
      </c>
      <c r="B62" s="4" t="s">
        <v>65</v>
      </c>
      <c r="C62" s="5">
        <v>0.01</v>
      </c>
      <c r="D62" s="5">
        <v>104400.0</v>
      </c>
      <c r="E62" s="6">
        <v>2000.0</v>
      </c>
      <c r="F62" s="6">
        <v>2500.0</v>
      </c>
      <c r="G62" s="6">
        <f t="shared" si="1" ref="G62:G125">SUM(C62:F62)</f>
        <v>108900.01</v>
      </c>
    </row>
    <row r="63" spans="8:8">
      <c r="A63" s="3" t="s">
        <v>76</v>
      </c>
      <c r="B63" s="4" t="s">
        <v>65</v>
      </c>
      <c r="C63" s="5">
        <v>0.01</v>
      </c>
      <c r="D63" s="5">
        <v>63600.0</v>
      </c>
      <c r="E63" s="6">
        <v>2000.0</v>
      </c>
      <c r="F63" s="6">
        <v>2500.0</v>
      </c>
      <c r="G63" s="6">
        <f t="shared" si="1"/>
        <v>68100.01000000001</v>
      </c>
    </row>
    <row r="64" spans="8:8">
      <c r="A64" s="3" t="s">
        <v>77</v>
      </c>
      <c r="B64" s="4" t="s">
        <v>65</v>
      </c>
      <c r="C64" s="5">
        <v>0.01</v>
      </c>
      <c r="D64" s="5">
        <v>67680.0</v>
      </c>
      <c r="E64" s="6">
        <v>2000.0</v>
      </c>
      <c r="F64" s="6">
        <v>2500.0</v>
      </c>
      <c r="G64" s="6">
        <f t="shared" si="1"/>
        <v>72180.01</v>
      </c>
    </row>
    <row r="65" spans="8:8">
      <c r="A65" s="3" t="s">
        <v>78</v>
      </c>
      <c r="B65" s="4" t="s">
        <v>65</v>
      </c>
      <c r="C65" s="5">
        <v>0.01</v>
      </c>
      <c r="D65" s="5">
        <v>74880.0</v>
      </c>
      <c r="E65" s="6">
        <v>2000.0</v>
      </c>
      <c r="F65" s="6">
        <v>2500.0</v>
      </c>
      <c r="G65" s="6">
        <f t="shared" si="1"/>
        <v>79380.01</v>
      </c>
    </row>
    <row r="66" spans="8:8">
      <c r="A66" s="3" t="s">
        <v>79</v>
      </c>
      <c r="B66" s="4" t="s">
        <v>65</v>
      </c>
      <c r="C66" s="5">
        <v>0.01</v>
      </c>
      <c r="D66" s="5">
        <v>82560.0</v>
      </c>
      <c r="E66" s="6">
        <v>2000.0</v>
      </c>
      <c r="F66" s="6">
        <v>2500.0</v>
      </c>
      <c r="G66" s="6">
        <f t="shared" si="1"/>
        <v>87060.01</v>
      </c>
    </row>
    <row r="67" spans="8:8">
      <c r="A67" s="3" t="s">
        <v>80</v>
      </c>
      <c r="B67" s="4" t="s">
        <v>65</v>
      </c>
      <c r="C67" s="5">
        <v>0.01</v>
      </c>
      <c r="D67" s="5">
        <v>63600.0</v>
      </c>
      <c r="E67" s="6">
        <v>2000.0</v>
      </c>
      <c r="F67" s="6">
        <v>2500.0</v>
      </c>
      <c r="G67" s="6">
        <f t="shared" si="1"/>
        <v>68100.01000000001</v>
      </c>
    </row>
    <row r="68" spans="8:8">
      <c r="A68" s="3" t="s">
        <v>81</v>
      </c>
      <c r="B68" s="4" t="s">
        <v>65</v>
      </c>
      <c r="C68" s="5">
        <v>0.01</v>
      </c>
      <c r="D68" s="5">
        <v>67680.0</v>
      </c>
      <c r="E68" s="6">
        <v>2000.0</v>
      </c>
      <c r="F68" s="6">
        <v>2500.0</v>
      </c>
      <c r="G68" s="6">
        <f t="shared" si="1"/>
        <v>72180.01</v>
      </c>
    </row>
    <row r="69" spans="8:8">
      <c r="A69" s="3" t="s">
        <v>82</v>
      </c>
      <c r="B69" s="4" t="s">
        <v>65</v>
      </c>
      <c r="C69" s="5">
        <v>0.01</v>
      </c>
      <c r="D69" s="5">
        <v>127200.0</v>
      </c>
      <c r="E69" s="6">
        <v>2000.0</v>
      </c>
      <c r="F69" s="6">
        <v>2500.0</v>
      </c>
      <c r="G69" s="6">
        <f t="shared" si="1"/>
        <v>131700.01</v>
      </c>
    </row>
    <row r="70" spans="8:8">
      <c r="A70" s="3" t="s">
        <v>83</v>
      </c>
      <c r="B70" s="4" t="s">
        <v>65</v>
      </c>
      <c r="C70" s="5">
        <v>0.01</v>
      </c>
      <c r="D70" s="5">
        <v>135360.0</v>
      </c>
      <c r="E70" s="6">
        <v>2000.0</v>
      </c>
      <c r="F70" s="6">
        <v>2500.0</v>
      </c>
      <c r="G70" s="6">
        <f t="shared" si="1"/>
        <v>139860.01</v>
      </c>
    </row>
    <row r="71" spans="8:8">
      <c r="A71" s="3" t="s">
        <v>84</v>
      </c>
      <c r="B71" s="4" t="s">
        <v>65</v>
      </c>
      <c r="C71" s="5">
        <v>0.01</v>
      </c>
      <c r="D71" s="5">
        <v>67680.0</v>
      </c>
      <c r="E71" s="6">
        <v>2000.0</v>
      </c>
      <c r="F71" s="6">
        <v>2500.0</v>
      </c>
      <c r="G71" s="6">
        <f t="shared" si="1"/>
        <v>72180.01</v>
      </c>
    </row>
    <row r="72" spans="8:8">
      <c r="A72" s="3" t="s">
        <v>85</v>
      </c>
      <c r="B72" s="4" t="s">
        <v>65</v>
      </c>
      <c r="C72" s="5">
        <v>0.01</v>
      </c>
      <c r="D72" s="5">
        <v>135360.0</v>
      </c>
      <c r="E72" s="6">
        <v>2000.0</v>
      </c>
      <c r="F72" s="6">
        <v>2500.0</v>
      </c>
      <c r="G72" s="6">
        <f t="shared" si="1"/>
        <v>139860.01</v>
      </c>
    </row>
    <row r="73" spans="8:8">
      <c r="A73" s="3" t="s">
        <v>86</v>
      </c>
      <c r="B73" s="4" t="s">
        <v>65</v>
      </c>
      <c r="C73" s="5">
        <v>0.01</v>
      </c>
      <c r="D73" s="5">
        <v>67680.0</v>
      </c>
      <c r="E73" s="6">
        <v>2000.0</v>
      </c>
      <c r="F73" s="6">
        <v>2500.0</v>
      </c>
      <c r="G73" s="6">
        <f t="shared" si="1"/>
        <v>72180.01</v>
      </c>
    </row>
    <row r="74" spans="8:8">
      <c r="A74" s="3" t="s">
        <v>87</v>
      </c>
      <c r="B74" s="4" t="s">
        <v>65</v>
      </c>
      <c r="C74" s="5">
        <v>0.01</v>
      </c>
      <c r="D74" s="5">
        <v>74880.0</v>
      </c>
      <c r="E74" s="6">
        <v>2000.0</v>
      </c>
      <c r="F74" s="6">
        <v>2500.0</v>
      </c>
      <c r="G74" s="6">
        <f t="shared" si="1"/>
        <v>79380.01</v>
      </c>
    </row>
    <row r="75" spans="8:8">
      <c r="A75" s="3" t="s">
        <v>88</v>
      </c>
      <c r="B75" s="4" t="s">
        <v>65</v>
      </c>
      <c r="C75" s="5">
        <v>0.01</v>
      </c>
      <c r="D75" s="5">
        <v>82560.0</v>
      </c>
      <c r="E75" s="6">
        <v>2000.0</v>
      </c>
      <c r="F75" s="6">
        <v>2500.0</v>
      </c>
      <c r="G75" s="6">
        <f t="shared" si="1"/>
        <v>87060.01</v>
      </c>
    </row>
    <row r="76" spans="8:8">
      <c r="A76" s="3" t="s">
        <v>89</v>
      </c>
      <c r="B76" s="4" t="s">
        <v>65</v>
      </c>
      <c r="C76" s="5">
        <v>0.01</v>
      </c>
      <c r="D76" s="5">
        <v>93600.0</v>
      </c>
      <c r="E76" s="6">
        <v>2000.0</v>
      </c>
      <c r="F76" s="6">
        <v>2500.0</v>
      </c>
      <c r="G76" s="6">
        <f t="shared" si="1"/>
        <v>98100.01</v>
      </c>
    </row>
    <row r="77" spans="8:8">
      <c r="A77" s="3" t="s">
        <v>90</v>
      </c>
      <c r="B77" s="4" t="s">
        <v>65</v>
      </c>
      <c r="C77" s="5">
        <v>0.01</v>
      </c>
      <c r="D77" s="5">
        <v>100560.0</v>
      </c>
      <c r="E77" s="6">
        <v>2000.0</v>
      </c>
      <c r="F77" s="6">
        <v>2500.0</v>
      </c>
      <c r="G77" s="6">
        <f t="shared" si="1"/>
        <v>105060.01</v>
      </c>
    </row>
    <row r="78" spans="8:8">
      <c r="A78" s="3" t="s">
        <v>91</v>
      </c>
      <c r="B78" s="4" t="s">
        <v>65</v>
      </c>
      <c r="C78" s="5">
        <v>0.01</v>
      </c>
      <c r="D78" s="5">
        <v>106560.0</v>
      </c>
      <c r="E78" s="6">
        <v>2000.0</v>
      </c>
      <c r="F78" s="6">
        <v>2500.0</v>
      </c>
      <c r="G78" s="6">
        <f t="shared" si="1"/>
        <v>111060.01</v>
      </c>
    </row>
    <row r="79" spans="8:8">
      <c r="A79" s="3" t="s">
        <v>92</v>
      </c>
      <c r="B79" s="4" t="s">
        <v>65</v>
      </c>
      <c r="C79" s="5">
        <v>0.01</v>
      </c>
      <c r="D79" s="5">
        <v>63600.0</v>
      </c>
      <c r="E79" s="6">
        <v>2000.0</v>
      </c>
      <c r="F79" s="6">
        <v>2500.0</v>
      </c>
      <c r="G79" s="6">
        <f t="shared" si="1"/>
        <v>68100.01000000001</v>
      </c>
    </row>
    <row r="80" spans="8:8">
      <c r="A80" s="3" t="s">
        <v>93</v>
      </c>
      <c r="B80" s="4" t="s">
        <v>65</v>
      </c>
      <c r="C80" s="5">
        <v>0.01</v>
      </c>
      <c r="D80" s="5">
        <v>67680.0</v>
      </c>
      <c r="E80" s="6">
        <v>2000.0</v>
      </c>
      <c r="F80" s="6">
        <v>2500.0</v>
      </c>
      <c r="G80" s="6">
        <f t="shared" si="1"/>
        <v>72180.01</v>
      </c>
    </row>
    <row r="81" spans="8:8">
      <c r="A81" s="3" t="s">
        <v>94</v>
      </c>
      <c r="B81" s="4" t="s">
        <v>65</v>
      </c>
      <c r="C81" s="5">
        <v>0.01</v>
      </c>
      <c r="D81" s="5">
        <v>82560.0</v>
      </c>
      <c r="E81" s="6">
        <v>2000.0</v>
      </c>
      <c r="F81" s="6">
        <v>2500.0</v>
      </c>
      <c r="G81" s="6">
        <f t="shared" si="1"/>
        <v>87060.01</v>
      </c>
    </row>
    <row r="82" spans="8:8">
      <c r="A82" s="3" t="s">
        <v>95</v>
      </c>
      <c r="B82" s="4" t="s">
        <v>65</v>
      </c>
      <c r="C82" s="5">
        <v>0.01</v>
      </c>
      <c r="D82" s="5">
        <v>67680.0</v>
      </c>
      <c r="E82" s="6">
        <v>2000.0</v>
      </c>
      <c r="F82" s="6">
        <v>2500.0</v>
      </c>
      <c r="G82" s="6">
        <f t="shared" si="1"/>
        <v>72180.01</v>
      </c>
    </row>
    <row r="83" spans="8:8">
      <c r="A83" s="3" t="s">
        <v>96</v>
      </c>
      <c r="B83" s="4" t="s">
        <v>65</v>
      </c>
      <c r="C83" s="5">
        <v>0.01</v>
      </c>
      <c r="D83" s="5">
        <v>82560.0</v>
      </c>
      <c r="E83" s="6">
        <v>2000.0</v>
      </c>
      <c r="F83" s="6">
        <v>2500.0</v>
      </c>
      <c r="G83" s="6">
        <f t="shared" si="1"/>
        <v>87060.01</v>
      </c>
    </row>
    <row r="84" spans="8:8">
      <c r="A84" s="3" t="s">
        <v>97</v>
      </c>
      <c r="B84" s="4" t="s">
        <v>65</v>
      </c>
      <c r="C84" s="5">
        <v>0.01</v>
      </c>
      <c r="D84" s="5">
        <v>63600.0</v>
      </c>
      <c r="E84" s="6">
        <v>2000.0</v>
      </c>
      <c r="F84" s="6">
        <v>2500.0</v>
      </c>
      <c r="G84" s="6">
        <f t="shared" si="1"/>
        <v>68100.01000000001</v>
      </c>
    </row>
    <row r="85" spans="8:8">
      <c r="A85" s="3" t="s">
        <v>98</v>
      </c>
      <c r="B85" s="4" t="s">
        <v>65</v>
      </c>
      <c r="C85" s="5">
        <v>0.01</v>
      </c>
      <c r="D85" s="5">
        <v>67680.0</v>
      </c>
      <c r="E85" s="6">
        <v>2000.0</v>
      </c>
      <c r="F85" s="6">
        <v>2500.0</v>
      </c>
      <c r="G85" s="6">
        <f t="shared" si="1"/>
        <v>72180.01</v>
      </c>
    </row>
    <row r="86" spans="8:8">
      <c r="A86" s="3" t="s">
        <v>99</v>
      </c>
      <c r="B86" s="4" t="s">
        <v>65</v>
      </c>
      <c r="C86" s="5">
        <v>0.01</v>
      </c>
      <c r="D86" s="5">
        <v>82560.0</v>
      </c>
      <c r="E86" s="6">
        <v>2000.0</v>
      </c>
      <c r="F86" s="6">
        <v>2500.0</v>
      </c>
      <c r="G86" s="6">
        <f t="shared" si="1"/>
        <v>87060.01</v>
      </c>
    </row>
    <row r="87" spans="8:8">
      <c r="A87" s="3" t="s">
        <v>100</v>
      </c>
      <c r="B87" s="4" t="s">
        <v>65</v>
      </c>
      <c r="C87" s="5">
        <v>0.01</v>
      </c>
      <c r="D87" s="5">
        <v>100560.0</v>
      </c>
      <c r="E87" s="6">
        <v>2000.0</v>
      </c>
      <c r="F87" s="6">
        <v>2500.0</v>
      </c>
      <c r="G87" s="6">
        <f t="shared" si="1"/>
        <v>105060.01</v>
      </c>
    </row>
    <row r="88" spans="8:8">
      <c r="A88" s="3" t="s">
        <v>101</v>
      </c>
      <c r="B88" s="4" t="s">
        <v>65</v>
      </c>
      <c r="C88" s="5">
        <v>0.01</v>
      </c>
      <c r="D88" s="5">
        <v>106560.0</v>
      </c>
      <c r="E88" s="6">
        <v>2000.0</v>
      </c>
      <c r="F88" s="6">
        <v>2500.0</v>
      </c>
      <c r="G88" s="6">
        <f t="shared" si="1"/>
        <v>111060.01</v>
      </c>
    </row>
    <row r="89" spans="8:8">
      <c r="A89" s="3" t="s">
        <v>102</v>
      </c>
      <c r="B89" s="4" t="s">
        <v>65</v>
      </c>
      <c r="C89" s="5">
        <v>0.01</v>
      </c>
      <c r="D89" s="5">
        <v>66960.0</v>
      </c>
      <c r="E89" s="6">
        <v>2000.0</v>
      </c>
      <c r="F89" s="6">
        <v>2500.0</v>
      </c>
      <c r="G89" s="6">
        <f t="shared" si="1"/>
        <v>71460.01</v>
      </c>
    </row>
    <row r="90" spans="8:8">
      <c r="A90" s="3" t="s">
        <v>103</v>
      </c>
      <c r="B90" s="4" t="s">
        <v>65</v>
      </c>
      <c r="C90" s="19">
        <v>0.01</v>
      </c>
      <c r="D90" s="5">
        <v>63600.0</v>
      </c>
      <c r="E90" s="6">
        <v>2000.0</v>
      </c>
      <c r="F90" s="6">
        <v>2500.0</v>
      </c>
      <c r="G90" s="6">
        <f t="shared" si="1"/>
        <v>68100.01000000001</v>
      </c>
    </row>
    <row r="91" spans="8:8">
      <c r="A91" s="3" t="s">
        <v>104</v>
      </c>
      <c r="B91" s="4" t="s">
        <v>65</v>
      </c>
      <c r="C91" s="19">
        <v>0.01</v>
      </c>
      <c r="D91" s="5">
        <v>67680.0</v>
      </c>
      <c r="E91" s="6">
        <v>2000.0</v>
      </c>
      <c r="F91" s="6">
        <v>2500.0</v>
      </c>
      <c r="G91" s="6">
        <f t="shared" si="1"/>
        <v>72180.01</v>
      </c>
    </row>
    <row r="92" spans="8:8">
      <c r="A92" s="3" t="s">
        <v>105</v>
      </c>
      <c r="B92" s="4" t="s">
        <v>65</v>
      </c>
      <c r="C92" s="19">
        <v>0.01</v>
      </c>
      <c r="D92" s="5">
        <v>74880.0</v>
      </c>
      <c r="E92" s="6">
        <v>2000.0</v>
      </c>
      <c r="F92" s="6">
        <v>2500.0</v>
      </c>
      <c r="G92" s="6">
        <f t="shared" si="1"/>
        <v>79380.01</v>
      </c>
    </row>
    <row r="93" spans="8:8">
      <c r="A93" s="3" t="s">
        <v>106</v>
      </c>
      <c r="B93" s="4" t="s">
        <v>65</v>
      </c>
      <c r="C93" s="19">
        <v>0.01</v>
      </c>
      <c r="D93" s="5">
        <v>63600.0</v>
      </c>
      <c r="E93" s="6">
        <v>2000.0</v>
      </c>
      <c r="F93" s="6">
        <v>2500.0</v>
      </c>
      <c r="G93" s="6">
        <f t="shared" si="1"/>
        <v>68100.01000000001</v>
      </c>
    </row>
    <row r="94" spans="8:8">
      <c r="A94" s="3" t="s">
        <v>107</v>
      </c>
      <c r="B94" s="4" t="s">
        <v>65</v>
      </c>
      <c r="C94" s="19">
        <v>0.01</v>
      </c>
      <c r="D94" s="5">
        <v>67680.0</v>
      </c>
      <c r="E94" s="6">
        <v>2000.0</v>
      </c>
      <c r="F94" s="6">
        <v>2500.0</v>
      </c>
      <c r="G94" s="6">
        <f t="shared" si="1"/>
        <v>72180.01</v>
      </c>
    </row>
    <row r="95" spans="8:8">
      <c r="A95" s="3" t="s">
        <v>108</v>
      </c>
      <c r="B95" s="4" t="s">
        <v>65</v>
      </c>
      <c r="C95" s="19">
        <v>0.01</v>
      </c>
      <c r="D95" s="5">
        <v>67680.0</v>
      </c>
      <c r="E95" s="6">
        <v>2000.0</v>
      </c>
      <c r="F95" s="6">
        <v>2500.0</v>
      </c>
      <c r="G95" s="6">
        <f t="shared" si="1"/>
        <v>72180.01</v>
      </c>
    </row>
    <row r="96" spans="8:8">
      <c r="A96" s="3" t="s">
        <v>109</v>
      </c>
      <c r="B96" s="4" t="s">
        <v>65</v>
      </c>
      <c r="C96" s="19">
        <v>0.01</v>
      </c>
      <c r="D96" s="5">
        <v>74880.0</v>
      </c>
      <c r="E96" s="6">
        <v>2000.0</v>
      </c>
      <c r="F96" s="6">
        <v>2500.0</v>
      </c>
      <c r="G96" s="6">
        <f t="shared" si="1"/>
        <v>79380.01</v>
      </c>
    </row>
    <row r="97" spans="8:8">
      <c r="A97" s="3" t="s">
        <v>110</v>
      </c>
      <c r="B97" s="4" t="s">
        <v>65</v>
      </c>
      <c r="C97" s="5">
        <v>36000.0</v>
      </c>
      <c r="D97" s="5">
        <v>62160.0</v>
      </c>
      <c r="E97" s="6">
        <v>2000.0</v>
      </c>
      <c r="F97" s="6">
        <v>2500.0</v>
      </c>
      <c r="G97" s="6">
        <f t="shared" si="1"/>
        <v>102660.0</v>
      </c>
    </row>
    <row r="98" spans="8:8">
      <c r="A98" s="3" t="s">
        <v>111</v>
      </c>
      <c r="B98" s="4" t="s">
        <v>65</v>
      </c>
      <c r="C98" s="19">
        <v>0.01</v>
      </c>
      <c r="D98" s="5">
        <v>63600.0</v>
      </c>
      <c r="E98" s="6">
        <v>2000.0</v>
      </c>
      <c r="F98" s="6">
        <v>2500.0</v>
      </c>
      <c r="G98" s="6">
        <f t="shared" si="1"/>
        <v>68100.01000000001</v>
      </c>
    </row>
    <row r="99" spans="8:8">
      <c r="A99" s="3" t="s">
        <v>112</v>
      </c>
      <c r="B99" s="4" t="s">
        <v>65</v>
      </c>
      <c r="C99" s="19">
        <v>0.01</v>
      </c>
      <c r="D99" s="5">
        <v>67680.0</v>
      </c>
      <c r="E99" s="6">
        <v>2000.0</v>
      </c>
      <c r="F99" s="6">
        <v>2500.0</v>
      </c>
      <c r="G99" s="6">
        <f t="shared" si="1"/>
        <v>72180.01</v>
      </c>
    </row>
    <row r="100" spans="8:8">
      <c r="A100" s="3" t="s">
        <v>113</v>
      </c>
      <c r="B100" s="4" t="s">
        <v>65</v>
      </c>
      <c r="C100" s="19">
        <v>0.01</v>
      </c>
      <c r="D100" s="5">
        <v>74880.0</v>
      </c>
      <c r="E100" s="6">
        <v>2000.0</v>
      </c>
      <c r="F100" s="6">
        <v>2500.0</v>
      </c>
      <c r="G100" s="6">
        <f t="shared" si="1"/>
        <v>79380.01</v>
      </c>
    </row>
    <row r="101" spans="8:8">
      <c r="A101" s="3" t="s">
        <v>114</v>
      </c>
      <c r="B101" s="4" t="s">
        <v>65</v>
      </c>
      <c r="C101" s="19">
        <v>0.01</v>
      </c>
      <c r="D101" s="5">
        <v>63600.0</v>
      </c>
      <c r="E101" s="6">
        <v>2000.0</v>
      </c>
      <c r="F101" s="6">
        <v>2500.0</v>
      </c>
      <c r="G101" s="6">
        <f t="shared" si="1"/>
        <v>68100.01000000001</v>
      </c>
    </row>
    <row r="102" spans="8:8">
      <c r="A102" s="14" t="s">
        <v>335</v>
      </c>
      <c r="B102" s="4" t="s">
        <v>65</v>
      </c>
      <c r="C102" s="19">
        <v>0.01</v>
      </c>
      <c r="D102" s="5">
        <v>67680.0</v>
      </c>
      <c r="E102" s="6">
        <v>2000.0</v>
      </c>
      <c r="F102" s="6">
        <v>2500.0</v>
      </c>
      <c r="G102" s="6">
        <f t="shared" si="1"/>
        <v>72180.01</v>
      </c>
    </row>
    <row r="103" spans="8:8">
      <c r="A103" s="3" t="s">
        <v>116</v>
      </c>
      <c r="B103" s="4" t="s">
        <v>65</v>
      </c>
      <c r="C103" s="19">
        <v>0.01</v>
      </c>
      <c r="D103" s="5">
        <v>74880.0</v>
      </c>
      <c r="E103" s="6">
        <v>2000.0</v>
      </c>
      <c r="F103" s="6">
        <v>2500.0</v>
      </c>
      <c r="G103" s="6">
        <f t="shared" si="1"/>
        <v>79380.01</v>
      </c>
    </row>
    <row r="104" spans="8:8">
      <c r="A104" s="3" t="s">
        <v>117</v>
      </c>
      <c r="B104" s="4" t="s">
        <v>65</v>
      </c>
      <c r="C104" s="19">
        <v>0.01</v>
      </c>
      <c r="D104" s="5">
        <v>67680.0</v>
      </c>
      <c r="E104" s="6">
        <v>2000.0</v>
      </c>
      <c r="F104" s="6">
        <v>2500.0</v>
      </c>
      <c r="G104" s="6">
        <f t="shared" si="1"/>
        <v>72180.01</v>
      </c>
    </row>
    <row r="105" spans="8:8">
      <c r="A105" s="3" t="s">
        <v>118</v>
      </c>
      <c r="B105" s="4" t="s">
        <v>65</v>
      </c>
      <c r="C105" s="19">
        <v>0.01</v>
      </c>
      <c r="D105" s="5">
        <v>63600.0</v>
      </c>
      <c r="E105" s="6">
        <v>2000.0</v>
      </c>
      <c r="F105" s="6">
        <v>2500.0</v>
      </c>
      <c r="G105" s="6">
        <f t="shared" si="1"/>
        <v>68100.01000000001</v>
      </c>
    </row>
    <row r="106" spans="8:8">
      <c r="A106" s="3" t="s">
        <v>119</v>
      </c>
      <c r="B106" s="4" t="s">
        <v>65</v>
      </c>
      <c r="C106" s="19">
        <v>0.01</v>
      </c>
      <c r="D106" s="5">
        <v>67680.0</v>
      </c>
      <c r="E106" s="6">
        <v>2000.0</v>
      </c>
      <c r="F106" s="6">
        <v>2500.0</v>
      </c>
      <c r="G106" s="6">
        <f t="shared" si="1"/>
        <v>72180.01</v>
      </c>
    </row>
    <row r="107" spans="8:8">
      <c r="A107" s="3" t="s">
        <v>120</v>
      </c>
      <c r="B107" s="4" t="s">
        <v>65</v>
      </c>
      <c r="C107" s="19">
        <v>0.01</v>
      </c>
      <c r="D107" s="5">
        <v>127200.0</v>
      </c>
      <c r="E107" s="6">
        <v>2000.0</v>
      </c>
      <c r="F107" s="6">
        <v>2500.0</v>
      </c>
      <c r="G107" s="6">
        <f t="shared" si="1"/>
        <v>131700.01</v>
      </c>
    </row>
    <row r="108" spans="8:8">
      <c r="A108" s="3" t="s">
        <v>121</v>
      </c>
      <c r="B108" s="4" t="s">
        <v>65</v>
      </c>
      <c r="C108" s="19">
        <v>0.01</v>
      </c>
      <c r="D108" s="5">
        <v>135360.0</v>
      </c>
      <c r="E108" s="6">
        <v>2000.0</v>
      </c>
      <c r="F108" s="6">
        <v>2500.0</v>
      </c>
      <c r="G108" s="6">
        <f t="shared" si="1"/>
        <v>139860.01</v>
      </c>
    </row>
    <row r="109" spans="8:8">
      <c r="A109" s="3" t="s">
        <v>122</v>
      </c>
      <c r="B109" s="4" t="s">
        <v>65</v>
      </c>
      <c r="C109" s="19">
        <v>0.01</v>
      </c>
      <c r="D109" s="5">
        <v>63600.0</v>
      </c>
      <c r="E109" s="6">
        <v>2000.0</v>
      </c>
      <c r="F109" s="6">
        <v>2500.0</v>
      </c>
      <c r="G109" s="6">
        <f t="shared" si="1"/>
        <v>68100.01000000001</v>
      </c>
    </row>
    <row r="110" spans="8:8">
      <c r="A110" s="3" t="s">
        <v>123</v>
      </c>
      <c r="B110" s="4" t="s">
        <v>65</v>
      </c>
      <c r="C110" s="19">
        <v>0.01</v>
      </c>
      <c r="D110" s="5">
        <v>67680.0</v>
      </c>
      <c r="E110" s="6">
        <v>2000.0</v>
      </c>
      <c r="F110" s="6">
        <v>2500.0</v>
      </c>
      <c r="G110" s="6">
        <f t="shared" si="1"/>
        <v>72180.01</v>
      </c>
    </row>
    <row r="111" spans="8:8">
      <c r="A111" s="3" t="s">
        <v>124</v>
      </c>
      <c r="B111" s="4" t="s">
        <v>65</v>
      </c>
      <c r="C111" s="19">
        <v>0.01</v>
      </c>
      <c r="D111" s="5">
        <v>74880.0</v>
      </c>
      <c r="E111" s="6">
        <v>2000.0</v>
      </c>
      <c r="F111" s="6">
        <v>2500.0</v>
      </c>
      <c r="G111" s="6">
        <f t="shared" si="1"/>
        <v>79380.01</v>
      </c>
    </row>
    <row r="112" spans="8:8">
      <c r="A112" s="3" t="s">
        <v>125</v>
      </c>
      <c r="B112" s="4" t="s">
        <v>65</v>
      </c>
      <c r="C112" s="19">
        <v>0.01</v>
      </c>
      <c r="D112" s="5">
        <v>82560.0</v>
      </c>
      <c r="E112" s="6">
        <v>2000.0</v>
      </c>
      <c r="F112" s="6">
        <v>2500.0</v>
      </c>
      <c r="G112" s="6">
        <f t="shared" si="1"/>
        <v>87060.01</v>
      </c>
    </row>
    <row r="113" spans="8:8">
      <c r="A113" s="3" t="s">
        <v>126</v>
      </c>
      <c r="B113" s="4" t="s">
        <v>65</v>
      </c>
      <c r="C113" s="19">
        <v>0.01</v>
      </c>
      <c r="D113" s="5">
        <v>93600.0</v>
      </c>
      <c r="E113" s="6">
        <v>2000.0</v>
      </c>
      <c r="F113" s="6">
        <v>2500.0</v>
      </c>
      <c r="G113" s="6">
        <f t="shared" si="1"/>
        <v>98100.01</v>
      </c>
    </row>
    <row r="114" spans="8:8">
      <c r="A114" s="3" t="s">
        <v>127</v>
      </c>
      <c r="B114" s="4" t="s">
        <v>65</v>
      </c>
      <c r="C114" s="19">
        <v>0.01</v>
      </c>
      <c r="D114" s="5">
        <v>127200.0</v>
      </c>
      <c r="E114" s="6">
        <v>2000.0</v>
      </c>
      <c r="F114" s="6">
        <v>2500.0</v>
      </c>
      <c r="G114" s="6">
        <f t="shared" si="1"/>
        <v>131700.01</v>
      </c>
    </row>
    <row r="115" spans="8:8">
      <c r="A115" s="3" t="s">
        <v>128</v>
      </c>
      <c r="B115" s="4" t="s">
        <v>65</v>
      </c>
      <c r="C115" s="19">
        <v>0.01</v>
      </c>
      <c r="D115" s="5">
        <v>135360.0</v>
      </c>
      <c r="E115" s="6">
        <v>2000.0</v>
      </c>
      <c r="F115" s="6">
        <v>2500.0</v>
      </c>
      <c r="G115" s="6">
        <f t="shared" si="1"/>
        <v>139860.01</v>
      </c>
    </row>
    <row r="116" spans="8:8">
      <c r="A116" s="3" t="s">
        <v>129</v>
      </c>
      <c r="B116" s="4" t="s">
        <v>65</v>
      </c>
      <c r="C116" s="19">
        <v>0.01</v>
      </c>
      <c r="D116" s="5">
        <v>149760.0</v>
      </c>
      <c r="E116" s="6">
        <v>2000.0</v>
      </c>
      <c r="F116" s="6">
        <v>2500.0</v>
      </c>
      <c r="G116" s="6">
        <f t="shared" si="1"/>
        <v>154260.01</v>
      </c>
    </row>
    <row r="117" spans="8:8">
      <c r="A117" s="3" t="s">
        <v>130</v>
      </c>
      <c r="B117" s="4" t="s">
        <v>65</v>
      </c>
      <c r="C117" s="19">
        <v>0.01</v>
      </c>
      <c r="D117" s="5">
        <v>165120.0</v>
      </c>
      <c r="E117" s="6">
        <v>2000.0</v>
      </c>
      <c r="F117" s="6">
        <v>2500.0</v>
      </c>
      <c r="G117" s="6">
        <f t="shared" si="1"/>
        <v>169620.01</v>
      </c>
    </row>
    <row r="118" spans="8:8">
      <c r="A118" s="3" t="s">
        <v>131</v>
      </c>
      <c r="B118" s="4" t="s">
        <v>65</v>
      </c>
      <c r="C118" s="19">
        <v>0.01</v>
      </c>
      <c r="D118" s="5">
        <v>187200.0</v>
      </c>
      <c r="E118" s="6">
        <v>2000.0</v>
      </c>
      <c r="F118" s="6">
        <v>2500.0</v>
      </c>
      <c r="G118" s="6">
        <f t="shared" si="1"/>
        <v>191700.01</v>
      </c>
    </row>
    <row r="119" spans="8:8">
      <c r="A119" s="3" t="s">
        <v>132</v>
      </c>
      <c r="B119" s="4" t="s">
        <v>65</v>
      </c>
      <c r="C119" s="19">
        <v>0.01</v>
      </c>
      <c r="D119" s="5">
        <v>63600.0</v>
      </c>
      <c r="E119" s="6">
        <v>2000.0</v>
      </c>
      <c r="F119" s="6">
        <v>2500.0</v>
      </c>
      <c r="G119" s="6">
        <f t="shared" si="1"/>
        <v>68100.01000000001</v>
      </c>
    </row>
    <row r="120" spans="8:8">
      <c r="A120" s="3" t="s">
        <v>133</v>
      </c>
      <c r="B120" s="4" t="s">
        <v>65</v>
      </c>
      <c r="C120" s="19">
        <v>0.01</v>
      </c>
      <c r="D120" s="5">
        <v>67680.0</v>
      </c>
      <c r="E120" s="6">
        <v>2000.0</v>
      </c>
      <c r="F120" s="6">
        <v>2500.0</v>
      </c>
      <c r="G120" s="6">
        <f t="shared" si="1"/>
        <v>72180.01</v>
      </c>
    </row>
    <row r="121" spans="8:8">
      <c r="A121" s="3" t="s">
        <v>134</v>
      </c>
      <c r="B121" s="4" t="s">
        <v>65</v>
      </c>
      <c r="C121" s="19">
        <v>0.01</v>
      </c>
      <c r="D121" s="5">
        <v>74880.0</v>
      </c>
      <c r="E121" s="6">
        <v>2000.0</v>
      </c>
      <c r="F121" s="6">
        <v>2500.0</v>
      </c>
      <c r="G121" s="6">
        <f t="shared" si="1"/>
        <v>79380.01</v>
      </c>
    </row>
    <row r="122" spans="8:8">
      <c r="A122" s="3" t="s">
        <v>135</v>
      </c>
      <c r="B122" s="4" t="s">
        <v>65</v>
      </c>
      <c r="C122" s="19">
        <v>0.01</v>
      </c>
      <c r="D122" s="5">
        <v>63600.0</v>
      </c>
      <c r="E122" s="6">
        <v>2000.0</v>
      </c>
      <c r="F122" s="6">
        <v>2500.0</v>
      </c>
      <c r="G122" s="6">
        <f t="shared" si="1"/>
        <v>68100.01000000001</v>
      </c>
    </row>
    <row r="123" spans="8:8">
      <c r="A123" s="3" t="s">
        <v>136</v>
      </c>
      <c r="B123" s="4" t="s">
        <v>65</v>
      </c>
      <c r="C123" s="19">
        <v>0.01</v>
      </c>
      <c r="D123" s="5">
        <v>67680.0</v>
      </c>
      <c r="E123" s="6">
        <v>2000.0</v>
      </c>
      <c r="F123" s="6">
        <v>2500.0</v>
      </c>
      <c r="G123" s="6">
        <f t="shared" si="1"/>
        <v>72180.01</v>
      </c>
    </row>
    <row r="124" spans="8:8">
      <c r="A124" s="3" t="s">
        <v>137</v>
      </c>
      <c r="B124" s="4" t="s">
        <v>65</v>
      </c>
      <c r="C124" s="19">
        <v>0.01</v>
      </c>
      <c r="D124" s="5">
        <v>127200.0</v>
      </c>
      <c r="E124" s="6">
        <v>2000.0</v>
      </c>
      <c r="F124" s="6">
        <v>2500.0</v>
      </c>
      <c r="G124" s="6">
        <f t="shared" si="1"/>
        <v>131700.01</v>
      </c>
    </row>
    <row r="125" spans="8:8">
      <c r="A125" s="3" t="s">
        <v>138</v>
      </c>
      <c r="B125" s="4" t="s">
        <v>65</v>
      </c>
      <c r="C125" s="19">
        <v>0.01</v>
      </c>
      <c r="D125" s="5">
        <v>135360.0</v>
      </c>
      <c r="E125" s="6">
        <v>2000.0</v>
      </c>
      <c r="F125" s="6">
        <v>2500.0</v>
      </c>
      <c r="G125" s="6">
        <f t="shared" si="1"/>
        <v>139860.01</v>
      </c>
    </row>
    <row r="126" spans="8:8">
      <c r="A126" s="3" t="s">
        <v>139</v>
      </c>
      <c r="B126" s="4" t="s">
        <v>65</v>
      </c>
      <c r="C126" s="19">
        <v>0.01</v>
      </c>
      <c r="D126" s="5">
        <v>63600.0</v>
      </c>
      <c r="E126" s="6">
        <v>2000.0</v>
      </c>
      <c r="F126" s="6">
        <v>2500.0</v>
      </c>
      <c r="G126" s="6">
        <f t="shared" si="2" ref="G126:G189">SUM(C126:F126)</f>
        <v>68100.01000000001</v>
      </c>
    </row>
    <row r="127" spans="8:8">
      <c r="A127" s="3" t="s">
        <v>140</v>
      </c>
      <c r="B127" s="4" t="s">
        <v>65</v>
      </c>
      <c r="C127" s="19">
        <v>0.01</v>
      </c>
      <c r="D127" s="5">
        <v>67680.0</v>
      </c>
      <c r="E127" s="6">
        <v>2000.0</v>
      </c>
      <c r="F127" s="6">
        <v>2500.0</v>
      </c>
      <c r="G127" s="6">
        <f t="shared" si="2"/>
        <v>72180.01</v>
      </c>
    </row>
    <row r="128" spans="8:8">
      <c r="A128" s="3" t="s">
        <v>141</v>
      </c>
      <c r="B128" s="4" t="s">
        <v>65</v>
      </c>
      <c r="C128" s="19">
        <v>0.01</v>
      </c>
      <c r="D128" s="5">
        <v>74880.0</v>
      </c>
      <c r="E128" s="6">
        <v>2000.0</v>
      </c>
      <c r="F128" s="6">
        <v>2500.0</v>
      </c>
      <c r="G128" s="6">
        <f t="shared" si="2"/>
        <v>79380.01</v>
      </c>
    </row>
    <row r="129" spans="8:8">
      <c r="A129" s="3" t="s">
        <v>142</v>
      </c>
      <c r="B129" s="4" t="s">
        <v>65</v>
      </c>
      <c r="C129" s="19">
        <v>0.01</v>
      </c>
      <c r="D129" s="5">
        <v>127200.0</v>
      </c>
      <c r="E129" s="6">
        <v>2000.0</v>
      </c>
      <c r="F129" s="6">
        <v>2500.0</v>
      </c>
      <c r="G129" s="6">
        <f t="shared" si="2"/>
        <v>131700.01</v>
      </c>
    </row>
    <row r="130" spans="8:8">
      <c r="A130" s="3" t="s">
        <v>143</v>
      </c>
      <c r="B130" s="4" t="s">
        <v>65</v>
      </c>
      <c r="C130" s="19">
        <v>0.01</v>
      </c>
      <c r="D130" s="5">
        <v>135360.0</v>
      </c>
      <c r="E130" s="6">
        <v>2000.0</v>
      </c>
      <c r="F130" s="6">
        <v>2500.0</v>
      </c>
      <c r="G130" s="6">
        <f t="shared" si="2"/>
        <v>139860.01</v>
      </c>
    </row>
    <row r="131" spans="8:8">
      <c r="A131" s="3" t="s">
        <v>144</v>
      </c>
      <c r="B131" s="4" t="s">
        <v>65</v>
      </c>
      <c r="C131" s="19">
        <v>0.01</v>
      </c>
      <c r="D131" s="5">
        <v>149760.0</v>
      </c>
      <c r="E131" s="6">
        <v>2000.0</v>
      </c>
      <c r="F131" s="6">
        <v>2500.0</v>
      </c>
      <c r="G131" s="6">
        <f t="shared" si="2"/>
        <v>154260.01</v>
      </c>
    </row>
    <row r="132" spans="8:8">
      <c r="A132" s="3" t="s">
        <v>145</v>
      </c>
      <c r="B132" s="4" t="s">
        <v>65</v>
      </c>
      <c r="C132" s="19">
        <v>0.01</v>
      </c>
      <c r="D132" s="5">
        <v>63600.0</v>
      </c>
      <c r="E132" s="6">
        <v>2000.0</v>
      </c>
      <c r="F132" s="6">
        <v>2500.0</v>
      </c>
      <c r="G132" s="6">
        <f t="shared" si="2"/>
        <v>68100.01000000001</v>
      </c>
    </row>
    <row r="133" spans="8:8">
      <c r="A133" s="3" t="s">
        <v>146</v>
      </c>
      <c r="B133" s="4" t="s">
        <v>65</v>
      </c>
      <c r="C133" s="19">
        <v>0.01</v>
      </c>
      <c r="D133" s="5">
        <v>67680.0</v>
      </c>
      <c r="E133" s="6">
        <v>2000.0</v>
      </c>
      <c r="F133" s="6">
        <v>2500.0</v>
      </c>
      <c r="G133" s="6">
        <f t="shared" si="2"/>
        <v>72180.01</v>
      </c>
    </row>
    <row r="134" spans="8:8">
      <c r="A134" s="3" t="s">
        <v>147</v>
      </c>
      <c r="B134" s="4" t="s">
        <v>65</v>
      </c>
      <c r="C134" s="19">
        <v>0.01</v>
      </c>
      <c r="D134" s="5">
        <v>74880.0</v>
      </c>
      <c r="E134" s="6">
        <v>2000.0</v>
      </c>
      <c r="F134" s="6">
        <v>2500.0</v>
      </c>
      <c r="G134" s="6">
        <f t="shared" si="2"/>
        <v>79380.01</v>
      </c>
    </row>
    <row r="135" spans="8:8">
      <c r="A135" s="3" t="s">
        <v>148</v>
      </c>
      <c r="B135" s="4" t="s">
        <v>65</v>
      </c>
      <c r="C135" s="19">
        <v>0.01</v>
      </c>
      <c r="D135" s="5">
        <v>67680.0</v>
      </c>
      <c r="E135" s="6">
        <v>2000.0</v>
      </c>
      <c r="F135" s="6">
        <v>2500.0</v>
      </c>
      <c r="G135" s="6">
        <f t="shared" si="2"/>
        <v>72180.01</v>
      </c>
    </row>
    <row r="136" spans="8:8">
      <c r="A136" s="3" t="s">
        <v>149</v>
      </c>
      <c r="B136" s="4" t="s">
        <v>65</v>
      </c>
      <c r="C136" s="19">
        <v>0.01</v>
      </c>
      <c r="D136" s="5">
        <v>74880.0</v>
      </c>
      <c r="E136" s="6">
        <v>2000.0</v>
      </c>
      <c r="F136" s="6">
        <v>2500.0</v>
      </c>
      <c r="G136" s="6">
        <f t="shared" si="2"/>
        <v>79380.01</v>
      </c>
    </row>
    <row r="137" spans="8:8">
      <c r="A137" s="3" t="s">
        <v>150</v>
      </c>
      <c r="B137" s="4" t="s">
        <v>65</v>
      </c>
      <c r="C137" s="19">
        <v>0.01</v>
      </c>
      <c r="D137" s="5">
        <v>100560.0</v>
      </c>
      <c r="E137" s="6">
        <v>2000.0</v>
      </c>
      <c r="F137" s="6">
        <v>2500.0</v>
      </c>
      <c r="G137" s="6">
        <f t="shared" si="2"/>
        <v>105060.01</v>
      </c>
    </row>
    <row r="138" spans="8:8">
      <c r="A138" s="3" t="s">
        <v>151</v>
      </c>
      <c r="B138" s="4" t="s">
        <v>65</v>
      </c>
      <c r="C138" s="19">
        <v>0.01</v>
      </c>
      <c r="D138" s="5">
        <v>135360.0</v>
      </c>
      <c r="E138" s="6">
        <v>2000.0</v>
      </c>
      <c r="F138" s="6">
        <v>2500.0</v>
      </c>
      <c r="G138" s="6">
        <f t="shared" si="2"/>
        <v>139860.01</v>
      </c>
    </row>
    <row r="139" spans="8:8">
      <c r="A139" s="3" t="s">
        <v>152</v>
      </c>
      <c r="B139" s="4" t="s">
        <v>65</v>
      </c>
      <c r="C139" s="19">
        <v>0.01</v>
      </c>
      <c r="D139" s="5">
        <v>149760.0</v>
      </c>
      <c r="E139" s="6">
        <v>2000.0</v>
      </c>
      <c r="F139" s="6">
        <v>2500.0</v>
      </c>
      <c r="G139" s="6">
        <f t="shared" si="2"/>
        <v>154260.01</v>
      </c>
    </row>
    <row r="140" spans="8:8">
      <c r="A140" s="3" t="s">
        <v>153</v>
      </c>
      <c r="B140" s="4" t="s">
        <v>65</v>
      </c>
      <c r="C140" s="19">
        <v>0.01</v>
      </c>
      <c r="D140" s="5">
        <v>312000.0</v>
      </c>
      <c r="E140" s="6">
        <v>2000.0</v>
      </c>
      <c r="F140" s="6">
        <v>2500.0</v>
      </c>
      <c r="G140" s="6">
        <f t="shared" si="2"/>
        <v>316500.01</v>
      </c>
    </row>
    <row r="141" spans="8:8">
      <c r="A141" s="3" t="s">
        <v>154</v>
      </c>
      <c r="B141" s="4" t="s">
        <v>65</v>
      </c>
      <c r="C141" s="19">
        <v>0.01</v>
      </c>
      <c r="D141" s="5">
        <v>60000.0</v>
      </c>
      <c r="E141" s="6">
        <v>2000.0</v>
      </c>
      <c r="F141" s="6">
        <v>2500.0</v>
      </c>
      <c r="G141" s="6">
        <f t="shared" si="2"/>
        <v>64500.01</v>
      </c>
    </row>
    <row r="142" spans="8:8">
      <c r="A142" s="3" t="s">
        <v>155</v>
      </c>
      <c r="B142" s="4" t="s">
        <v>65</v>
      </c>
      <c r="C142" s="19">
        <v>0.01</v>
      </c>
      <c r="D142" s="5">
        <v>63600.0</v>
      </c>
      <c r="E142" s="6">
        <v>2000.0</v>
      </c>
      <c r="F142" s="6">
        <v>2500.0</v>
      </c>
      <c r="G142" s="6">
        <f t="shared" si="2"/>
        <v>68100.01000000001</v>
      </c>
    </row>
    <row r="143" spans="8:8">
      <c r="A143" s="3" t="s">
        <v>156</v>
      </c>
      <c r="B143" s="4" t="s">
        <v>65</v>
      </c>
      <c r="C143" s="19">
        <v>0.01</v>
      </c>
      <c r="D143" s="5">
        <v>67680.0</v>
      </c>
      <c r="E143" s="6">
        <v>2000.0</v>
      </c>
      <c r="F143" s="6">
        <v>2500.0</v>
      </c>
      <c r="G143" s="6">
        <f t="shared" si="2"/>
        <v>72180.01</v>
      </c>
    </row>
    <row r="144" spans="8:8">
      <c r="A144" s="3" t="s">
        <v>157</v>
      </c>
      <c r="B144" s="4" t="s">
        <v>65</v>
      </c>
      <c r="C144" s="19">
        <v>0.01</v>
      </c>
      <c r="D144" s="5">
        <v>63600.0</v>
      </c>
      <c r="E144" s="6">
        <v>2000.0</v>
      </c>
      <c r="F144" s="6">
        <v>2500.0</v>
      </c>
      <c r="G144" s="6">
        <f t="shared" si="2"/>
        <v>68100.01000000001</v>
      </c>
    </row>
    <row r="145" spans="8:8">
      <c r="A145" s="3" t="s">
        <v>158</v>
      </c>
      <c r="B145" s="4" t="s">
        <v>65</v>
      </c>
      <c r="C145" s="19">
        <v>0.01</v>
      </c>
      <c r="D145" s="5">
        <v>67680.0</v>
      </c>
      <c r="E145" s="6">
        <v>2000.0</v>
      </c>
      <c r="F145" s="6">
        <v>2500.0</v>
      </c>
      <c r="G145" s="6">
        <f t="shared" si="2"/>
        <v>72180.01</v>
      </c>
    </row>
    <row r="146" spans="8:8">
      <c r="A146" s="3" t="s">
        <v>159</v>
      </c>
      <c r="B146" s="4" t="s">
        <v>65</v>
      </c>
      <c r="C146" s="19">
        <v>0.01</v>
      </c>
      <c r="D146" s="5">
        <v>74880.0</v>
      </c>
      <c r="E146" s="6">
        <v>2000.0</v>
      </c>
      <c r="F146" s="6">
        <v>2500.0</v>
      </c>
      <c r="G146" s="6">
        <f t="shared" si="2"/>
        <v>79380.01</v>
      </c>
    </row>
    <row r="147" spans="8:8">
      <c r="A147" s="3" t="s">
        <v>160</v>
      </c>
      <c r="B147" s="4" t="s">
        <v>65</v>
      </c>
      <c r="C147" s="19">
        <v>0.01</v>
      </c>
      <c r="D147" s="5">
        <v>67680.0</v>
      </c>
      <c r="E147" s="6">
        <v>2000.0</v>
      </c>
      <c r="F147" s="6">
        <v>2500.0</v>
      </c>
      <c r="G147" s="6">
        <f t="shared" si="2"/>
        <v>72180.01</v>
      </c>
    </row>
    <row r="148" spans="8:8">
      <c r="A148" s="3" t="s">
        <v>161</v>
      </c>
      <c r="B148" s="4" t="s">
        <v>65</v>
      </c>
      <c r="C148" s="19">
        <v>0.01</v>
      </c>
      <c r="D148" s="5">
        <v>74880.0</v>
      </c>
      <c r="E148" s="6">
        <v>2000.0</v>
      </c>
      <c r="F148" s="6">
        <v>2500.0</v>
      </c>
      <c r="G148" s="6">
        <f t="shared" si="2"/>
        <v>79380.01</v>
      </c>
    </row>
    <row r="149" spans="8:8">
      <c r="A149" s="3" t="s">
        <v>162</v>
      </c>
      <c r="B149" s="4" t="s">
        <v>65</v>
      </c>
      <c r="C149" s="19">
        <v>0.01</v>
      </c>
      <c r="D149" s="5">
        <v>135360.0</v>
      </c>
      <c r="E149" s="6">
        <v>2000.0</v>
      </c>
      <c r="F149" s="6">
        <v>2500.0</v>
      </c>
      <c r="G149" s="6">
        <f t="shared" si="2"/>
        <v>139860.01</v>
      </c>
    </row>
    <row r="150" spans="8:8">
      <c r="A150" s="3" t="s">
        <v>163</v>
      </c>
      <c r="B150" s="4" t="s">
        <v>65</v>
      </c>
      <c r="C150" s="19">
        <v>0.01</v>
      </c>
      <c r="D150" s="5">
        <v>149760.0</v>
      </c>
      <c r="E150" s="6">
        <v>2000.0</v>
      </c>
      <c r="F150" s="6">
        <v>2500.0</v>
      </c>
      <c r="G150" s="6">
        <f t="shared" si="2"/>
        <v>154260.01</v>
      </c>
    </row>
    <row r="151" spans="8:8">
      <c r="A151" s="3" t="s">
        <v>164</v>
      </c>
      <c r="B151" s="4" t="s">
        <v>65</v>
      </c>
      <c r="C151" s="19">
        <v>0.01</v>
      </c>
      <c r="D151" s="5">
        <v>58560.0</v>
      </c>
      <c r="E151" s="6">
        <v>2000.0</v>
      </c>
      <c r="F151" s="6">
        <v>2500.0</v>
      </c>
      <c r="G151" s="6">
        <f t="shared" si="2"/>
        <v>63060.01</v>
      </c>
    </row>
    <row r="152" spans="8:8">
      <c r="A152" s="3" t="s">
        <v>165</v>
      </c>
      <c r="B152" s="4" t="s">
        <v>65</v>
      </c>
      <c r="C152" s="19">
        <v>0.01</v>
      </c>
      <c r="D152" s="5">
        <v>65760.0</v>
      </c>
      <c r="E152" s="6">
        <v>2000.0</v>
      </c>
      <c r="F152" s="6">
        <v>2500.0</v>
      </c>
      <c r="G152" s="6">
        <f t="shared" si="2"/>
        <v>70260.01</v>
      </c>
    </row>
    <row r="153" spans="8:8">
      <c r="A153" s="3" t="s">
        <v>166</v>
      </c>
      <c r="B153" s="4" t="s">
        <v>65</v>
      </c>
      <c r="C153" s="19">
        <v>0.01</v>
      </c>
      <c r="D153" s="5">
        <v>63600.0</v>
      </c>
      <c r="E153" s="6">
        <v>2000.0</v>
      </c>
      <c r="F153" s="6">
        <v>2500.0</v>
      </c>
      <c r="G153" s="6">
        <f t="shared" si="2"/>
        <v>68100.01000000001</v>
      </c>
    </row>
    <row r="154" spans="8:8">
      <c r="A154" s="3" t="s">
        <v>167</v>
      </c>
      <c r="B154" s="4" t="s">
        <v>65</v>
      </c>
      <c r="C154" s="19">
        <v>0.01</v>
      </c>
      <c r="D154" s="5">
        <v>67680.0</v>
      </c>
      <c r="E154" s="6">
        <v>2000.0</v>
      </c>
      <c r="F154" s="6">
        <v>2500.0</v>
      </c>
      <c r="G154" s="6">
        <f t="shared" si="2"/>
        <v>72180.01</v>
      </c>
    </row>
    <row r="155" spans="8:8">
      <c r="A155" s="3" t="s">
        <v>168</v>
      </c>
      <c r="B155" s="4" t="s">
        <v>65</v>
      </c>
      <c r="C155" s="19">
        <v>0.01</v>
      </c>
      <c r="D155" s="5">
        <v>127200.0</v>
      </c>
      <c r="E155" s="6">
        <v>2000.0</v>
      </c>
      <c r="F155" s="6">
        <v>2500.0</v>
      </c>
      <c r="G155" s="6">
        <f t="shared" si="2"/>
        <v>131700.01</v>
      </c>
    </row>
    <row r="156" spans="8:8">
      <c r="A156" s="3" t="s">
        <v>169</v>
      </c>
      <c r="B156" s="4" t="s">
        <v>65</v>
      </c>
      <c r="C156" s="19">
        <v>0.01</v>
      </c>
      <c r="D156" s="5">
        <v>135360.0</v>
      </c>
      <c r="E156" s="6">
        <v>2000.0</v>
      </c>
      <c r="F156" s="6">
        <v>2500.0</v>
      </c>
      <c r="G156" s="6">
        <f t="shared" si="2"/>
        <v>139860.01</v>
      </c>
    </row>
    <row r="157" spans="8:8">
      <c r="A157" s="3" t="s">
        <v>170</v>
      </c>
      <c r="B157" s="4" t="s">
        <v>65</v>
      </c>
      <c r="C157" s="19">
        <v>0.01</v>
      </c>
      <c r="D157" s="5">
        <v>63600.0</v>
      </c>
      <c r="E157" s="6">
        <v>2000.0</v>
      </c>
      <c r="F157" s="6">
        <v>2500.0</v>
      </c>
      <c r="G157" s="6">
        <f t="shared" si="2"/>
        <v>68100.01000000001</v>
      </c>
    </row>
    <row r="158" spans="8:8">
      <c r="A158" s="3" t="s">
        <v>171</v>
      </c>
      <c r="B158" s="4" t="s">
        <v>65</v>
      </c>
      <c r="C158" s="19">
        <v>0.01</v>
      </c>
      <c r="D158" s="5">
        <v>67680.0</v>
      </c>
      <c r="E158" s="6">
        <v>2000.0</v>
      </c>
      <c r="F158" s="6">
        <v>2500.0</v>
      </c>
      <c r="G158" s="6">
        <f t="shared" si="2"/>
        <v>72180.01</v>
      </c>
    </row>
    <row r="159" spans="8:8">
      <c r="A159" s="3" t="s">
        <v>172</v>
      </c>
      <c r="B159" s="4" t="s">
        <v>65</v>
      </c>
      <c r="C159" s="19">
        <v>0.01</v>
      </c>
      <c r="D159" s="5">
        <v>74880.0</v>
      </c>
      <c r="E159" s="6">
        <v>2000.0</v>
      </c>
      <c r="F159" s="6">
        <v>2500.0</v>
      </c>
      <c r="G159" s="6">
        <f t="shared" si="2"/>
        <v>79380.01</v>
      </c>
    </row>
    <row r="160" spans="8:8">
      <c r="A160" s="3" t="s">
        <v>173</v>
      </c>
      <c r="B160" s="4" t="s">
        <v>65</v>
      </c>
      <c r="C160" s="19">
        <v>0.01</v>
      </c>
      <c r="D160" s="5">
        <v>127200.0</v>
      </c>
      <c r="E160" s="6">
        <v>2000.0</v>
      </c>
      <c r="F160" s="6">
        <v>2500.0</v>
      </c>
      <c r="G160" s="6">
        <f t="shared" si="2"/>
        <v>131700.01</v>
      </c>
    </row>
    <row r="161" spans="8:8">
      <c r="A161" s="3" t="s">
        <v>174</v>
      </c>
      <c r="B161" s="4" t="s">
        <v>65</v>
      </c>
      <c r="C161" s="19">
        <v>0.01</v>
      </c>
      <c r="D161" s="5">
        <v>135360.0</v>
      </c>
      <c r="E161" s="6">
        <v>2000.0</v>
      </c>
      <c r="F161" s="6">
        <v>2500.0</v>
      </c>
      <c r="G161" s="6">
        <f t="shared" si="2"/>
        <v>139860.01</v>
      </c>
    </row>
    <row r="162" spans="8:8">
      <c r="A162" s="3" t="s">
        <v>175</v>
      </c>
      <c r="B162" s="4" t="s">
        <v>65</v>
      </c>
      <c r="C162" s="19">
        <v>0.01</v>
      </c>
      <c r="D162" s="5">
        <v>149760.0</v>
      </c>
      <c r="E162" s="6">
        <v>2000.0</v>
      </c>
      <c r="F162" s="6">
        <v>2500.0</v>
      </c>
      <c r="G162" s="6">
        <f t="shared" si="2"/>
        <v>154260.01</v>
      </c>
    </row>
    <row r="163" spans="8:8">
      <c r="A163" s="3" t="s">
        <v>176</v>
      </c>
      <c r="B163" s="4" t="s">
        <v>65</v>
      </c>
      <c r="C163" s="19">
        <v>0.01</v>
      </c>
      <c r="D163" s="5">
        <v>59280.0</v>
      </c>
      <c r="E163" s="6">
        <v>2000.0</v>
      </c>
      <c r="F163" s="6">
        <v>2500.0</v>
      </c>
      <c r="G163" s="6">
        <f t="shared" si="2"/>
        <v>63780.01</v>
      </c>
    </row>
    <row r="164" spans="8:8">
      <c r="A164" s="3" t="s">
        <v>177</v>
      </c>
      <c r="B164" s="4" t="s">
        <v>65</v>
      </c>
      <c r="C164" s="19">
        <v>0.01</v>
      </c>
      <c r="D164" s="5">
        <v>74880.0</v>
      </c>
      <c r="E164" s="6">
        <v>2000.0</v>
      </c>
      <c r="F164" s="6">
        <v>2500.0</v>
      </c>
      <c r="G164" s="6">
        <f t="shared" si="2"/>
        <v>79380.01</v>
      </c>
    </row>
    <row r="165" spans="8:8">
      <c r="A165" s="3" t="s">
        <v>178</v>
      </c>
      <c r="B165" s="4" t="s">
        <v>65</v>
      </c>
      <c r="C165" s="5">
        <v>43200.0</v>
      </c>
      <c r="D165" s="5">
        <v>1124880.0</v>
      </c>
      <c r="E165" s="6">
        <v>2000.0</v>
      </c>
      <c r="F165" s="6">
        <v>2500.0</v>
      </c>
      <c r="G165" s="6">
        <f t="shared" si="2"/>
        <v>1172580.0</v>
      </c>
    </row>
    <row r="166" spans="8:8">
      <c r="A166" s="3" t="s">
        <v>179</v>
      </c>
      <c r="B166" s="4" t="s">
        <v>65</v>
      </c>
      <c r="C166" s="19">
        <v>0.01</v>
      </c>
      <c r="D166" s="5">
        <v>144240.0</v>
      </c>
      <c r="E166" s="6">
        <v>2000.0</v>
      </c>
      <c r="F166" s="6">
        <v>2500.0</v>
      </c>
      <c r="G166" s="6">
        <f t="shared" si="2"/>
        <v>148740.01</v>
      </c>
    </row>
    <row r="167" spans="8:8">
      <c r="A167" s="3" t="s">
        <v>180</v>
      </c>
      <c r="B167" s="4" t="s">
        <v>65</v>
      </c>
      <c r="C167" s="19">
        <v>0.01</v>
      </c>
      <c r="D167" s="5">
        <v>67680.0</v>
      </c>
      <c r="E167" s="6">
        <v>2000.0</v>
      </c>
      <c r="F167" s="6">
        <v>2500.0</v>
      </c>
      <c r="G167" s="6">
        <f t="shared" si="2"/>
        <v>72180.01</v>
      </c>
    </row>
    <row r="168" spans="8:8">
      <c r="A168" s="3" t="s">
        <v>181</v>
      </c>
      <c r="B168" s="4" t="s">
        <v>65</v>
      </c>
      <c r="C168" s="19">
        <v>0.01</v>
      </c>
      <c r="D168" s="5">
        <v>135360.0</v>
      </c>
      <c r="E168" s="6">
        <v>2000.0</v>
      </c>
      <c r="F168" s="6">
        <v>2500.0</v>
      </c>
      <c r="G168" s="6">
        <f t="shared" si="2"/>
        <v>139860.01</v>
      </c>
    </row>
    <row r="169" spans="8:8">
      <c r="A169" s="3" t="s">
        <v>182</v>
      </c>
      <c r="B169" s="4" t="s">
        <v>65</v>
      </c>
      <c r="C169" s="19">
        <v>0.01</v>
      </c>
      <c r="D169" s="5">
        <v>63600.0</v>
      </c>
      <c r="E169" s="6">
        <v>2000.0</v>
      </c>
      <c r="F169" s="6">
        <v>2500.0</v>
      </c>
      <c r="G169" s="6">
        <f t="shared" si="2"/>
        <v>68100.01000000001</v>
      </c>
    </row>
    <row r="170" spans="8:8">
      <c r="A170" s="3" t="s">
        <v>183</v>
      </c>
      <c r="B170" s="4" t="s">
        <v>65</v>
      </c>
      <c r="C170" s="19">
        <v>0.01</v>
      </c>
      <c r="D170" s="5">
        <v>67680.0</v>
      </c>
      <c r="E170" s="6">
        <v>2000.0</v>
      </c>
      <c r="F170" s="6">
        <v>2500.0</v>
      </c>
      <c r="G170" s="6">
        <f t="shared" si="2"/>
        <v>72180.01</v>
      </c>
    </row>
    <row r="171" spans="8:8" s="49" ht="15.0" customFormat="1">
      <c r="A171" s="3" t="s">
        <v>184</v>
      </c>
      <c r="B171" s="4" t="s">
        <v>65</v>
      </c>
      <c r="C171" s="19">
        <v>0.01</v>
      </c>
      <c r="D171" s="5">
        <v>74880.0</v>
      </c>
      <c r="E171" s="6">
        <v>2000.0</v>
      </c>
      <c r="F171" s="6">
        <v>2500.0</v>
      </c>
      <c r="G171" s="6">
        <f t="shared" si="2"/>
        <v>79380.01</v>
      </c>
    </row>
    <row r="172" spans="8:8">
      <c r="A172" s="3" t="s">
        <v>185</v>
      </c>
      <c r="B172" s="4" t="s">
        <v>65</v>
      </c>
      <c r="C172" s="19">
        <v>0.01</v>
      </c>
      <c r="D172" s="5">
        <v>127200.0</v>
      </c>
      <c r="E172" s="6">
        <v>2000.0</v>
      </c>
      <c r="F172" s="6">
        <v>2500.0</v>
      </c>
      <c r="G172" s="6">
        <f t="shared" si="2"/>
        <v>131700.01</v>
      </c>
    </row>
    <row r="173" spans="8:8">
      <c r="A173" s="3" t="s">
        <v>186</v>
      </c>
      <c r="B173" s="4" t="s">
        <v>65</v>
      </c>
      <c r="C173" s="19">
        <v>0.01</v>
      </c>
      <c r="D173" s="5">
        <v>135360.0</v>
      </c>
      <c r="E173" s="6">
        <v>2000.0</v>
      </c>
      <c r="F173" s="6">
        <v>2500.0</v>
      </c>
      <c r="G173" s="6">
        <f t="shared" si="2"/>
        <v>139860.01</v>
      </c>
    </row>
    <row r="174" spans="8:8">
      <c r="A174" s="3" t="s">
        <v>187</v>
      </c>
      <c r="B174" s="4" t="s">
        <v>65</v>
      </c>
      <c r="C174" s="19">
        <v>0.01</v>
      </c>
      <c r="D174" s="5">
        <v>149760.0</v>
      </c>
      <c r="E174" s="6">
        <v>2000.0</v>
      </c>
      <c r="F174" s="6">
        <v>2500.0</v>
      </c>
      <c r="G174" s="6">
        <f t="shared" si="2"/>
        <v>154260.01</v>
      </c>
    </row>
    <row r="175" spans="8:8">
      <c r="A175" s="15" t="s">
        <v>188</v>
      </c>
      <c r="B175" s="16" t="s">
        <v>65</v>
      </c>
      <c r="C175" s="19">
        <v>0.01</v>
      </c>
      <c r="D175" s="5">
        <v>63600.0</v>
      </c>
      <c r="E175" s="6">
        <v>2000.0</v>
      </c>
      <c r="F175" s="6">
        <v>2500.0</v>
      </c>
      <c r="G175" s="17">
        <f t="shared" si="2"/>
        <v>68100.01000000001</v>
      </c>
    </row>
    <row r="176" spans="8:8">
      <c r="A176" s="3" t="s">
        <v>189</v>
      </c>
      <c r="B176" s="4" t="s">
        <v>65</v>
      </c>
      <c r="C176" s="19">
        <v>0.01</v>
      </c>
      <c r="D176" s="5">
        <v>67680.0</v>
      </c>
      <c r="E176" s="6">
        <v>2000.0</v>
      </c>
      <c r="F176" s="6">
        <v>2500.0</v>
      </c>
      <c r="G176" s="6">
        <f t="shared" si="2"/>
        <v>72180.01</v>
      </c>
    </row>
    <row r="177" spans="8:8">
      <c r="A177" s="3" t="s">
        <v>190</v>
      </c>
      <c r="B177" s="4" t="s">
        <v>65</v>
      </c>
      <c r="C177" s="19">
        <v>0.01</v>
      </c>
      <c r="D177" s="5">
        <v>63600.0</v>
      </c>
      <c r="E177" s="6">
        <v>2000.0</v>
      </c>
      <c r="F177" s="6">
        <v>2500.0</v>
      </c>
      <c r="G177" s="6">
        <f t="shared" si="2"/>
        <v>68100.01000000001</v>
      </c>
    </row>
    <row r="178" spans="8:8">
      <c r="A178" s="3" t="s">
        <v>191</v>
      </c>
      <c r="B178" s="4" t="s">
        <v>65</v>
      </c>
      <c r="C178" s="19">
        <v>0.01</v>
      </c>
      <c r="D178" s="5">
        <v>67680.0</v>
      </c>
      <c r="E178" s="6">
        <v>2000.0</v>
      </c>
      <c r="F178" s="6">
        <v>2500.0</v>
      </c>
      <c r="G178" s="6">
        <f t="shared" si="2"/>
        <v>72180.01</v>
      </c>
    </row>
    <row r="179" spans="8:8">
      <c r="A179" s="3" t="s">
        <v>192</v>
      </c>
      <c r="B179" s="4" t="s">
        <v>65</v>
      </c>
      <c r="C179" s="19">
        <v>0.01</v>
      </c>
      <c r="D179" s="5">
        <v>74880.0</v>
      </c>
      <c r="E179" s="6">
        <v>2000.0</v>
      </c>
      <c r="F179" s="6">
        <v>2500.0</v>
      </c>
      <c r="G179" s="6">
        <f t="shared" si="2"/>
        <v>79380.01</v>
      </c>
    </row>
    <row r="180" spans="8:8">
      <c r="A180" s="3" t="s">
        <v>193</v>
      </c>
      <c r="B180" s="4" t="s">
        <v>65</v>
      </c>
      <c r="C180" s="19">
        <v>0.01</v>
      </c>
      <c r="D180" s="5">
        <v>63600.0</v>
      </c>
      <c r="E180" s="6">
        <v>2000.0</v>
      </c>
      <c r="F180" s="6">
        <v>2500.0</v>
      </c>
      <c r="G180" s="6">
        <f t="shared" si="2"/>
        <v>68100.01000000001</v>
      </c>
    </row>
    <row r="181" spans="8:8">
      <c r="A181" s="3" t="s">
        <v>194</v>
      </c>
      <c r="B181" s="4" t="s">
        <v>65</v>
      </c>
      <c r="C181" s="19">
        <v>0.01</v>
      </c>
      <c r="D181" s="5">
        <v>67680.0</v>
      </c>
      <c r="E181" s="6">
        <v>2000.0</v>
      </c>
      <c r="F181" s="6">
        <v>2500.0</v>
      </c>
      <c r="G181" s="6">
        <f t="shared" si="2"/>
        <v>72180.01</v>
      </c>
    </row>
    <row r="182" spans="8:8">
      <c r="A182" s="10" t="s">
        <v>195</v>
      </c>
      <c r="B182" s="11" t="s">
        <v>196</v>
      </c>
      <c r="C182" s="12">
        <v>31680.0</v>
      </c>
      <c r="D182" s="12">
        <v>217440.0</v>
      </c>
      <c r="E182" s="13">
        <v>2000.0</v>
      </c>
      <c r="F182" s="13">
        <v>2500.0</v>
      </c>
      <c r="G182" s="13">
        <f t="shared" si="2"/>
        <v>253620.0</v>
      </c>
    </row>
    <row r="183" spans="8:8">
      <c r="A183" s="3" t="s">
        <v>197</v>
      </c>
      <c r="B183" s="4" t="s">
        <v>196</v>
      </c>
      <c r="C183" s="19">
        <v>0.01</v>
      </c>
      <c r="D183" s="5">
        <v>264720.0</v>
      </c>
      <c r="E183" s="6">
        <v>2000.0</v>
      </c>
      <c r="F183" s="6">
        <v>2500.0</v>
      </c>
      <c r="G183" s="6">
        <f t="shared" si="2"/>
        <v>269220.01</v>
      </c>
    </row>
    <row r="184" spans="8:8">
      <c r="A184" s="3" t="s">
        <v>198</v>
      </c>
      <c r="B184" s="4" t="s">
        <v>196</v>
      </c>
      <c r="C184" s="19">
        <v>0.01</v>
      </c>
      <c r="D184" s="5">
        <v>2635920.0</v>
      </c>
      <c r="E184" s="6">
        <v>2000.0</v>
      </c>
      <c r="F184" s="6">
        <v>2500.0</v>
      </c>
      <c r="G184" s="6">
        <f t="shared" si="2"/>
        <v>2640420.01</v>
      </c>
    </row>
    <row r="185" spans="8:8">
      <c r="A185" s="3" t="s">
        <v>199</v>
      </c>
      <c r="B185" s="4" t="s">
        <v>196</v>
      </c>
      <c r="C185" s="19">
        <v>0.01</v>
      </c>
      <c r="D185" s="5">
        <v>264240.0</v>
      </c>
      <c r="E185" s="6">
        <v>2000.0</v>
      </c>
      <c r="F185" s="6">
        <v>2500.0</v>
      </c>
      <c r="G185" s="6">
        <f t="shared" si="2"/>
        <v>268740.01</v>
      </c>
    </row>
    <row r="186" spans="8:8">
      <c r="A186" s="18" t="s">
        <v>316</v>
      </c>
      <c r="B186" s="16" t="s">
        <v>196</v>
      </c>
      <c r="C186" s="19">
        <v>0.01</v>
      </c>
      <c r="D186" s="5">
        <v>528480.0</v>
      </c>
      <c r="E186" s="6">
        <v>2000.0</v>
      </c>
      <c r="F186" s="6">
        <v>2500.0</v>
      </c>
      <c r="G186" s="6">
        <f t="shared" si="2"/>
        <v>532980.01</v>
      </c>
    </row>
    <row r="187" spans="8:8">
      <c r="A187" s="3" t="s">
        <v>201</v>
      </c>
      <c r="B187" s="4" t="s">
        <v>196</v>
      </c>
      <c r="C187" s="19">
        <v>0.01</v>
      </c>
      <c r="D187" s="5">
        <v>264240.0</v>
      </c>
      <c r="E187" s="6">
        <v>2000.0</v>
      </c>
      <c r="F187" s="6">
        <v>2500.0</v>
      </c>
      <c r="G187" s="6">
        <f t="shared" si="2"/>
        <v>268740.01</v>
      </c>
    </row>
    <row r="188" spans="8:8">
      <c r="A188" s="3" t="s">
        <v>202</v>
      </c>
      <c r="B188" s="4" t="s">
        <v>196</v>
      </c>
      <c r="C188" s="19">
        <v>0.01</v>
      </c>
      <c r="D188" s="5">
        <v>264240.0</v>
      </c>
      <c r="E188" s="6">
        <v>2000.0</v>
      </c>
      <c r="F188" s="6">
        <v>2500.0</v>
      </c>
      <c r="G188" s="6">
        <f t="shared" si="2"/>
        <v>268740.01</v>
      </c>
    </row>
    <row r="189" spans="8:8">
      <c r="A189" s="3" t="s">
        <v>203</v>
      </c>
      <c r="B189" s="4" t="s">
        <v>196</v>
      </c>
      <c r="C189" s="19">
        <v>0.01</v>
      </c>
      <c r="D189" s="5">
        <v>264240.0</v>
      </c>
      <c r="E189" s="6">
        <v>2000.0</v>
      </c>
      <c r="F189" s="6">
        <v>2500.0</v>
      </c>
      <c r="G189" s="6">
        <f t="shared" si="2"/>
        <v>268740.01</v>
      </c>
    </row>
    <row r="190" spans="8:8">
      <c r="A190" s="3" t="s">
        <v>204</v>
      </c>
      <c r="B190" s="4" t="s">
        <v>196</v>
      </c>
      <c r="C190" s="19">
        <v>0.01</v>
      </c>
      <c r="D190" s="5">
        <v>264240.0</v>
      </c>
      <c r="E190" s="6">
        <v>2000.0</v>
      </c>
      <c r="F190" s="6">
        <v>2500.0</v>
      </c>
      <c r="G190" s="6">
        <f t="shared" si="3" ref="G190:G253">SUM(C190:F190)</f>
        <v>268740.01</v>
      </c>
    </row>
    <row r="191" spans="8:8">
      <c r="A191" s="3" t="s">
        <v>205</v>
      </c>
      <c r="B191" s="4" t="s">
        <v>196</v>
      </c>
      <c r="C191" s="19">
        <v>0.01</v>
      </c>
      <c r="D191" s="5">
        <v>264240.0</v>
      </c>
      <c r="E191" s="6">
        <v>2000.0</v>
      </c>
      <c r="F191" s="6">
        <v>2500.0</v>
      </c>
      <c r="G191" s="6">
        <f t="shared" si="3"/>
        <v>268740.01</v>
      </c>
    </row>
    <row r="192" spans="8:8">
      <c r="A192" s="3" t="s">
        <v>206</v>
      </c>
      <c r="B192" s="4" t="s">
        <v>196</v>
      </c>
      <c r="C192" s="19">
        <v>0.01</v>
      </c>
      <c r="D192" s="5">
        <v>264240.0</v>
      </c>
      <c r="E192" s="6">
        <v>2000.0</v>
      </c>
      <c r="F192" s="6">
        <v>2500.0</v>
      </c>
      <c r="G192" s="6">
        <f t="shared" si="3"/>
        <v>268740.01</v>
      </c>
    </row>
    <row r="193" spans="8:8">
      <c r="A193" s="3" t="s">
        <v>207</v>
      </c>
      <c r="B193" s="4" t="s">
        <v>196</v>
      </c>
      <c r="C193" s="19">
        <v>0.01</v>
      </c>
      <c r="D193" s="5">
        <v>264240.0</v>
      </c>
      <c r="E193" s="6">
        <v>2000.0</v>
      </c>
      <c r="F193" s="6">
        <v>2500.0</v>
      </c>
      <c r="G193" s="6">
        <f t="shared" si="3"/>
        <v>268740.01</v>
      </c>
    </row>
    <row r="194" spans="8:8">
      <c r="A194" s="3" t="s">
        <v>208</v>
      </c>
      <c r="B194" s="4" t="s">
        <v>196</v>
      </c>
      <c r="C194" s="19">
        <v>0.01</v>
      </c>
      <c r="D194" s="5">
        <v>264240.0</v>
      </c>
      <c r="E194" s="6">
        <v>2000.0</v>
      </c>
      <c r="F194" s="6">
        <v>2500.0</v>
      </c>
      <c r="G194" s="6">
        <f t="shared" si="3"/>
        <v>268740.01</v>
      </c>
    </row>
    <row r="195" spans="8:8">
      <c r="A195" s="3" t="s">
        <v>209</v>
      </c>
      <c r="B195" s="4" t="s">
        <v>196</v>
      </c>
      <c r="C195" s="19">
        <v>0.01</v>
      </c>
      <c r="D195" s="5">
        <v>264240.0</v>
      </c>
      <c r="E195" s="6">
        <v>2000.0</v>
      </c>
      <c r="F195" s="6">
        <v>2500.0</v>
      </c>
      <c r="G195" s="6">
        <f t="shared" si="3"/>
        <v>268740.01</v>
      </c>
    </row>
    <row r="196" spans="8:8">
      <c r="A196" s="3" t="s">
        <v>210</v>
      </c>
      <c r="B196" s="4" t="s">
        <v>196</v>
      </c>
      <c r="C196" s="19">
        <v>0.01</v>
      </c>
      <c r="D196" s="5">
        <v>264240.0</v>
      </c>
      <c r="E196" s="6">
        <v>2000.0</v>
      </c>
      <c r="F196" s="6">
        <v>2500.0</v>
      </c>
      <c r="G196" s="6">
        <f t="shared" si="3"/>
        <v>268740.01</v>
      </c>
    </row>
    <row r="197" spans="8:8">
      <c r="A197" s="3" t="s">
        <v>211</v>
      </c>
      <c r="B197" s="4" t="s">
        <v>196</v>
      </c>
      <c r="C197" s="19">
        <v>0.01</v>
      </c>
      <c r="D197" s="5">
        <v>264240.0</v>
      </c>
      <c r="E197" s="6">
        <v>2000.0</v>
      </c>
      <c r="F197" s="6">
        <v>2500.0</v>
      </c>
      <c r="G197" s="6">
        <f t="shared" si="3"/>
        <v>268740.01</v>
      </c>
    </row>
    <row r="198" spans="8:8">
      <c r="A198" s="3" t="s">
        <v>212</v>
      </c>
      <c r="B198" s="4" t="s">
        <v>196</v>
      </c>
      <c r="C198" s="19">
        <v>0.01</v>
      </c>
      <c r="D198" s="5">
        <v>264240.0</v>
      </c>
      <c r="E198" s="6">
        <v>2000.0</v>
      </c>
      <c r="F198" s="6">
        <v>2500.0</v>
      </c>
      <c r="G198" s="6">
        <f t="shared" si="3"/>
        <v>268740.01</v>
      </c>
    </row>
    <row r="199" spans="8:8">
      <c r="A199" s="3" t="s">
        <v>213</v>
      </c>
      <c r="B199" s="4" t="s">
        <v>196</v>
      </c>
      <c r="C199" s="19">
        <v>0.01</v>
      </c>
      <c r="D199" s="5">
        <v>264240.0</v>
      </c>
      <c r="E199" s="6">
        <v>2000.0</v>
      </c>
      <c r="F199" s="6">
        <v>2500.0</v>
      </c>
      <c r="G199" s="6">
        <f t="shared" si="3"/>
        <v>268740.01</v>
      </c>
    </row>
    <row r="200" spans="8:8">
      <c r="A200" s="3" t="s">
        <v>214</v>
      </c>
      <c r="B200" s="4" t="s">
        <v>196</v>
      </c>
      <c r="C200" s="19">
        <v>0.01</v>
      </c>
      <c r="D200" s="5">
        <v>264240.0</v>
      </c>
      <c r="E200" s="6">
        <v>2000.0</v>
      </c>
      <c r="F200" s="6">
        <v>2500.0</v>
      </c>
      <c r="G200" s="6">
        <f t="shared" si="3"/>
        <v>268740.01</v>
      </c>
    </row>
    <row r="201" spans="8:8">
      <c r="A201" s="3" t="s">
        <v>215</v>
      </c>
      <c r="B201" s="4" t="s">
        <v>196</v>
      </c>
      <c r="C201" s="19">
        <v>0.02</v>
      </c>
      <c r="D201" s="5">
        <v>264240.0</v>
      </c>
      <c r="E201" s="6">
        <v>2000.0</v>
      </c>
      <c r="F201" s="6">
        <v>2500.0</v>
      </c>
      <c r="G201" s="6">
        <f t="shared" si="3"/>
        <v>268740.02</v>
      </c>
    </row>
    <row r="202" spans="8:8">
      <c r="A202" s="3" t="s">
        <v>216</v>
      </c>
      <c r="B202" s="4" t="s">
        <v>196</v>
      </c>
      <c r="C202" s="19">
        <v>0.01</v>
      </c>
      <c r="D202" s="5">
        <v>264240.0</v>
      </c>
      <c r="E202" s="6">
        <v>2000.0</v>
      </c>
      <c r="F202" s="6">
        <v>2500.0</v>
      </c>
      <c r="G202" s="6">
        <f t="shared" si="3"/>
        <v>268740.01</v>
      </c>
      <c r="J202" s="49"/>
    </row>
    <row r="203" spans="8:8" s="49" ht="15.0" customFormat="1">
      <c r="A203" s="3" t="s">
        <v>217</v>
      </c>
      <c r="B203" s="4" t="s">
        <v>196</v>
      </c>
      <c r="C203" s="19">
        <v>0.01</v>
      </c>
      <c r="D203" s="5">
        <v>264240.0</v>
      </c>
      <c r="E203" s="6">
        <v>2000.0</v>
      </c>
      <c r="F203" s="6">
        <v>2500.0</v>
      </c>
      <c r="G203" s="6">
        <f t="shared" si="3"/>
        <v>268740.01</v>
      </c>
      <c r="J203" s="39"/>
    </row>
    <row r="204" spans="8:8">
      <c r="A204" s="3" t="s">
        <v>218</v>
      </c>
      <c r="B204" s="4" t="s">
        <v>196</v>
      </c>
      <c r="C204" s="19">
        <v>0.01</v>
      </c>
      <c r="D204" s="5">
        <v>264240.0</v>
      </c>
      <c r="E204" s="6">
        <v>2000.0</v>
      </c>
      <c r="F204" s="6">
        <v>2500.0</v>
      </c>
      <c r="G204" s="6">
        <f t="shared" si="3"/>
        <v>268740.01</v>
      </c>
    </row>
    <row r="205" spans="8:8">
      <c r="A205" s="3" t="s">
        <v>219</v>
      </c>
      <c r="B205" s="4" t="s">
        <v>196</v>
      </c>
      <c r="C205" s="19">
        <v>0.01</v>
      </c>
      <c r="D205" s="5">
        <v>264240.0</v>
      </c>
      <c r="E205" s="6">
        <v>2000.0</v>
      </c>
      <c r="F205" s="6">
        <v>2500.0</v>
      </c>
      <c r="G205" s="6">
        <f t="shared" si="3"/>
        <v>268740.01</v>
      </c>
    </row>
    <row r="206" spans="8:8">
      <c r="A206" s="3" t="s">
        <v>220</v>
      </c>
      <c r="B206" s="4" t="s">
        <v>196</v>
      </c>
      <c r="C206" s="19">
        <v>0.01</v>
      </c>
      <c r="D206" s="5">
        <v>264240.0</v>
      </c>
      <c r="E206" s="6">
        <v>2000.0</v>
      </c>
      <c r="F206" s="6">
        <v>2500.0</v>
      </c>
      <c r="G206" s="6">
        <f t="shared" si="3"/>
        <v>268740.01</v>
      </c>
    </row>
    <row r="207" spans="8:8">
      <c r="A207" s="18" t="s">
        <v>336</v>
      </c>
      <c r="B207" s="16" t="s">
        <v>196</v>
      </c>
      <c r="C207" s="19">
        <v>0.01</v>
      </c>
      <c r="D207" s="5">
        <v>264240.0</v>
      </c>
      <c r="E207" s="6">
        <v>2000.0</v>
      </c>
      <c r="F207" s="6">
        <v>2500.0</v>
      </c>
      <c r="G207" s="17">
        <f t="shared" si="3"/>
        <v>268740.01</v>
      </c>
    </row>
    <row r="208" spans="8:8">
      <c r="A208" s="3" t="s">
        <v>222</v>
      </c>
      <c r="B208" s="4" t="s">
        <v>196</v>
      </c>
      <c r="C208" s="19">
        <v>0.01</v>
      </c>
      <c r="D208" s="5">
        <v>528480.0</v>
      </c>
      <c r="E208" s="6">
        <v>2000.0</v>
      </c>
      <c r="F208" s="6">
        <v>2500.0</v>
      </c>
      <c r="G208" s="6">
        <f t="shared" si="3"/>
        <v>532980.01</v>
      </c>
    </row>
    <row r="209" spans="8:8">
      <c r="A209" s="3" t="s">
        <v>223</v>
      </c>
      <c r="B209" s="4" t="s">
        <v>196</v>
      </c>
      <c r="C209" s="19">
        <v>0.01</v>
      </c>
      <c r="D209" s="5">
        <v>264240.0</v>
      </c>
      <c r="E209" s="6">
        <v>2000.0</v>
      </c>
      <c r="F209" s="6">
        <v>2500.0</v>
      </c>
      <c r="G209" s="6">
        <f t="shared" si="3"/>
        <v>268740.01</v>
      </c>
    </row>
    <row r="210" spans="8:8">
      <c r="A210" s="3" t="s">
        <v>224</v>
      </c>
      <c r="B210" s="4" t="s">
        <v>196</v>
      </c>
      <c r="C210" s="19">
        <v>0.01</v>
      </c>
      <c r="D210" s="5">
        <v>264240.0</v>
      </c>
      <c r="E210" s="6">
        <v>2000.0</v>
      </c>
      <c r="F210" s="6">
        <v>2500.0</v>
      </c>
      <c r="G210" s="6">
        <f t="shared" si="3"/>
        <v>268740.01</v>
      </c>
    </row>
    <row r="211" spans="8:8">
      <c r="A211" s="3" t="s">
        <v>225</v>
      </c>
      <c r="B211" s="4" t="s">
        <v>196</v>
      </c>
      <c r="C211" s="19">
        <v>0.01</v>
      </c>
      <c r="D211" s="5">
        <v>264240.0</v>
      </c>
      <c r="E211" s="6">
        <v>2000.0</v>
      </c>
      <c r="F211" s="6">
        <v>2500.0</v>
      </c>
      <c r="G211" s="6">
        <f t="shared" si="3"/>
        <v>268740.01</v>
      </c>
    </row>
    <row r="212" spans="8:8">
      <c r="A212" s="3" t="s">
        <v>226</v>
      </c>
      <c r="B212" s="4" t="s">
        <v>196</v>
      </c>
      <c r="C212" s="19">
        <v>0.01</v>
      </c>
      <c r="D212" s="5">
        <v>347280.0</v>
      </c>
      <c r="E212" s="6">
        <v>2000.0</v>
      </c>
      <c r="F212" s="6">
        <v>2500.0</v>
      </c>
      <c r="G212" s="6">
        <f t="shared" si="3"/>
        <v>351780.01</v>
      </c>
    </row>
    <row r="213" spans="8:8">
      <c r="A213" s="3" t="s">
        <v>227</v>
      </c>
      <c r="B213" s="4" t="s">
        <v>196</v>
      </c>
      <c r="C213" s="19">
        <v>0.01</v>
      </c>
      <c r="D213" s="5">
        <v>427200.0</v>
      </c>
      <c r="E213" s="6">
        <v>2000.0</v>
      </c>
      <c r="F213" s="6">
        <v>2500.0</v>
      </c>
      <c r="G213" s="6">
        <f t="shared" si="3"/>
        <v>431700.01</v>
      </c>
    </row>
    <row r="214" spans="8:8">
      <c r="A214" s="3" t="s">
        <v>228</v>
      </c>
      <c r="B214" s="4" t="s">
        <v>196</v>
      </c>
      <c r="C214" s="19">
        <v>0.01</v>
      </c>
      <c r="D214" s="5">
        <v>264240.0</v>
      </c>
      <c r="E214" s="6">
        <v>2000.0</v>
      </c>
      <c r="F214" s="6">
        <v>2500.0</v>
      </c>
      <c r="G214" s="6">
        <f t="shared" si="3"/>
        <v>268740.01</v>
      </c>
    </row>
    <row r="215" spans="8:8">
      <c r="A215" s="3" t="s">
        <v>229</v>
      </c>
      <c r="B215" s="4" t="s">
        <v>196</v>
      </c>
      <c r="C215" s="19">
        <v>0.01</v>
      </c>
      <c r="D215" s="5">
        <v>264240.0</v>
      </c>
      <c r="E215" s="6">
        <v>2000.0</v>
      </c>
      <c r="F215" s="6">
        <v>2500.0</v>
      </c>
      <c r="G215" s="6">
        <f t="shared" si="3"/>
        <v>268740.01</v>
      </c>
    </row>
    <row r="216" spans="8:8">
      <c r="A216" s="3" t="s">
        <v>230</v>
      </c>
      <c r="B216" s="4" t="s">
        <v>196</v>
      </c>
      <c r="C216" s="19">
        <v>0.01</v>
      </c>
      <c r="D216" s="5">
        <v>264240.0</v>
      </c>
      <c r="E216" s="6">
        <v>2000.0</v>
      </c>
      <c r="F216" s="6">
        <v>2500.0</v>
      </c>
      <c r="G216" s="6">
        <f t="shared" si="3"/>
        <v>268740.01</v>
      </c>
    </row>
    <row r="217" spans="8:8">
      <c r="A217" s="3" t="s">
        <v>231</v>
      </c>
      <c r="B217" s="4" t="s">
        <v>196</v>
      </c>
      <c r="C217" s="19">
        <v>0.01</v>
      </c>
      <c r="D217" s="5">
        <v>264240.0</v>
      </c>
      <c r="E217" s="6">
        <v>2000.0</v>
      </c>
      <c r="F217" s="6">
        <v>2500.0</v>
      </c>
      <c r="G217" s="6">
        <f t="shared" si="3"/>
        <v>268740.01</v>
      </c>
    </row>
    <row r="218" spans="8:8">
      <c r="A218" s="3" t="s">
        <v>232</v>
      </c>
      <c r="B218" s="4" t="s">
        <v>196</v>
      </c>
      <c r="C218" s="19">
        <v>0.01</v>
      </c>
      <c r="D218" s="5">
        <v>264240.0</v>
      </c>
      <c r="E218" s="6">
        <v>2000.0</v>
      </c>
      <c r="F218" s="6">
        <v>2500.0</v>
      </c>
      <c r="G218" s="6">
        <f t="shared" si="3"/>
        <v>268740.01</v>
      </c>
    </row>
    <row r="219" spans="8:8">
      <c r="A219" s="3" t="s">
        <v>233</v>
      </c>
      <c r="B219" s="4" t="s">
        <v>196</v>
      </c>
      <c r="C219" s="19">
        <v>0.01</v>
      </c>
      <c r="D219" s="5">
        <v>264240.0</v>
      </c>
      <c r="E219" s="6">
        <v>2000.0</v>
      </c>
      <c r="F219" s="6">
        <v>2500.0</v>
      </c>
      <c r="G219" s="6">
        <f t="shared" si="3"/>
        <v>268740.01</v>
      </c>
    </row>
    <row r="220" spans="8:8">
      <c r="A220" s="3" t="s">
        <v>234</v>
      </c>
      <c r="B220" s="4" t="s">
        <v>196</v>
      </c>
      <c r="C220" s="19">
        <v>0.01</v>
      </c>
      <c r="D220" s="5">
        <v>264240.0</v>
      </c>
      <c r="E220" s="6">
        <v>2000.0</v>
      </c>
      <c r="F220" s="6">
        <v>2500.0</v>
      </c>
      <c r="G220" s="6">
        <f t="shared" si="3"/>
        <v>268740.01</v>
      </c>
    </row>
    <row r="221" spans="8:8">
      <c r="A221" s="3" t="s">
        <v>235</v>
      </c>
      <c r="B221" s="4" t="s">
        <v>196</v>
      </c>
      <c r="C221" s="19">
        <v>0.01</v>
      </c>
      <c r="D221" s="5">
        <v>264240.0</v>
      </c>
      <c r="E221" s="6">
        <v>2000.0</v>
      </c>
      <c r="F221" s="6">
        <v>2500.0</v>
      </c>
      <c r="G221" s="6">
        <f t="shared" si="3"/>
        <v>268740.01</v>
      </c>
    </row>
    <row r="222" spans="8:8">
      <c r="A222" s="3" t="s">
        <v>236</v>
      </c>
      <c r="B222" s="4" t="s">
        <v>196</v>
      </c>
      <c r="C222" s="19">
        <v>0.01</v>
      </c>
      <c r="D222" s="5">
        <v>264240.0</v>
      </c>
      <c r="E222" s="6">
        <v>2000.0</v>
      </c>
      <c r="F222" s="6">
        <v>2500.0</v>
      </c>
      <c r="G222" s="6">
        <f t="shared" si="3"/>
        <v>268740.01</v>
      </c>
    </row>
    <row r="223" spans="8:8">
      <c r="A223" s="3" t="s">
        <v>237</v>
      </c>
      <c r="B223" s="4" t="s">
        <v>196</v>
      </c>
      <c r="C223" s="19">
        <v>0.01</v>
      </c>
      <c r="D223" s="5">
        <v>264240.0</v>
      </c>
      <c r="E223" s="6">
        <v>2000.0</v>
      </c>
      <c r="F223" s="6">
        <v>2500.0</v>
      </c>
      <c r="G223" s="6">
        <f t="shared" si="3"/>
        <v>268740.01</v>
      </c>
    </row>
    <row r="224" spans="8:8">
      <c r="A224" s="3" t="s">
        <v>238</v>
      </c>
      <c r="B224" s="4" t="s">
        <v>196</v>
      </c>
      <c r="C224" s="19">
        <v>0.01</v>
      </c>
      <c r="D224" s="5">
        <v>264240.0</v>
      </c>
      <c r="E224" s="6">
        <v>2000.0</v>
      </c>
      <c r="F224" s="6">
        <v>2500.0</v>
      </c>
      <c r="G224" s="6">
        <f t="shared" si="3"/>
        <v>268740.01</v>
      </c>
    </row>
    <row r="225" spans="8:8">
      <c r="A225" s="3" t="s">
        <v>239</v>
      </c>
      <c r="B225" s="4" t="s">
        <v>196</v>
      </c>
      <c r="C225" s="19">
        <v>0.01</v>
      </c>
      <c r="D225" s="5">
        <v>264240.0</v>
      </c>
      <c r="E225" s="6">
        <v>2000.0</v>
      </c>
      <c r="F225" s="6">
        <v>2500.0</v>
      </c>
      <c r="G225" s="6">
        <f t="shared" si="3"/>
        <v>268740.01</v>
      </c>
    </row>
    <row r="226" spans="8:8">
      <c r="A226" s="3" t="s">
        <v>240</v>
      </c>
      <c r="B226" s="4" t="s">
        <v>196</v>
      </c>
      <c r="C226" s="19">
        <v>0.01</v>
      </c>
      <c r="D226" s="5">
        <v>264240.0</v>
      </c>
      <c r="E226" s="6">
        <v>2000.0</v>
      </c>
      <c r="F226" s="6">
        <v>2500.0</v>
      </c>
      <c r="G226" s="6">
        <f t="shared" si="3"/>
        <v>268740.01</v>
      </c>
    </row>
    <row r="227" spans="8:8">
      <c r="A227" s="3" t="s">
        <v>241</v>
      </c>
      <c r="B227" s="4" t="s">
        <v>196</v>
      </c>
      <c r="C227" s="19">
        <v>0.01</v>
      </c>
      <c r="D227" s="5">
        <v>264240.0</v>
      </c>
      <c r="E227" s="6">
        <v>2000.0</v>
      </c>
      <c r="F227" s="6">
        <v>2500.0</v>
      </c>
      <c r="G227" s="6">
        <f t="shared" si="3"/>
        <v>268740.01</v>
      </c>
    </row>
    <row r="228" spans="8:8">
      <c r="A228" s="3" t="s">
        <v>242</v>
      </c>
      <c r="B228" s="4" t="s">
        <v>196</v>
      </c>
      <c r="C228" s="19">
        <v>0.01</v>
      </c>
      <c r="D228" s="5">
        <v>264240.0</v>
      </c>
      <c r="E228" s="6">
        <v>2000.0</v>
      </c>
      <c r="F228" s="6">
        <v>2500.0</v>
      </c>
      <c r="G228" s="6">
        <f t="shared" si="3"/>
        <v>268740.01</v>
      </c>
    </row>
    <row r="229" spans="8:8">
      <c r="A229" s="3" t="s">
        <v>243</v>
      </c>
      <c r="B229" s="4" t="s">
        <v>196</v>
      </c>
      <c r="C229" s="19">
        <v>0.01</v>
      </c>
      <c r="D229" s="5">
        <v>264240.0</v>
      </c>
      <c r="E229" s="6">
        <v>2000.0</v>
      </c>
      <c r="F229" s="6">
        <v>2500.0</v>
      </c>
      <c r="G229" s="6">
        <f t="shared" si="3"/>
        <v>268740.01</v>
      </c>
    </row>
    <row r="230" spans="8:8">
      <c r="A230" s="3" t="s">
        <v>244</v>
      </c>
      <c r="B230" s="4" t="s">
        <v>196</v>
      </c>
      <c r="C230" s="19">
        <v>0.01</v>
      </c>
      <c r="D230" s="5">
        <v>264240.0</v>
      </c>
      <c r="E230" s="6">
        <v>2000.0</v>
      </c>
      <c r="F230" s="6">
        <v>2500.0</v>
      </c>
      <c r="G230" s="6">
        <f t="shared" si="3"/>
        <v>268740.01</v>
      </c>
    </row>
    <row r="231" spans="8:8">
      <c r="A231" s="3" t="s">
        <v>245</v>
      </c>
      <c r="B231" s="4" t="s">
        <v>196</v>
      </c>
      <c r="C231" s="19">
        <v>0.01</v>
      </c>
      <c r="D231" s="5">
        <v>427200.0</v>
      </c>
      <c r="E231" s="6">
        <v>2000.0</v>
      </c>
      <c r="F231" s="6">
        <v>2500.0</v>
      </c>
      <c r="G231" s="6">
        <f t="shared" si="3"/>
        <v>431700.01</v>
      </c>
    </row>
    <row r="232" spans="8:8">
      <c r="A232" s="3" t="s">
        <v>246</v>
      </c>
      <c r="B232" s="4" t="s">
        <v>196</v>
      </c>
      <c r="C232" s="19">
        <v>0.01</v>
      </c>
      <c r="D232" s="5">
        <v>264240.0</v>
      </c>
      <c r="E232" s="6">
        <v>2000.0</v>
      </c>
      <c r="F232" s="6">
        <v>2500.0</v>
      </c>
      <c r="G232" s="6">
        <f t="shared" si="3"/>
        <v>268740.01</v>
      </c>
    </row>
    <row r="233" spans="8:8">
      <c r="A233" s="3" t="s">
        <v>247</v>
      </c>
      <c r="B233" s="4" t="s">
        <v>196</v>
      </c>
      <c r="C233" s="19">
        <v>0.01</v>
      </c>
      <c r="D233" s="5">
        <v>264240.0</v>
      </c>
      <c r="E233" s="6">
        <v>2000.0</v>
      </c>
      <c r="F233" s="6">
        <v>2500.0</v>
      </c>
      <c r="G233" s="6">
        <f t="shared" si="3"/>
        <v>268740.01</v>
      </c>
    </row>
    <row r="234" spans="8:8">
      <c r="A234" s="3" t="s">
        <v>248</v>
      </c>
      <c r="B234" s="4" t="s">
        <v>196</v>
      </c>
      <c r="C234" s="19">
        <v>0.01</v>
      </c>
      <c r="D234" s="5">
        <v>264240.0</v>
      </c>
      <c r="E234" s="6">
        <v>2000.0</v>
      </c>
      <c r="F234" s="6">
        <v>2500.0</v>
      </c>
      <c r="G234" s="6">
        <f t="shared" si="3"/>
        <v>268740.01</v>
      </c>
    </row>
    <row r="235" spans="8:8">
      <c r="A235" s="3" t="s">
        <v>249</v>
      </c>
      <c r="B235" s="4" t="s">
        <v>196</v>
      </c>
      <c r="C235" s="19">
        <v>0.01</v>
      </c>
      <c r="D235" s="5">
        <v>264240.0</v>
      </c>
      <c r="E235" s="6">
        <v>2000.0</v>
      </c>
      <c r="F235" s="6">
        <v>2500.0</v>
      </c>
      <c r="G235" s="6">
        <f t="shared" si="3"/>
        <v>268740.01</v>
      </c>
    </row>
    <row r="236" spans="8:8">
      <c r="A236" s="3" t="s">
        <v>250</v>
      </c>
      <c r="B236" s="4" t="s">
        <v>196</v>
      </c>
      <c r="C236" s="19">
        <v>0.01</v>
      </c>
      <c r="D236" s="5">
        <v>264240.0</v>
      </c>
      <c r="E236" s="6">
        <v>2000.0</v>
      </c>
      <c r="F236" s="6">
        <v>2500.0</v>
      </c>
      <c r="G236" s="6">
        <f t="shared" si="3"/>
        <v>268740.01</v>
      </c>
    </row>
    <row r="237" spans="8:8">
      <c r="A237" s="3" t="s">
        <v>251</v>
      </c>
      <c r="B237" s="4" t="s">
        <v>196</v>
      </c>
      <c r="C237" s="19">
        <v>0.01</v>
      </c>
      <c r="D237" s="5">
        <v>264240.0</v>
      </c>
      <c r="E237" s="6">
        <v>2000.0</v>
      </c>
      <c r="F237" s="6">
        <v>2500.0</v>
      </c>
      <c r="G237" s="6">
        <f t="shared" si="3"/>
        <v>268740.01</v>
      </c>
    </row>
    <row r="238" spans="8:8">
      <c r="A238" s="3" t="s">
        <v>252</v>
      </c>
      <c r="B238" s="4" t="s">
        <v>196</v>
      </c>
      <c r="C238" s="19">
        <v>0.01</v>
      </c>
      <c r="D238" s="5">
        <v>264240.0</v>
      </c>
      <c r="E238" s="6">
        <v>2000.0</v>
      </c>
      <c r="F238" s="6">
        <v>2500.0</v>
      </c>
      <c r="G238" s="6">
        <f t="shared" si="3"/>
        <v>268740.01</v>
      </c>
    </row>
    <row r="239" spans="8:8">
      <c r="A239" s="3" t="s">
        <v>253</v>
      </c>
      <c r="B239" s="4" t="s">
        <v>196</v>
      </c>
      <c r="C239" s="19">
        <v>0.01</v>
      </c>
      <c r="D239" s="5">
        <v>264240.0</v>
      </c>
      <c r="E239" s="6">
        <v>2000.0</v>
      </c>
      <c r="F239" s="6">
        <v>2500.0</v>
      </c>
      <c r="G239" s="6">
        <f t="shared" si="3"/>
        <v>268740.01</v>
      </c>
    </row>
    <row r="240" spans="8:8">
      <c r="A240" s="3" t="s">
        <v>254</v>
      </c>
      <c r="B240" s="4" t="s">
        <v>196</v>
      </c>
      <c r="C240" s="19">
        <v>0.01</v>
      </c>
      <c r="D240" s="5">
        <v>264240.0</v>
      </c>
      <c r="E240" s="6">
        <v>2000.0</v>
      </c>
      <c r="F240" s="6">
        <v>2500.0</v>
      </c>
      <c r="G240" s="6">
        <f t="shared" si="3"/>
        <v>268740.01</v>
      </c>
    </row>
    <row r="241" spans="8:8">
      <c r="A241" s="3" t="s">
        <v>255</v>
      </c>
      <c r="B241" s="4" t="s">
        <v>196</v>
      </c>
      <c r="C241" s="19">
        <v>0.01</v>
      </c>
      <c r="D241" s="5">
        <v>264240.0</v>
      </c>
      <c r="E241" s="6">
        <v>2000.0</v>
      </c>
      <c r="F241" s="6">
        <v>2500.0</v>
      </c>
      <c r="G241" s="6">
        <f t="shared" si="3"/>
        <v>268740.01</v>
      </c>
    </row>
    <row r="242" spans="8:8">
      <c r="A242" s="3" t="s">
        <v>256</v>
      </c>
      <c r="B242" s="4" t="s">
        <v>196</v>
      </c>
      <c r="C242" s="19">
        <v>0.01</v>
      </c>
      <c r="D242" s="5">
        <v>264240.0</v>
      </c>
      <c r="E242" s="6">
        <v>2000.0</v>
      </c>
      <c r="F242" s="6">
        <v>2500.0</v>
      </c>
      <c r="G242" s="6">
        <f t="shared" si="3"/>
        <v>268740.01</v>
      </c>
    </row>
    <row r="243" spans="8:8">
      <c r="A243" s="3" t="s">
        <v>257</v>
      </c>
      <c r="B243" s="4" t="s">
        <v>196</v>
      </c>
      <c r="C243" s="19">
        <v>0.01</v>
      </c>
      <c r="D243" s="5">
        <v>264240.0</v>
      </c>
      <c r="E243" s="6">
        <v>2000.0</v>
      </c>
      <c r="F243" s="6">
        <v>2500.0</v>
      </c>
      <c r="G243" s="6">
        <f t="shared" si="3"/>
        <v>268740.01</v>
      </c>
    </row>
    <row r="244" spans="8:8">
      <c r="A244" s="3" t="s">
        <v>258</v>
      </c>
      <c r="B244" s="4" t="s">
        <v>196</v>
      </c>
      <c r="C244" s="19">
        <v>0.01</v>
      </c>
      <c r="D244" s="5">
        <v>264240.0</v>
      </c>
      <c r="E244" s="6">
        <v>2000.0</v>
      </c>
      <c r="F244" s="6">
        <v>2500.0</v>
      </c>
      <c r="G244" s="6">
        <f t="shared" si="3"/>
        <v>268740.01</v>
      </c>
    </row>
    <row r="245" spans="8:8">
      <c r="A245" s="3" t="s">
        <v>259</v>
      </c>
      <c r="B245" s="4" t="s">
        <v>196</v>
      </c>
      <c r="C245" s="19">
        <v>0.01</v>
      </c>
      <c r="D245" s="5">
        <v>264240.0</v>
      </c>
      <c r="E245" s="6">
        <v>2000.0</v>
      </c>
      <c r="F245" s="6">
        <v>2500.0</v>
      </c>
      <c r="G245" s="6">
        <f t="shared" si="3"/>
        <v>268740.01</v>
      </c>
    </row>
    <row r="246" spans="8:8">
      <c r="A246" s="3" t="s">
        <v>260</v>
      </c>
      <c r="B246" s="4" t="s">
        <v>196</v>
      </c>
      <c r="C246" s="19">
        <v>0.01</v>
      </c>
      <c r="D246" s="5">
        <v>264240.0</v>
      </c>
      <c r="E246" s="6">
        <v>2000.0</v>
      </c>
      <c r="F246" s="6">
        <v>2500.0</v>
      </c>
      <c r="G246" s="6">
        <f t="shared" si="3"/>
        <v>268740.01</v>
      </c>
    </row>
    <row r="247" spans="8:8">
      <c r="A247" s="3" t="s">
        <v>261</v>
      </c>
      <c r="B247" s="4" t="s">
        <v>196</v>
      </c>
      <c r="C247" s="19">
        <v>0.01</v>
      </c>
      <c r="D247" s="5">
        <v>264240.0</v>
      </c>
      <c r="E247" s="6">
        <v>2000.0</v>
      </c>
      <c r="F247" s="6">
        <v>2500.0</v>
      </c>
      <c r="G247" s="6">
        <f t="shared" si="3"/>
        <v>268740.01</v>
      </c>
    </row>
    <row r="248" spans="8:8">
      <c r="A248" s="3" t="s">
        <v>262</v>
      </c>
      <c r="B248" s="4" t="s">
        <v>196</v>
      </c>
      <c r="C248" s="19">
        <v>0.01</v>
      </c>
      <c r="D248" s="5">
        <v>264240.0</v>
      </c>
      <c r="E248" s="6">
        <v>2000.0</v>
      </c>
      <c r="F248" s="6">
        <v>2500.0</v>
      </c>
      <c r="G248" s="6">
        <f t="shared" si="3"/>
        <v>268740.01</v>
      </c>
    </row>
    <row r="249" spans="8:8">
      <c r="A249" s="3" t="s">
        <v>263</v>
      </c>
      <c r="B249" s="4" t="s">
        <v>196</v>
      </c>
      <c r="C249" s="19">
        <v>0.01</v>
      </c>
      <c r="D249" s="5">
        <v>264240.0</v>
      </c>
      <c r="E249" s="6">
        <v>2000.0</v>
      </c>
      <c r="F249" s="6">
        <v>2500.0</v>
      </c>
      <c r="G249" s="6">
        <f t="shared" si="3"/>
        <v>268740.01</v>
      </c>
    </row>
    <row r="250" spans="8:8">
      <c r="A250" s="3" t="s">
        <v>264</v>
      </c>
      <c r="B250" s="4" t="s">
        <v>196</v>
      </c>
      <c r="C250" s="19">
        <v>0.01</v>
      </c>
      <c r="D250" s="5">
        <v>264240.0</v>
      </c>
      <c r="E250" s="6">
        <v>2000.0</v>
      </c>
      <c r="F250" s="6">
        <v>2500.0</v>
      </c>
      <c r="G250" s="6">
        <f t="shared" si="3"/>
        <v>268740.01</v>
      </c>
    </row>
    <row r="251" spans="8:8">
      <c r="A251" s="3" t="s">
        <v>265</v>
      </c>
      <c r="B251" s="4" t="s">
        <v>196</v>
      </c>
      <c r="C251" s="19">
        <v>0.01</v>
      </c>
      <c r="D251" s="5">
        <v>264240.0</v>
      </c>
      <c r="E251" s="6">
        <v>2000.0</v>
      </c>
      <c r="F251" s="6">
        <v>2500.0</v>
      </c>
      <c r="G251" s="6">
        <f t="shared" si="3"/>
        <v>268740.01</v>
      </c>
    </row>
    <row r="252" spans="8:8">
      <c r="A252" s="3" t="s">
        <v>266</v>
      </c>
      <c r="B252" s="4" t="s">
        <v>196</v>
      </c>
      <c r="C252" s="19">
        <v>0.01</v>
      </c>
      <c r="D252" s="5">
        <v>264240.0</v>
      </c>
      <c r="E252" s="6">
        <v>2000.0</v>
      </c>
      <c r="F252" s="6">
        <v>2500.0</v>
      </c>
      <c r="G252" s="6">
        <f t="shared" si="3"/>
        <v>268740.01</v>
      </c>
    </row>
    <row r="253" spans="8:8">
      <c r="A253" s="3" t="s">
        <v>267</v>
      </c>
      <c r="B253" s="4" t="s">
        <v>196</v>
      </c>
      <c r="C253" s="19">
        <v>0.01</v>
      </c>
      <c r="D253" s="5">
        <v>264240.0</v>
      </c>
      <c r="E253" s="6">
        <v>2000.0</v>
      </c>
      <c r="F253" s="6">
        <v>2500.0</v>
      </c>
      <c r="G253" s="6">
        <f t="shared" si="3"/>
        <v>268740.01</v>
      </c>
    </row>
    <row r="254" spans="8:8">
      <c r="A254" s="3" t="s">
        <v>268</v>
      </c>
      <c r="B254" s="4" t="s">
        <v>196</v>
      </c>
      <c r="C254" s="19">
        <v>0.01</v>
      </c>
      <c r="D254" s="5">
        <v>264240.0</v>
      </c>
      <c r="E254" s="6">
        <v>2000.0</v>
      </c>
      <c r="F254" s="6">
        <v>2500.0</v>
      </c>
      <c r="G254" s="6">
        <f t="shared" si="4" ref="G254:G266">SUM(C254:F254)</f>
        <v>268740.01</v>
      </c>
    </row>
    <row r="255" spans="8:8">
      <c r="A255" s="3" t="s">
        <v>269</v>
      </c>
      <c r="B255" s="4" t="s">
        <v>196</v>
      </c>
      <c r="C255" s="19">
        <v>0.01</v>
      </c>
      <c r="D255" s="5">
        <v>264240.0</v>
      </c>
      <c r="E255" s="6">
        <v>2000.0</v>
      </c>
      <c r="F255" s="6">
        <v>2500.0</v>
      </c>
      <c r="G255" s="6">
        <f t="shared" si="4"/>
        <v>268740.01</v>
      </c>
    </row>
    <row r="256" spans="8:8">
      <c r="A256" s="3" t="s">
        <v>270</v>
      </c>
      <c r="B256" s="4" t="s">
        <v>196</v>
      </c>
      <c r="C256" s="19">
        <v>0.01</v>
      </c>
      <c r="D256" s="5">
        <v>264240.0</v>
      </c>
      <c r="E256" s="6">
        <v>2000.0</v>
      </c>
      <c r="F256" s="6">
        <v>2500.0</v>
      </c>
      <c r="G256" s="6">
        <f t="shared" si="4"/>
        <v>268740.01</v>
      </c>
    </row>
    <row r="257" spans="8:8">
      <c r="A257" s="3" t="s">
        <v>271</v>
      </c>
      <c r="B257" s="4" t="s">
        <v>196</v>
      </c>
      <c r="C257" s="19">
        <v>0.01</v>
      </c>
      <c r="D257" s="5">
        <v>264240.0</v>
      </c>
      <c r="E257" s="6">
        <v>2000.0</v>
      </c>
      <c r="F257" s="6">
        <v>2500.0</v>
      </c>
      <c r="G257" s="6">
        <f t="shared" si="4"/>
        <v>268740.01</v>
      </c>
      <c r="J257" s="49"/>
    </row>
    <row r="258" spans="8:8" s="49" ht="15.0" customFormat="1">
      <c r="A258" s="3" t="s">
        <v>272</v>
      </c>
      <c r="B258" s="4" t="s">
        <v>196</v>
      </c>
      <c r="C258" s="19">
        <v>0.01</v>
      </c>
      <c r="D258" s="5">
        <v>264240.0</v>
      </c>
      <c r="E258" s="6">
        <v>2000.0</v>
      </c>
      <c r="F258" s="6">
        <v>2500.0</v>
      </c>
      <c r="G258" s="6">
        <f t="shared" si="4"/>
        <v>268740.01</v>
      </c>
    </row>
    <row r="259" spans="8:8">
      <c r="A259" s="3" t="s">
        <v>273</v>
      </c>
      <c r="B259" s="4" t="s">
        <v>196</v>
      </c>
      <c r="C259" s="19">
        <v>0.01</v>
      </c>
      <c r="D259" s="5">
        <v>264240.0</v>
      </c>
      <c r="E259" s="6">
        <v>2000.0</v>
      </c>
      <c r="F259" s="6">
        <v>2500.0</v>
      </c>
      <c r="G259" s="6">
        <f t="shared" si="4"/>
        <v>268740.01</v>
      </c>
    </row>
    <row r="260" spans="8:8">
      <c r="A260" s="3" t="s">
        <v>274</v>
      </c>
      <c r="B260" s="4" t="s">
        <v>196</v>
      </c>
      <c r="C260" s="19">
        <v>0.01</v>
      </c>
      <c r="D260" s="5">
        <v>264240.0</v>
      </c>
      <c r="E260" s="6">
        <v>2000.0</v>
      </c>
      <c r="F260" s="6">
        <v>2500.0</v>
      </c>
      <c r="G260" s="6">
        <f t="shared" si="4"/>
        <v>268740.01</v>
      </c>
    </row>
    <row r="261" spans="8:8">
      <c r="A261" s="3" t="s">
        <v>275</v>
      </c>
      <c r="B261" s="4" t="s">
        <v>196</v>
      </c>
      <c r="C261" s="19">
        <v>0.01</v>
      </c>
      <c r="D261" s="5">
        <v>264240.0</v>
      </c>
      <c r="E261" s="6">
        <v>2000.0</v>
      </c>
      <c r="F261" s="6">
        <v>2500.0</v>
      </c>
      <c r="G261" s="6">
        <f t="shared" si="4"/>
        <v>268740.01</v>
      </c>
    </row>
    <row r="262" spans="8:8">
      <c r="A262" s="3" t="s">
        <v>276</v>
      </c>
      <c r="B262" s="4" t="s">
        <v>196</v>
      </c>
      <c r="C262" s="19">
        <v>0.01</v>
      </c>
      <c r="D262" s="5">
        <v>264240.0</v>
      </c>
      <c r="E262" s="6">
        <v>2000.0</v>
      </c>
      <c r="F262" s="6">
        <v>2500.0</v>
      </c>
      <c r="G262" s="6">
        <f t="shared" si="4"/>
        <v>268740.01</v>
      </c>
    </row>
    <row r="263" spans="8:8">
      <c r="A263" s="15" t="s">
        <v>277</v>
      </c>
      <c r="B263" s="16" t="s">
        <v>196</v>
      </c>
      <c r="C263" s="20">
        <v>0.01</v>
      </c>
      <c r="D263" s="5">
        <v>264240.0</v>
      </c>
      <c r="E263" s="6">
        <v>2000.0</v>
      </c>
      <c r="F263" s="6">
        <v>2500.0</v>
      </c>
      <c r="G263" s="17">
        <f t="shared" si="4"/>
        <v>268740.01</v>
      </c>
    </row>
    <row r="264" spans="8:8">
      <c r="A264" s="14" t="s">
        <v>318</v>
      </c>
      <c r="B264" s="4" t="s">
        <v>196</v>
      </c>
      <c r="C264" s="19">
        <v>0.01</v>
      </c>
      <c r="D264" s="5">
        <v>528480.0</v>
      </c>
      <c r="E264" s="6">
        <v>2000.0</v>
      </c>
      <c r="F264" s="6">
        <v>2500.0</v>
      </c>
      <c r="G264" s="6">
        <f t="shared" si="4"/>
        <v>532980.01</v>
      </c>
    </row>
    <row r="265" spans="8:8">
      <c r="A265" s="3" t="s">
        <v>279</v>
      </c>
      <c r="B265" s="4" t="s">
        <v>196</v>
      </c>
      <c r="C265" s="19">
        <v>0.01</v>
      </c>
      <c r="D265" s="5">
        <v>450480.0</v>
      </c>
      <c r="E265" s="6">
        <v>2000.0</v>
      </c>
      <c r="F265" s="6">
        <v>2500.0</v>
      </c>
      <c r="G265" s="6">
        <f t="shared" si="4"/>
        <v>454980.01</v>
      </c>
    </row>
    <row r="266" spans="8:8" s="49" ht="15.0" customFormat="1">
      <c r="A266" s="3" t="s">
        <v>280</v>
      </c>
      <c r="B266" s="4" t="s">
        <v>196</v>
      </c>
      <c r="C266" s="5">
        <v>66960.0</v>
      </c>
      <c r="D266" s="5">
        <v>264480.0</v>
      </c>
      <c r="E266" s="6">
        <v>2000.0</v>
      </c>
      <c r="F266" s="6">
        <v>2500.0</v>
      </c>
      <c r="G266" s="6">
        <f t="shared" si="4"/>
        <v>335940.0</v>
      </c>
    </row>
    <row r="267" spans="8:8">
      <c r="A267" s="10" t="s">
        <v>281</v>
      </c>
      <c r="B267" s="11" t="s">
        <v>282</v>
      </c>
      <c r="C267" s="12">
        <v>264720.01</v>
      </c>
      <c r="D267" s="21" t="s">
        <v>292</v>
      </c>
      <c r="E267" s="22"/>
      <c r="F267" s="22"/>
      <c r="G267" s="13">
        <f>(C267)</f>
        <v>264720.01</v>
      </c>
    </row>
    <row r="268" spans="8:8" s="49" ht="15.0" customFormat="1">
      <c r="A268" s="3" t="s">
        <v>283</v>
      </c>
      <c r="B268" s="4" t="s">
        <v>282</v>
      </c>
      <c r="C268" s="19">
        <v>540.0</v>
      </c>
      <c r="D268" s="23" t="s">
        <v>292</v>
      </c>
      <c r="E268" s="24"/>
      <c r="F268" s="24"/>
      <c r="G268" s="6">
        <f t="shared" si="5" ref="G268:G275">(C268)</f>
        <v>540.0</v>
      </c>
    </row>
    <row r="269" spans="8:8" s="49" ht="15.0" customFormat="1">
      <c r="A269" s="162" t="s">
        <v>337</v>
      </c>
      <c r="B269" s="16" t="s">
        <v>285</v>
      </c>
      <c r="C269" s="45"/>
      <c r="D269" s="21"/>
      <c r="E269" s="22"/>
      <c r="F269" s="22"/>
      <c r="G269" s="13">
        <v>3600.0</v>
      </c>
    </row>
    <row r="270" spans="8:8" s="49" ht="15.0" customFormat="1">
      <c r="A270" s="10" t="s">
        <v>284</v>
      </c>
      <c r="B270" s="25" t="s">
        <v>285</v>
      </c>
      <c r="C270" s="26">
        <v>1000.0</v>
      </c>
      <c r="D270" s="21" t="s">
        <v>292</v>
      </c>
      <c r="E270" s="22"/>
      <c r="F270" s="22"/>
      <c r="G270" s="13">
        <f t="shared" si="5"/>
        <v>1000.0</v>
      </c>
    </row>
    <row r="271" spans="8:8">
      <c r="A271" s="3" t="s">
        <v>286</v>
      </c>
      <c r="B271" s="16" t="s">
        <v>285</v>
      </c>
      <c r="C271" s="27">
        <v>2000.0</v>
      </c>
      <c r="D271" s="23" t="s">
        <v>292</v>
      </c>
      <c r="E271" s="24"/>
      <c r="F271" s="24"/>
      <c r="G271" s="6">
        <f t="shared" si="5"/>
        <v>2000.0</v>
      </c>
      <c r="J271" s="71"/>
    </row>
    <row r="272" spans="8:8">
      <c r="A272" s="15" t="s">
        <v>4</v>
      </c>
      <c r="B272" s="16" t="s">
        <v>285</v>
      </c>
      <c r="C272" s="27">
        <v>2000.0</v>
      </c>
      <c r="D272" s="23" t="s">
        <v>292</v>
      </c>
      <c r="E272" s="28"/>
      <c r="F272" s="28"/>
      <c r="G272" s="17">
        <f t="shared" si="5"/>
        <v>2000.0</v>
      </c>
      <c r="J272" s="71"/>
    </row>
    <row r="273" spans="8:8">
      <c r="A273" s="3" t="s">
        <v>287</v>
      </c>
      <c r="B273" s="16" t="s">
        <v>285</v>
      </c>
      <c r="C273" s="27">
        <v>250000.0</v>
      </c>
      <c r="D273" s="23" t="s">
        <v>292</v>
      </c>
      <c r="E273" s="24"/>
      <c r="F273" s="24"/>
      <c r="G273" s="6">
        <f t="shared" si="5"/>
        <v>250000.0</v>
      </c>
    </row>
    <row r="274" spans="8:8">
      <c r="A274" s="15" t="s">
        <v>5</v>
      </c>
      <c r="B274" s="16" t="s">
        <v>285</v>
      </c>
      <c r="C274" s="27">
        <v>2500.0</v>
      </c>
      <c r="D274" s="23" t="s">
        <v>292</v>
      </c>
      <c r="E274" s="28"/>
      <c r="F274" s="28"/>
      <c r="G274" s="17">
        <f t="shared" si="5"/>
        <v>2500.0</v>
      </c>
    </row>
    <row r="275" spans="8:8">
      <c r="A275" s="15" t="s">
        <v>288</v>
      </c>
      <c r="B275" s="16" t="s">
        <v>285</v>
      </c>
      <c r="C275" s="27">
        <v>30000.0</v>
      </c>
      <c r="D275" s="23" t="s">
        <v>292</v>
      </c>
      <c r="E275" s="28"/>
      <c r="F275" s="28"/>
      <c r="G275" s="17">
        <f t="shared" si="5"/>
        <v>30000.0</v>
      </c>
    </row>
    <row r="276" spans="8:8">
      <c r="A276" s="10" t="s">
        <v>289</v>
      </c>
      <c r="B276" s="25" t="s">
        <v>290</v>
      </c>
      <c r="C276" s="12">
        <v>0.01</v>
      </c>
      <c r="D276" s="12">
        <v>78960.0</v>
      </c>
      <c r="E276" s="13">
        <v>2000.0</v>
      </c>
      <c r="F276" s="13">
        <v>2500.0</v>
      </c>
      <c r="G276" s="13">
        <f>SUM(C276:F276)</f>
        <v>83460.01</v>
      </c>
    </row>
    <row r="277" spans="8:8">
      <c r="A277" s="3" t="s">
        <v>291</v>
      </c>
      <c r="B277" s="16" t="s">
        <v>290</v>
      </c>
      <c r="C277" s="5">
        <v>30000.0</v>
      </c>
      <c r="D277" s="5">
        <v>18720.0</v>
      </c>
      <c r="E277" s="13">
        <v>2000.0</v>
      </c>
      <c r="F277" s="6">
        <v>2500.0</v>
      </c>
      <c r="G277" s="13">
        <f>SUM(C277:F277)</f>
        <v>53220.0</v>
      </c>
    </row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:N296"/>
  <sheetViews>
    <sheetView workbookViewId="0" topLeftCell="A238">
      <selection activeCell="A255" sqref="A255"/>
    </sheetView>
  </sheetViews>
  <sheetFormatPr defaultRowHeight="15.0" defaultColWidth="10"/>
  <cols>
    <col min="1" max="1" customWidth="1" width="65.0" style="38"/>
    <col min="2" max="2" customWidth="1" width="11.0" style="39"/>
    <col min="3" max="3" customWidth="1" width="12.425781" style="40"/>
    <col min="4" max="4" customWidth="1" width="22.140625" style="40"/>
    <col min="5" max="5" customWidth="1" width="12.855469" style="163"/>
    <col min="6" max="6" customWidth="1" width="0.140625" style="163"/>
    <col min="7" max="7" customWidth="1" width="12.5703125" style="161"/>
    <col min="8" max="16384" customWidth="0" width="11.425781" style="39"/>
  </cols>
  <sheetData>
    <row r="1" spans="8:8">
      <c r="A1" s="1" t="s">
        <v>0</v>
      </c>
      <c r="B1" s="1" t="s">
        <v>1</v>
      </c>
      <c r="C1" s="2" t="s">
        <v>2</v>
      </c>
      <c r="D1" s="2" t="s">
        <v>3</v>
      </c>
      <c r="E1" s="80" t="s">
        <v>4</v>
      </c>
      <c r="F1" s="80" t="s">
        <v>5</v>
      </c>
      <c r="G1" s="2" t="s">
        <v>294</v>
      </c>
    </row>
    <row r="2" spans="8:8">
      <c r="A2" s="3" t="s">
        <v>7</v>
      </c>
      <c r="B2" s="164" t="s">
        <v>8</v>
      </c>
      <c r="C2" s="93">
        <v>0.01</v>
      </c>
      <c r="D2" s="93">
        <v>110448.0</v>
      </c>
      <c r="E2" s="165">
        <v>10000.0</v>
      </c>
      <c r="F2" s="17">
        <v>15000.0</v>
      </c>
      <c r="G2" s="6">
        <f t="shared" si="0" ref="G2:G65">SUM(C2:F2)</f>
        <v>135448.01</v>
      </c>
    </row>
    <row r="3" spans="8:8">
      <c r="A3" s="3" t="s">
        <v>9</v>
      </c>
      <c r="B3" s="164" t="s">
        <v>8</v>
      </c>
      <c r="C3" s="93">
        <v>0.01</v>
      </c>
      <c r="D3" s="93">
        <v>110448.0</v>
      </c>
      <c r="E3" s="165">
        <v>10000.0</v>
      </c>
      <c r="F3" s="17">
        <v>15000.0</v>
      </c>
      <c r="G3" s="6">
        <f t="shared" si="0"/>
        <v>135448.01</v>
      </c>
    </row>
    <row r="4" spans="8:8">
      <c r="A4" s="3" t="s">
        <v>10</v>
      </c>
      <c r="B4" s="164" t="s">
        <v>8</v>
      </c>
      <c r="C4" s="93">
        <v>0.01</v>
      </c>
      <c r="D4" s="93">
        <v>110448.0</v>
      </c>
      <c r="E4" s="165">
        <v>10000.0</v>
      </c>
      <c r="F4" s="17">
        <v>15000.0</v>
      </c>
      <c r="G4" s="6">
        <f t="shared" si="0"/>
        <v>135448.01</v>
      </c>
    </row>
    <row r="5" spans="8:8">
      <c r="A5" s="3" t="s">
        <v>11</v>
      </c>
      <c r="B5" s="164" t="s">
        <v>8</v>
      </c>
      <c r="C5" s="93">
        <v>0.01</v>
      </c>
      <c r="D5" s="93">
        <v>93288.0</v>
      </c>
      <c r="E5" s="165">
        <v>10000.0</v>
      </c>
      <c r="F5" s="17">
        <v>15000.0</v>
      </c>
      <c r="G5" s="6">
        <f t="shared" si="0"/>
        <v>118288.01</v>
      </c>
    </row>
    <row r="6" spans="8:8">
      <c r="A6" s="10" t="s">
        <v>12</v>
      </c>
      <c r="B6" s="166" t="s">
        <v>13</v>
      </c>
      <c r="C6" s="118">
        <v>70512.0</v>
      </c>
      <c r="D6" s="118">
        <v>39312.0</v>
      </c>
      <c r="E6" s="167">
        <v>10000.0</v>
      </c>
      <c r="F6" s="168">
        <v>15000.0</v>
      </c>
      <c r="G6" s="13">
        <f t="shared" si="1" ref="G6:G33">SUM(C6:F6)+12000</f>
        <v>146824.0</v>
      </c>
    </row>
    <row r="7" spans="8:8">
      <c r="A7" s="162" t="s">
        <v>320</v>
      </c>
      <c r="B7" s="164" t="s">
        <v>13</v>
      </c>
      <c r="C7" s="93">
        <v>70512.0</v>
      </c>
      <c r="D7" s="93">
        <v>39312.0</v>
      </c>
      <c r="E7" s="165">
        <v>10000.0</v>
      </c>
      <c r="F7" s="17">
        <v>15000.0</v>
      </c>
      <c r="G7" s="6">
        <f t="shared" si="1"/>
        <v>146824.0</v>
      </c>
      <c r="M7" s="169"/>
    </row>
    <row r="8" spans="8:8">
      <c r="A8" s="3" t="s">
        <v>15</v>
      </c>
      <c r="B8" s="164" t="s">
        <v>13</v>
      </c>
      <c r="C8" s="93">
        <v>70512.0</v>
      </c>
      <c r="D8" s="93">
        <v>39312.0</v>
      </c>
      <c r="E8" s="165">
        <v>10000.0</v>
      </c>
      <c r="F8" s="17">
        <v>15000.0</v>
      </c>
      <c r="G8" s="6">
        <f t="shared" si="1"/>
        <v>146824.0</v>
      </c>
    </row>
    <row r="9" spans="8:8">
      <c r="A9" s="3" t="s">
        <v>16</v>
      </c>
      <c r="B9" s="164" t="s">
        <v>13</v>
      </c>
      <c r="C9" s="93">
        <v>245544.0</v>
      </c>
      <c r="D9" s="93">
        <v>89856.0</v>
      </c>
      <c r="E9" s="165">
        <v>10000.0</v>
      </c>
      <c r="F9" s="17">
        <v>15000.0</v>
      </c>
      <c r="G9" s="6">
        <f t="shared" si="1"/>
        <v>372400.0</v>
      </c>
    </row>
    <row r="10" spans="8:8">
      <c r="A10" s="3" t="s">
        <v>17</v>
      </c>
      <c r="B10" s="164" t="s">
        <v>13</v>
      </c>
      <c r="C10" s="93">
        <v>83616.0</v>
      </c>
      <c r="D10" s="93">
        <v>89856.0</v>
      </c>
      <c r="E10" s="165">
        <v>10000.0</v>
      </c>
      <c r="F10" s="17">
        <v>15000.0</v>
      </c>
      <c r="G10" s="6">
        <f t="shared" si="1"/>
        <v>210472.0</v>
      </c>
    </row>
    <row r="11" spans="8:8">
      <c r="A11" s="3" t="s">
        <v>18</v>
      </c>
      <c r="B11" s="164" t="s">
        <v>13</v>
      </c>
      <c r="C11" s="93">
        <v>83616.0</v>
      </c>
      <c r="D11" s="93">
        <v>89856.0</v>
      </c>
      <c r="E11" s="165">
        <v>10000.0</v>
      </c>
      <c r="F11" s="17">
        <v>15000.0</v>
      </c>
      <c r="G11" s="6">
        <f t="shared" si="1"/>
        <v>210472.0</v>
      </c>
      <c r="I11" s="170"/>
    </row>
    <row r="12" spans="8:8">
      <c r="A12" s="3" t="s">
        <v>19</v>
      </c>
      <c r="B12" s="164" t="s">
        <v>13</v>
      </c>
      <c r="C12" s="93">
        <v>83616.0</v>
      </c>
      <c r="D12" s="93">
        <v>89856.0</v>
      </c>
      <c r="E12" s="165">
        <v>10000.0</v>
      </c>
      <c r="F12" s="17">
        <v>15000.0</v>
      </c>
      <c r="G12" s="6">
        <f t="shared" si="1"/>
        <v>210472.0</v>
      </c>
    </row>
    <row r="13" spans="8:8">
      <c r="A13" s="14" t="s">
        <v>321</v>
      </c>
      <c r="B13" s="164" t="s">
        <v>13</v>
      </c>
      <c r="C13" s="93">
        <v>83616.0</v>
      </c>
      <c r="D13" s="93">
        <v>89856.0</v>
      </c>
      <c r="E13" s="165">
        <v>10000.0</v>
      </c>
      <c r="F13" s="17">
        <v>15000.0</v>
      </c>
      <c r="G13" s="6">
        <f t="shared" si="1"/>
        <v>210472.0</v>
      </c>
    </row>
    <row r="14" spans="8:8">
      <c r="A14" s="18" t="s">
        <v>322</v>
      </c>
      <c r="B14" s="171" t="s">
        <v>13</v>
      </c>
      <c r="C14" s="93">
        <v>83616.0</v>
      </c>
      <c r="D14" s="93">
        <v>89856.0</v>
      </c>
      <c r="E14" s="165">
        <v>10000.0</v>
      </c>
      <c r="F14" s="17">
        <v>15000.0</v>
      </c>
      <c r="G14" s="6">
        <f t="shared" si="1"/>
        <v>210472.0</v>
      </c>
    </row>
    <row r="15" spans="8:8">
      <c r="A15" s="18" t="s">
        <v>323</v>
      </c>
      <c r="B15" s="171" t="s">
        <v>13</v>
      </c>
      <c r="C15" s="93">
        <v>83616.0</v>
      </c>
      <c r="D15" s="93">
        <v>89856.0</v>
      </c>
      <c r="E15" s="165">
        <v>10000.0</v>
      </c>
      <c r="F15" s="17">
        <v>15000.0</v>
      </c>
      <c r="G15" s="6">
        <f t="shared" si="1"/>
        <v>210472.0</v>
      </c>
    </row>
    <row r="16" spans="8:8">
      <c r="A16" s="18" t="s">
        <v>324</v>
      </c>
      <c r="B16" s="171" t="s">
        <v>13</v>
      </c>
      <c r="C16" s="93">
        <v>83616.0</v>
      </c>
      <c r="D16" s="93">
        <v>89856.0</v>
      </c>
      <c r="E16" s="165">
        <v>10000.0</v>
      </c>
      <c r="F16" s="17">
        <v>15000.0</v>
      </c>
      <c r="G16" s="6">
        <f t="shared" si="1"/>
        <v>210472.0</v>
      </c>
    </row>
    <row r="17" spans="8:8">
      <c r="A17" s="3" t="s">
        <v>24</v>
      </c>
      <c r="B17" s="164" t="s">
        <v>13</v>
      </c>
      <c r="C17" s="93">
        <v>83616.0</v>
      </c>
      <c r="D17" s="93">
        <v>89856.0</v>
      </c>
      <c r="E17" s="165">
        <v>10000.0</v>
      </c>
      <c r="F17" s="17">
        <v>15000.0</v>
      </c>
      <c r="G17" s="6">
        <f t="shared" si="1"/>
        <v>210472.0</v>
      </c>
    </row>
    <row r="18" spans="8:8">
      <c r="A18" s="3" t="s">
        <v>25</v>
      </c>
      <c r="B18" s="164" t="s">
        <v>13</v>
      </c>
      <c r="C18" s="93">
        <v>83616.0</v>
      </c>
      <c r="D18" s="93">
        <v>89856.0</v>
      </c>
      <c r="E18" s="165">
        <v>10000.0</v>
      </c>
      <c r="F18" s="17">
        <v>15000.0</v>
      </c>
      <c r="G18" s="6">
        <f t="shared" si="1"/>
        <v>210472.0</v>
      </c>
    </row>
    <row r="19" spans="8:8">
      <c r="A19" s="3" t="s">
        <v>26</v>
      </c>
      <c r="B19" s="164" t="s">
        <v>13</v>
      </c>
      <c r="C19" s="93">
        <v>83616.0</v>
      </c>
      <c r="D19" s="93">
        <v>89856.0</v>
      </c>
      <c r="E19" s="165">
        <v>10000.0</v>
      </c>
      <c r="F19" s="17">
        <v>15000.0</v>
      </c>
      <c r="G19" s="6">
        <f t="shared" si="1"/>
        <v>210472.0</v>
      </c>
    </row>
    <row r="20" spans="8:8">
      <c r="A20" s="3" t="s">
        <v>27</v>
      </c>
      <c r="B20" s="164" t="s">
        <v>13</v>
      </c>
      <c r="C20" s="93">
        <v>83616.0</v>
      </c>
      <c r="D20" s="93">
        <v>89856.0</v>
      </c>
      <c r="E20" s="165">
        <v>10000.0</v>
      </c>
      <c r="F20" s="17">
        <v>15000.0</v>
      </c>
      <c r="G20" s="6">
        <f t="shared" si="1"/>
        <v>210472.0</v>
      </c>
    </row>
    <row r="21" spans="8:8">
      <c r="A21" s="3" t="s">
        <v>28</v>
      </c>
      <c r="B21" s="164" t="s">
        <v>13</v>
      </c>
      <c r="C21" s="93">
        <v>83616.0</v>
      </c>
      <c r="D21" s="93">
        <v>89856.0</v>
      </c>
      <c r="E21" s="165">
        <v>10000.0</v>
      </c>
      <c r="F21" s="17">
        <v>15000.0</v>
      </c>
      <c r="G21" s="6">
        <f t="shared" si="1"/>
        <v>210472.0</v>
      </c>
    </row>
    <row r="22" spans="8:8">
      <c r="A22" s="3" t="s">
        <v>29</v>
      </c>
      <c r="B22" s="164" t="s">
        <v>13</v>
      </c>
      <c r="C22" s="93">
        <v>83616.0</v>
      </c>
      <c r="D22" s="93">
        <v>89856.0</v>
      </c>
      <c r="E22" s="165">
        <v>10000.0</v>
      </c>
      <c r="F22" s="17">
        <v>15000.0</v>
      </c>
      <c r="G22" s="6">
        <f t="shared" si="1"/>
        <v>210472.0</v>
      </c>
    </row>
    <row r="23" spans="8:8">
      <c r="A23" s="14" t="s">
        <v>325</v>
      </c>
      <c r="B23" s="164" t="s">
        <v>13</v>
      </c>
      <c r="C23" s="93">
        <v>83616.0</v>
      </c>
      <c r="D23" s="93">
        <v>89856.0</v>
      </c>
      <c r="E23" s="165">
        <v>10000.0</v>
      </c>
      <c r="F23" s="17">
        <v>15000.0</v>
      </c>
      <c r="G23" s="6">
        <f t="shared" si="1"/>
        <v>210472.0</v>
      </c>
    </row>
    <row r="24" spans="8:8">
      <c r="A24" s="3" t="s">
        <v>31</v>
      </c>
      <c r="B24" s="164" t="s">
        <v>13</v>
      </c>
      <c r="C24" s="93">
        <v>83616.0</v>
      </c>
      <c r="D24" s="93">
        <v>89856.0</v>
      </c>
      <c r="E24" s="165">
        <v>10000.0</v>
      </c>
      <c r="F24" s="17">
        <v>15000.0</v>
      </c>
      <c r="G24" s="6">
        <f t="shared" si="1"/>
        <v>210472.0</v>
      </c>
    </row>
    <row r="25" spans="8:8">
      <c r="A25" s="3" t="s">
        <v>32</v>
      </c>
      <c r="B25" s="164" t="s">
        <v>13</v>
      </c>
      <c r="C25" s="93">
        <v>83616.0</v>
      </c>
      <c r="D25" s="93">
        <v>89856.0</v>
      </c>
      <c r="E25" s="165">
        <v>10000.0</v>
      </c>
      <c r="F25" s="17">
        <v>15000.0</v>
      </c>
      <c r="G25" s="6">
        <f t="shared" si="1"/>
        <v>210472.0</v>
      </c>
    </row>
    <row r="26" spans="8:8">
      <c r="A26" s="3" t="s">
        <v>33</v>
      </c>
      <c r="B26" s="164" t="s">
        <v>13</v>
      </c>
      <c r="C26" s="93">
        <v>70512.0</v>
      </c>
      <c r="D26" s="93">
        <v>39312.0</v>
      </c>
      <c r="E26" s="165">
        <v>10000.0</v>
      </c>
      <c r="F26" s="17">
        <v>15000.0</v>
      </c>
      <c r="G26" s="6">
        <f t="shared" si="1"/>
        <v>146824.0</v>
      </c>
    </row>
    <row r="27" spans="8:8">
      <c r="A27" s="3" t="s">
        <v>34</v>
      </c>
      <c r="B27" s="164" t="s">
        <v>13</v>
      </c>
      <c r="C27" s="93">
        <v>70512.0</v>
      </c>
      <c r="D27" s="93">
        <v>39312.0</v>
      </c>
      <c r="E27" s="165">
        <v>10000.0</v>
      </c>
      <c r="F27" s="17">
        <v>15000.0</v>
      </c>
      <c r="G27" s="6">
        <f t="shared" si="1"/>
        <v>146824.0</v>
      </c>
    </row>
    <row r="28" spans="8:8">
      <c r="A28" s="3" t="s">
        <v>35</v>
      </c>
      <c r="B28" s="164" t="s">
        <v>13</v>
      </c>
      <c r="C28" s="93">
        <v>70512.0</v>
      </c>
      <c r="D28" s="93">
        <v>39312.0</v>
      </c>
      <c r="E28" s="165">
        <v>10000.0</v>
      </c>
      <c r="F28" s="17">
        <v>15000.0</v>
      </c>
      <c r="G28" s="6">
        <f t="shared" si="1"/>
        <v>146824.0</v>
      </c>
    </row>
    <row r="29" spans="8:8">
      <c r="A29" s="3" t="s">
        <v>36</v>
      </c>
      <c r="B29" s="164" t="s">
        <v>13</v>
      </c>
      <c r="C29" s="93">
        <v>70512.0</v>
      </c>
      <c r="D29" s="93">
        <v>39312.0</v>
      </c>
      <c r="E29" s="165">
        <v>10000.0</v>
      </c>
      <c r="F29" s="17">
        <v>15000.0</v>
      </c>
      <c r="G29" s="6">
        <f t="shared" si="1"/>
        <v>146824.0</v>
      </c>
    </row>
    <row r="30" spans="8:8">
      <c r="A30" s="3" t="s">
        <v>37</v>
      </c>
      <c r="B30" s="164" t="s">
        <v>13</v>
      </c>
      <c r="C30" s="93">
        <v>70512.0</v>
      </c>
      <c r="D30" s="93">
        <v>39312.0</v>
      </c>
      <c r="E30" s="165">
        <v>10000.0</v>
      </c>
      <c r="F30" s="17">
        <v>15000.0</v>
      </c>
      <c r="G30" s="6">
        <f t="shared" si="1"/>
        <v>146824.0</v>
      </c>
    </row>
    <row r="31" spans="8:8">
      <c r="A31" s="3" t="s">
        <v>38</v>
      </c>
      <c r="B31" s="164" t="s">
        <v>13</v>
      </c>
      <c r="C31" s="93">
        <v>70512.0</v>
      </c>
      <c r="D31" s="93">
        <v>39312.0</v>
      </c>
      <c r="E31" s="165">
        <v>10000.0</v>
      </c>
      <c r="F31" s="17">
        <v>15000.0</v>
      </c>
      <c r="G31" s="6">
        <f t="shared" si="1"/>
        <v>146824.0</v>
      </c>
    </row>
    <row r="32" spans="8:8" s="49" ht="15.0" customFormat="1">
      <c r="A32" s="15" t="s">
        <v>39</v>
      </c>
      <c r="B32" s="171" t="s">
        <v>13</v>
      </c>
      <c r="C32" s="93">
        <v>70512.0</v>
      </c>
      <c r="D32" s="93">
        <v>39312.0</v>
      </c>
      <c r="E32" s="165">
        <v>10000.0</v>
      </c>
      <c r="F32" s="17">
        <v>15000.0</v>
      </c>
      <c r="G32" s="17">
        <f t="shared" si="1"/>
        <v>146824.0</v>
      </c>
    </row>
    <row r="33" spans="8:8">
      <c r="A33" s="3" t="s">
        <v>40</v>
      </c>
      <c r="B33" s="164" t="s">
        <v>13</v>
      </c>
      <c r="C33" s="93">
        <v>70512.0</v>
      </c>
      <c r="D33" s="93">
        <v>39312.0</v>
      </c>
      <c r="E33" s="165">
        <v>10000.0</v>
      </c>
      <c r="F33" s="17">
        <v>15000.0</v>
      </c>
      <c r="G33" s="6">
        <f t="shared" si="1"/>
        <v>146824.0</v>
      </c>
    </row>
    <row r="34" spans="8:8" s="49" ht="15.0" customFormat="1">
      <c r="A34" s="15" t="s">
        <v>41</v>
      </c>
      <c r="B34" s="171" t="s">
        <v>13</v>
      </c>
      <c r="C34" s="93">
        <v>70512.0</v>
      </c>
      <c r="D34" s="93">
        <v>39312.0</v>
      </c>
      <c r="E34" s="165">
        <v>10000.0</v>
      </c>
      <c r="F34" s="17">
        <v>15000.0</v>
      </c>
      <c r="G34" s="6">
        <f t="shared" si="2" ref="G34:G36">SUM(C34:F34)+12000</f>
        <v>146824.0</v>
      </c>
    </row>
    <row r="35" spans="8:8">
      <c r="A35" s="3" t="s">
        <v>42</v>
      </c>
      <c r="B35" s="164" t="s">
        <v>13</v>
      </c>
      <c r="C35" s="93">
        <v>70512.0</v>
      </c>
      <c r="D35" s="93">
        <v>39312.0</v>
      </c>
      <c r="E35" s="165">
        <v>10000.0</v>
      </c>
      <c r="F35" s="17">
        <v>15000.0</v>
      </c>
      <c r="G35" s="6">
        <f t="shared" si="2"/>
        <v>146824.0</v>
      </c>
    </row>
    <row r="36" spans="8:8">
      <c r="A36" s="3" t="s">
        <v>43</v>
      </c>
      <c r="B36" s="164" t="s">
        <v>13</v>
      </c>
      <c r="C36" s="93">
        <v>70512.0</v>
      </c>
      <c r="D36" s="93">
        <v>39312.0</v>
      </c>
      <c r="E36" s="165">
        <v>10000.0</v>
      </c>
      <c r="F36" s="17">
        <v>15000.0</v>
      </c>
      <c r="G36" s="6">
        <f t="shared" si="2"/>
        <v>146824.0</v>
      </c>
    </row>
    <row r="37" spans="8:8">
      <c r="A37" s="3" t="s">
        <v>44</v>
      </c>
      <c r="B37" s="164" t="s">
        <v>13</v>
      </c>
      <c r="C37" s="93">
        <v>159432.0</v>
      </c>
      <c r="D37" s="93">
        <v>93600.0</v>
      </c>
      <c r="E37" s="165">
        <v>10000.0</v>
      </c>
      <c r="F37" s="17">
        <v>15000.0</v>
      </c>
      <c r="G37" s="6">
        <f>SUM(C37:F37)+12000</f>
        <v>290032.0</v>
      </c>
    </row>
    <row r="38" spans="8:8">
      <c r="A38" s="3" t="s">
        <v>45</v>
      </c>
      <c r="B38" s="164" t="s">
        <v>13</v>
      </c>
      <c r="C38" s="93">
        <v>159432.0</v>
      </c>
      <c r="D38" s="93">
        <v>93600.0</v>
      </c>
      <c r="E38" s="165">
        <v>10000.0</v>
      </c>
      <c r="F38" s="17">
        <v>15000.0</v>
      </c>
      <c r="G38" s="6">
        <f>SUM(C38:F38)+12000</f>
        <v>290032.0</v>
      </c>
    </row>
    <row r="39" spans="8:8">
      <c r="A39" s="3" t="s">
        <v>46</v>
      </c>
      <c r="B39" s="164" t="s">
        <v>13</v>
      </c>
      <c r="C39" s="93">
        <v>224328.0</v>
      </c>
      <c r="D39" s="93">
        <v>93600.0</v>
      </c>
      <c r="E39" s="165">
        <v>10000.0</v>
      </c>
      <c r="F39" s="17">
        <v>15000.0</v>
      </c>
      <c r="G39" s="6">
        <f>SUM(C39:F39)+12000</f>
        <v>354928.0</v>
      </c>
    </row>
    <row r="40" spans="8:8">
      <c r="A40" s="3" t="s">
        <v>47</v>
      </c>
      <c r="B40" s="164" t="s">
        <v>13</v>
      </c>
      <c r="C40" s="93">
        <v>70512.0</v>
      </c>
      <c r="D40" s="93">
        <v>93600.0</v>
      </c>
      <c r="E40" s="165">
        <v>10000.0</v>
      </c>
      <c r="F40" s="17">
        <v>15000.0</v>
      </c>
      <c r="G40" s="6">
        <f>SUM(C40:F40)+12000</f>
        <v>201112.0</v>
      </c>
    </row>
    <row r="41" spans="8:8">
      <c r="A41" s="3" t="s">
        <v>48</v>
      </c>
      <c r="B41" s="164" t="s">
        <v>13</v>
      </c>
      <c r="C41" s="93">
        <v>70512.0</v>
      </c>
      <c r="D41" s="93">
        <v>39312.0</v>
      </c>
      <c r="E41" s="165">
        <v>10000.0</v>
      </c>
      <c r="F41" s="17">
        <v>15000.0</v>
      </c>
      <c r="G41" s="6">
        <f>SUM(C41:F41)+12000</f>
        <v>146824.0</v>
      </c>
    </row>
    <row r="42" spans="8:8">
      <c r="A42" s="3" t="s">
        <v>49</v>
      </c>
      <c r="B42" s="164" t="s">
        <v>13</v>
      </c>
      <c r="C42" s="93">
        <v>70512.0</v>
      </c>
      <c r="D42" s="93">
        <v>39312.0</v>
      </c>
      <c r="E42" s="165">
        <v>10000.0</v>
      </c>
      <c r="F42" s="17">
        <v>15000.0</v>
      </c>
      <c r="G42" s="6">
        <f t="shared" si="3" ref="G42:G47">SUM(C42:F42)+12000</f>
        <v>146824.0</v>
      </c>
    </row>
    <row r="43" spans="8:8" s="49" ht="15.0" customFormat="1">
      <c r="A43" s="18" t="s">
        <v>326</v>
      </c>
      <c r="B43" s="171" t="s">
        <v>13</v>
      </c>
      <c r="C43" s="93">
        <v>70512.0</v>
      </c>
      <c r="D43" s="93">
        <v>39312.0</v>
      </c>
      <c r="E43" s="165">
        <v>10000.0</v>
      </c>
      <c r="F43" s="17">
        <v>15000.0</v>
      </c>
      <c r="G43" s="6">
        <f t="shared" si="3"/>
        <v>146824.0</v>
      </c>
    </row>
    <row r="44" spans="8:8">
      <c r="A44" s="3" t="s">
        <v>51</v>
      </c>
      <c r="B44" s="164" t="s">
        <v>13</v>
      </c>
      <c r="C44" s="93">
        <v>70512.0</v>
      </c>
      <c r="D44" s="93">
        <v>39312.0</v>
      </c>
      <c r="E44" s="165">
        <v>10000.0</v>
      </c>
      <c r="F44" s="17">
        <v>15000.0</v>
      </c>
      <c r="G44" s="6">
        <f t="shared" si="3"/>
        <v>146824.0</v>
      </c>
    </row>
    <row r="45" spans="8:8">
      <c r="A45" s="3" t="s">
        <v>52</v>
      </c>
      <c r="B45" s="164" t="s">
        <v>13</v>
      </c>
      <c r="C45" s="93">
        <v>70512.0</v>
      </c>
      <c r="D45" s="93">
        <v>39312.0</v>
      </c>
      <c r="E45" s="165">
        <v>10000.0</v>
      </c>
      <c r="F45" s="17">
        <v>15000.0</v>
      </c>
      <c r="G45" s="6">
        <f t="shared" si="3"/>
        <v>146824.0</v>
      </c>
    </row>
    <row r="46" spans="8:8">
      <c r="A46" s="14" t="s">
        <v>327</v>
      </c>
      <c r="B46" s="164" t="s">
        <v>13</v>
      </c>
      <c r="C46" s="93">
        <v>70512.0</v>
      </c>
      <c r="D46" s="93">
        <v>39312.0</v>
      </c>
      <c r="E46" s="165">
        <v>10000.0</v>
      </c>
      <c r="F46" s="17">
        <v>15000.0</v>
      </c>
      <c r="G46" s="6">
        <f t="shared" si="3"/>
        <v>146824.0</v>
      </c>
    </row>
    <row r="47" spans="8:8">
      <c r="A47" s="3" t="s">
        <v>54</v>
      </c>
      <c r="B47" s="164" t="s">
        <v>13</v>
      </c>
      <c r="C47" s="93">
        <v>70512.0</v>
      </c>
      <c r="D47" s="93">
        <v>39312.0</v>
      </c>
      <c r="E47" s="165">
        <v>10000.0</v>
      </c>
      <c r="F47" s="17">
        <v>15000.0</v>
      </c>
      <c r="G47" s="6">
        <f t="shared" si="3"/>
        <v>146824.0</v>
      </c>
    </row>
    <row r="48" spans="8:8" s="49" ht="15.0" customFormat="1">
      <c r="A48" s="15" t="s">
        <v>55</v>
      </c>
      <c r="B48" s="172" t="s">
        <v>13</v>
      </c>
      <c r="C48" s="132">
        <v>14040.0</v>
      </c>
      <c r="D48" s="132">
        <v>102960.0</v>
      </c>
      <c r="E48" s="173">
        <v>10000.0</v>
      </c>
      <c r="F48" s="37">
        <v>15000.0</v>
      </c>
      <c r="G48" s="37">
        <f>SUM(C48:F48)+12000</f>
        <v>154000.0</v>
      </c>
    </row>
    <row r="49" spans="8:8">
      <c r="A49" s="3" t="s">
        <v>56</v>
      </c>
      <c r="B49" s="164" t="s">
        <v>60</v>
      </c>
      <c r="C49" s="93">
        <v>0.01</v>
      </c>
      <c r="D49" s="93">
        <v>112320.0</v>
      </c>
      <c r="E49" s="165">
        <v>10000.0</v>
      </c>
      <c r="F49" s="17">
        <v>15000.0</v>
      </c>
      <c r="G49" s="6">
        <f t="shared" si="0"/>
        <v>137320.01</v>
      </c>
    </row>
    <row r="50" spans="8:8">
      <c r="A50" s="10" t="s">
        <v>59</v>
      </c>
      <c r="B50" s="166" t="s">
        <v>60</v>
      </c>
      <c r="C50" s="93">
        <v>0.01</v>
      </c>
      <c r="D50" s="93">
        <v>112320.0</v>
      </c>
      <c r="E50" s="165">
        <v>10000.0</v>
      </c>
      <c r="F50" s="17">
        <v>15000.0</v>
      </c>
      <c r="G50" s="6">
        <f t="shared" si="0"/>
        <v>137320.01</v>
      </c>
    </row>
    <row r="51" spans="8:8">
      <c r="A51" s="3" t="s">
        <v>61</v>
      </c>
      <c r="B51" s="164" t="s">
        <v>60</v>
      </c>
      <c r="C51" s="93">
        <v>0.01</v>
      </c>
      <c r="D51" s="93">
        <v>112320.0</v>
      </c>
      <c r="E51" s="165">
        <v>10000.0</v>
      </c>
      <c r="F51" s="17">
        <v>15000.0</v>
      </c>
      <c r="G51" s="6">
        <f t="shared" si="0"/>
        <v>137320.01</v>
      </c>
    </row>
    <row r="52" spans="8:8">
      <c r="A52" s="3" t="s">
        <v>62</v>
      </c>
      <c r="B52" s="164" t="s">
        <v>60</v>
      </c>
      <c r="C52" s="93">
        <v>23400.0</v>
      </c>
      <c r="D52" s="93">
        <v>196560.0</v>
      </c>
      <c r="E52" s="165">
        <v>10000.0</v>
      </c>
      <c r="F52" s="17">
        <v>15000.0</v>
      </c>
      <c r="G52" s="13">
        <f t="shared" si="0"/>
        <v>244960.0</v>
      </c>
    </row>
    <row r="53" spans="8:8">
      <c r="A53" s="3" t="s">
        <v>63</v>
      </c>
      <c r="B53" s="164" t="s">
        <v>60</v>
      </c>
      <c r="C53" s="93">
        <v>0.01</v>
      </c>
      <c r="D53" s="93">
        <v>112320.0</v>
      </c>
      <c r="E53" s="165">
        <v>10000.0</v>
      </c>
      <c r="F53" s="17">
        <v>15000.0</v>
      </c>
      <c r="G53" s="6">
        <f t="shared" si="0"/>
        <v>137320.01</v>
      </c>
    </row>
    <row r="54" spans="8:8">
      <c r="A54" s="10" t="s">
        <v>64</v>
      </c>
      <c r="B54" s="164" t="s">
        <v>60</v>
      </c>
      <c r="C54" s="93">
        <v>0.01</v>
      </c>
      <c r="D54" s="93">
        <v>112320.0</v>
      </c>
      <c r="E54" s="165">
        <v>10000.0</v>
      </c>
      <c r="F54" s="17">
        <v>15000.0</v>
      </c>
      <c r="G54" s="6">
        <f t="shared" si="0"/>
        <v>137320.01</v>
      </c>
    </row>
    <row r="55" spans="8:8">
      <c r="A55" s="3" t="s">
        <v>66</v>
      </c>
      <c r="B55" s="166" t="s">
        <v>65</v>
      </c>
      <c r="C55" s="118">
        <v>0.01</v>
      </c>
      <c r="D55" s="118">
        <v>82680.0</v>
      </c>
      <c r="E55" s="167">
        <v>10000.0</v>
      </c>
      <c r="F55" s="168">
        <v>15000.0</v>
      </c>
      <c r="G55" s="13">
        <f t="shared" si="0"/>
        <v>107680.01</v>
      </c>
    </row>
    <row r="56" spans="8:8">
      <c r="A56" s="3" t="s">
        <v>67</v>
      </c>
      <c r="B56" s="164" t="s">
        <v>65</v>
      </c>
      <c r="C56" s="93">
        <v>0.01</v>
      </c>
      <c r="D56" s="93">
        <v>87984.0</v>
      </c>
      <c r="E56" s="165">
        <v>10000.0</v>
      </c>
      <c r="F56" s="17">
        <v>15000.0</v>
      </c>
      <c r="G56" s="13">
        <f t="shared" si="0"/>
        <v>112984.01</v>
      </c>
    </row>
    <row r="57" spans="8:8">
      <c r="A57" s="3" t="s">
        <v>68</v>
      </c>
      <c r="B57" s="164" t="s">
        <v>65</v>
      </c>
      <c r="C57" s="93">
        <v>0.01</v>
      </c>
      <c r="D57" s="93">
        <v>82680.0</v>
      </c>
      <c r="E57" s="165">
        <v>10000.0</v>
      </c>
      <c r="F57" s="17">
        <v>15000.0</v>
      </c>
      <c r="G57" s="6">
        <f t="shared" si="0"/>
        <v>107680.01</v>
      </c>
    </row>
    <row r="58" spans="8:8">
      <c r="A58" s="3" t="s">
        <v>69</v>
      </c>
      <c r="B58" s="164" t="s">
        <v>65</v>
      </c>
      <c r="C58" s="93">
        <v>0.01</v>
      </c>
      <c r="D58" s="93">
        <v>87984.0</v>
      </c>
      <c r="E58" s="165">
        <v>10000.0</v>
      </c>
      <c r="F58" s="17">
        <v>15000.0</v>
      </c>
      <c r="G58" s="6">
        <f t="shared" si="0"/>
        <v>112984.01</v>
      </c>
    </row>
    <row r="59" spans="8:8">
      <c r="A59" s="3" t="s">
        <v>70</v>
      </c>
      <c r="B59" s="164" t="s">
        <v>65</v>
      </c>
      <c r="C59" s="93">
        <v>0.01</v>
      </c>
      <c r="D59" s="93">
        <v>107328.0</v>
      </c>
      <c r="E59" s="165">
        <v>10000.0</v>
      </c>
      <c r="F59" s="17">
        <v>15000.0</v>
      </c>
      <c r="G59" s="6">
        <f t="shared" si="0"/>
        <v>132328.01</v>
      </c>
    </row>
    <row r="60" spans="8:8">
      <c r="A60" s="15" t="s">
        <v>71</v>
      </c>
      <c r="B60" s="164" t="s">
        <v>65</v>
      </c>
      <c r="C60" s="93">
        <v>0.01</v>
      </c>
      <c r="D60" s="93">
        <v>82680.0</v>
      </c>
      <c r="E60" s="165">
        <v>10000.0</v>
      </c>
      <c r="F60" s="17">
        <v>15000.0</v>
      </c>
      <c r="G60" s="6">
        <f t="shared" si="0"/>
        <v>107680.01</v>
      </c>
    </row>
    <row r="61" spans="8:8">
      <c r="A61" s="15" t="s">
        <v>72</v>
      </c>
      <c r="B61" s="171" t="s">
        <v>65</v>
      </c>
      <c r="C61" s="93">
        <v>0.01</v>
      </c>
      <c r="D61" s="93">
        <v>97344.0</v>
      </c>
      <c r="E61" s="165">
        <v>10000.0</v>
      </c>
      <c r="F61" s="17">
        <v>15000.0</v>
      </c>
      <c r="G61" s="6">
        <f t="shared" si="0"/>
        <v>122344.01</v>
      </c>
    </row>
    <row r="62" spans="8:8">
      <c r="A62" s="3" t="s">
        <v>73</v>
      </c>
      <c r="B62" s="171" t="s">
        <v>65</v>
      </c>
      <c r="C62" s="93">
        <v>0.01</v>
      </c>
      <c r="D62" s="93">
        <v>87984.0</v>
      </c>
      <c r="E62" s="165">
        <v>10000.0</v>
      </c>
      <c r="F62" s="17">
        <v>15000.0</v>
      </c>
      <c r="G62" s="6">
        <f t="shared" si="0"/>
        <v>112984.01</v>
      </c>
    </row>
    <row r="63" spans="8:8">
      <c r="A63" s="3" t="s">
        <v>74</v>
      </c>
      <c r="B63" s="164" t="s">
        <v>65</v>
      </c>
      <c r="C63" s="93">
        <v>0.01</v>
      </c>
      <c r="D63" s="93">
        <v>82680.0</v>
      </c>
      <c r="E63" s="165">
        <v>10000.0</v>
      </c>
      <c r="F63" s="17">
        <v>15000.0</v>
      </c>
      <c r="G63" s="6">
        <f t="shared" si="0"/>
        <v>107680.01</v>
      </c>
    </row>
    <row r="64" spans="8:8">
      <c r="A64" s="3" t="s">
        <v>75</v>
      </c>
      <c r="B64" s="164" t="s">
        <v>65</v>
      </c>
      <c r="C64" s="93">
        <v>0.01</v>
      </c>
      <c r="D64" s="93">
        <v>87984.0</v>
      </c>
      <c r="E64" s="165">
        <v>10000.0</v>
      </c>
      <c r="F64" s="17">
        <v>15000.0</v>
      </c>
      <c r="G64" s="6">
        <f t="shared" si="0"/>
        <v>112984.01</v>
      </c>
    </row>
    <row r="65" spans="8:8">
      <c r="A65" s="3" t="s">
        <v>76</v>
      </c>
      <c r="B65" s="164" t="s">
        <v>65</v>
      </c>
      <c r="C65" s="93">
        <v>0.01</v>
      </c>
      <c r="D65" s="93">
        <v>135720.0</v>
      </c>
      <c r="E65" s="165">
        <v>10000.0</v>
      </c>
      <c r="F65" s="17">
        <v>15000.0</v>
      </c>
      <c r="G65" s="6">
        <f t="shared" si="0"/>
        <v>160720.01</v>
      </c>
    </row>
    <row r="66" spans="8:8">
      <c r="A66" s="3" t="s">
        <v>77</v>
      </c>
      <c r="B66" s="164" t="s">
        <v>65</v>
      </c>
      <c r="C66" s="93">
        <v>0.01</v>
      </c>
      <c r="D66" s="93">
        <v>82680.0</v>
      </c>
      <c r="E66" s="165">
        <v>10000.0</v>
      </c>
      <c r="F66" s="17">
        <v>15000.0</v>
      </c>
      <c r="G66" s="6">
        <f t="shared" si="4" ref="G66:G129">SUM(C66:F66)</f>
        <v>107680.01</v>
      </c>
    </row>
    <row r="67" spans="8:8">
      <c r="A67" s="3" t="s">
        <v>78</v>
      </c>
      <c r="B67" s="164" t="s">
        <v>65</v>
      </c>
      <c r="C67" s="93">
        <v>0.01</v>
      </c>
      <c r="D67" s="93">
        <v>87984.0</v>
      </c>
      <c r="E67" s="165">
        <v>10000.0</v>
      </c>
      <c r="F67" s="17">
        <v>15000.0</v>
      </c>
      <c r="G67" s="6">
        <f t="shared" si="4"/>
        <v>112984.01</v>
      </c>
    </row>
    <row r="68" spans="8:8">
      <c r="A68" s="3" t="s">
        <v>79</v>
      </c>
      <c r="B68" s="164" t="s">
        <v>65</v>
      </c>
      <c r="C68" s="93">
        <v>0.01</v>
      </c>
      <c r="D68" s="93">
        <v>97344.0</v>
      </c>
      <c r="E68" s="165">
        <v>10000.0</v>
      </c>
      <c r="F68" s="17">
        <v>15000.0</v>
      </c>
      <c r="G68" s="6">
        <f t="shared" si="4"/>
        <v>122344.01</v>
      </c>
    </row>
    <row r="69" spans="8:8">
      <c r="A69" s="3" t="s">
        <v>80</v>
      </c>
      <c r="B69" s="164" t="s">
        <v>65</v>
      </c>
      <c r="C69" s="93">
        <v>0.01</v>
      </c>
      <c r="D69" s="93">
        <v>107328.0</v>
      </c>
      <c r="E69" s="165">
        <v>10000.0</v>
      </c>
      <c r="F69" s="17">
        <v>15000.0</v>
      </c>
      <c r="G69" s="6">
        <f t="shared" si="4"/>
        <v>132328.01</v>
      </c>
    </row>
    <row r="70" spans="8:8">
      <c r="A70" s="3" t="s">
        <v>81</v>
      </c>
      <c r="B70" s="164" t="s">
        <v>65</v>
      </c>
      <c r="C70" s="93">
        <v>0.01</v>
      </c>
      <c r="D70" s="93">
        <v>82680.0</v>
      </c>
      <c r="E70" s="165">
        <v>10000.0</v>
      </c>
      <c r="F70" s="17">
        <v>15000.0</v>
      </c>
      <c r="G70" s="6">
        <f t="shared" si="4"/>
        <v>107680.01</v>
      </c>
    </row>
    <row r="71" spans="8:8">
      <c r="A71" s="3" t="s">
        <v>82</v>
      </c>
      <c r="B71" s="164" t="s">
        <v>65</v>
      </c>
      <c r="C71" s="93">
        <v>0.01</v>
      </c>
      <c r="D71" s="93">
        <v>87984.0</v>
      </c>
      <c r="E71" s="165">
        <v>10000.0</v>
      </c>
      <c r="F71" s="17">
        <v>15000.0</v>
      </c>
      <c r="G71" s="6">
        <f t="shared" si="4"/>
        <v>112984.01</v>
      </c>
    </row>
    <row r="72" spans="8:8">
      <c r="A72" s="3" t="s">
        <v>83</v>
      </c>
      <c r="B72" s="164" t="s">
        <v>65</v>
      </c>
      <c r="C72" s="93">
        <v>0.01</v>
      </c>
      <c r="D72" s="93">
        <v>165360.0</v>
      </c>
      <c r="E72" s="165">
        <v>10000.0</v>
      </c>
      <c r="F72" s="17">
        <v>15000.0</v>
      </c>
      <c r="G72" s="6">
        <f t="shared" si="4"/>
        <v>190360.01</v>
      </c>
    </row>
    <row r="73" spans="8:8">
      <c r="A73" s="3" t="s">
        <v>84</v>
      </c>
      <c r="B73" s="164" t="s">
        <v>65</v>
      </c>
      <c r="C73" s="93">
        <v>0.01</v>
      </c>
      <c r="D73" s="93">
        <v>175968.0</v>
      </c>
      <c r="E73" s="165">
        <v>10000.0</v>
      </c>
      <c r="F73" s="17">
        <v>15000.0</v>
      </c>
      <c r="G73" s="6">
        <f t="shared" si="4"/>
        <v>200968.01</v>
      </c>
    </row>
    <row r="74" spans="8:8">
      <c r="A74" s="3" t="s">
        <v>85</v>
      </c>
      <c r="B74" s="164" t="s">
        <v>65</v>
      </c>
      <c r="C74" s="93">
        <v>0.01</v>
      </c>
      <c r="D74" s="93">
        <v>87984.0</v>
      </c>
      <c r="E74" s="165">
        <v>10000.0</v>
      </c>
      <c r="F74" s="17">
        <v>15000.0</v>
      </c>
      <c r="G74" s="6">
        <f t="shared" si="4"/>
        <v>112984.01</v>
      </c>
    </row>
    <row r="75" spans="8:8">
      <c r="A75" s="15" t="s">
        <v>86</v>
      </c>
      <c r="B75" s="164" t="s">
        <v>65</v>
      </c>
      <c r="C75" s="93">
        <v>0.01</v>
      </c>
      <c r="D75" s="93">
        <v>175968.0</v>
      </c>
      <c r="E75" s="165">
        <v>10000.0</v>
      </c>
      <c r="F75" s="17">
        <v>15000.0</v>
      </c>
      <c r="G75" s="6">
        <f t="shared" si="4"/>
        <v>200968.01</v>
      </c>
    </row>
    <row r="76" spans="8:8">
      <c r="A76" s="3" t="s">
        <v>87</v>
      </c>
      <c r="B76" s="171" t="s">
        <v>65</v>
      </c>
      <c r="C76" s="93">
        <v>0.01</v>
      </c>
      <c r="D76" s="93">
        <v>87984.0</v>
      </c>
      <c r="E76" s="165">
        <v>10000.0</v>
      </c>
      <c r="F76" s="17">
        <v>15000.0</v>
      </c>
      <c r="G76" s="6">
        <f t="shared" si="4"/>
        <v>112984.01</v>
      </c>
    </row>
    <row r="77" spans="8:8" s="49" ht="15.0" customFormat="1">
      <c r="A77" s="3" t="s">
        <v>88</v>
      </c>
      <c r="B77" s="164" t="s">
        <v>65</v>
      </c>
      <c r="C77" s="93">
        <v>0.01</v>
      </c>
      <c r="D77" s="93">
        <v>97344.0</v>
      </c>
      <c r="E77" s="165">
        <v>10000.0</v>
      </c>
      <c r="F77" s="17">
        <v>15000.0</v>
      </c>
      <c r="G77" s="17">
        <f t="shared" si="4"/>
        <v>122344.01</v>
      </c>
    </row>
    <row r="78" spans="8:8">
      <c r="A78" s="3" t="s">
        <v>89</v>
      </c>
      <c r="B78" s="164" t="s">
        <v>65</v>
      </c>
      <c r="C78" s="93">
        <v>0.01</v>
      </c>
      <c r="D78" s="93">
        <v>107328.0</v>
      </c>
      <c r="E78" s="165">
        <v>10000.0</v>
      </c>
      <c r="F78" s="17">
        <v>15000.0</v>
      </c>
      <c r="G78" s="6">
        <f t="shared" si="4"/>
        <v>132328.01</v>
      </c>
    </row>
    <row r="79" spans="8:8">
      <c r="A79" s="3" t="s">
        <v>90</v>
      </c>
      <c r="B79" s="164" t="s">
        <v>65</v>
      </c>
      <c r="C79" s="93">
        <v>0.01</v>
      </c>
      <c r="D79" s="93">
        <v>121680.0</v>
      </c>
      <c r="E79" s="165">
        <v>10000.0</v>
      </c>
      <c r="F79" s="17">
        <v>15000.0</v>
      </c>
      <c r="G79" s="6">
        <f t="shared" si="4"/>
        <v>146680.01</v>
      </c>
    </row>
    <row r="80" spans="8:8">
      <c r="A80" s="3" t="s">
        <v>91</v>
      </c>
      <c r="B80" s="164" t="s">
        <v>65</v>
      </c>
      <c r="C80" s="93">
        <v>0.01</v>
      </c>
      <c r="D80" s="93">
        <v>130728.0</v>
      </c>
      <c r="E80" s="165">
        <v>10000.0</v>
      </c>
      <c r="F80" s="17">
        <v>15000.0</v>
      </c>
      <c r="G80" s="6">
        <f t="shared" si="4"/>
        <v>155728.01</v>
      </c>
    </row>
    <row r="81" spans="8:8">
      <c r="A81" s="3" t="s">
        <v>92</v>
      </c>
      <c r="B81" s="164" t="s">
        <v>65</v>
      </c>
      <c r="C81" s="93">
        <v>0.01</v>
      </c>
      <c r="D81" s="93">
        <v>138528.0</v>
      </c>
      <c r="E81" s="165">
        <v>10000.0</v>
      </c>
      <c r="F81" s="17">
        <v>15000.0</v>
      </c>
      <c r="G81" s="6">
        <f t="shared" si="4"/>
        <v>163528.01</v>
      </c>
    </row>
    <row r="82" spans="8:8">
      <c r="A82" s="3" t="s">
        <v>93</v>
      </c>
      <c r="B82" s="164" t="s">
        <v>65</v>
      </c>
      <c r="C82" s="93">
        <v>0.01</v>
      </c>
      <c r="D82" s="93">
        <v>82680.0</v>
      </c>
      <c r="E82" s="165">
        <v>10000.0</v>
      </c>
      <c r="F82" s="17">
        <v>15000.0</v>
      </c>
      <c r="G82" s="6">
        <f t="shared" si="4"/>
        <v>107680.01</v>
      </c>
    </row>
    <row r="83" spans="8:8">
      <c r="A83" s="3" t="s">
        <v>94</v>
      </c>
      <c r="B83" s="164" t="s">
        <v>65</v>
      </c>
      <c r="C83" s="93">
        <v>0.01</v>
      </c>
      <c r="D83" s="93">
        <v>87984.0</v>
      </c>
      <c r="E83" s="165">
        <v>10000.0</v>
      </c>
      <c r="F83" s="17">
        <v>15000.0</v>
      </c>
      <c r="G83" s="6">
        <f t="shared" si="4"/>
        <v>112984.01</v>
      </c>
    </row>
    <row r="84" spans="8:8">
      <c r="A84" s="3" t="s">
        <v>95</v>
      </c>
      <c r="B84" s="164" t="s">
        <v>65</v>
      </c>
      <c r="C84" s="93">
        <v>0.01</v>
      </c>
      <c r="D84" s="93">
        <v>107328.0</v>
      </c>
      <c r="E84" s="165">
        <v>10000.0</v>
      </c>
      <c r="F84" s="17">
        <v>15000.0</v>
      </c>
      <c r="G84" s="6">
        <f t="shared" si="4"/>
        <v>132328.01</v>
      </c>
    </row>
    <row r="85" spans="8:8">
      <c r="A85" s="3" t="s">
        <v>96</v>
      </c>
      <c r="B85" s="164" t="s">
        <v>65</v>
      </c>
      <c r="C85" s="93">
        <v>0.01</v>
      </c>
      <c r="D85" s="93">
        <v>87984.0</v>
      </c>
      <c r="E85" s="165">
        <v>10000.0</v>
      </c>
      <c r="F85" s="17">
        <v>15000.0</v>
      </c>
      <c r="G85" s="6">
        <f t="shared" si="4"/>
        <v>112984.01</v>
      </c>
    </row>
    <row r="86" spans="8:8">
      <c r="A86" s="3" t="s">
        <v>97</v>
      </c>
      <c r="B86" s="164" t="s">
        <v>65</v>
      </c>
      <c r="C86" s="93">
        <v>0.01</v>
      </c>
      <c r="D86" s="93">
        <v>107328.0</v>
      </c>
      <c r="E86" s="165">
        <v>10000.0</v>
      </c>
      <c r="F86" s="17">
        <v>15000.0</v>
      </c>
      <c r="G86" s="6">
        <f t="shared" si="4"/>
        <v>132328.01</v>
      </c>
    </row>
    <row r="87" spans="8:8">
      <c r="A87" s="15" t="s">
        <v>98</v>
      </c>
      <c r="B87" s="164" t="s">
        <v>65</v>
      </c>
      <c r="C87" s="93">
        <v>0.01</v>
      </c>
      <c r="D87" s="93">
        <v>82680.0</v>
      </c>
      <c r="E87" s="165">
        <v>10000.0</v>
      </c>
      <c r="F87" s="17">
        <v>15000.0</v>
      </c>
      <c r="G87" s="6">
        <f t="shared" si="4"/>
        <v>107680.01</v>
      </c>
    </row>
    <row r="88" spans="8:8">
      <c r="A88" s="3" t="s">
        <v>99</v>
      </c>
      <c r="B88" s="171" t="s">
        <v>65</v>
      </c>
      <c r="C88" s="93">
        <v>0.01</v>
      </c>
      <c r="D88" s="93">
        <v>87984.0</v>
      </c>
      <c r="E88" s="165">
        <v>10000.0</v>
      </c>
      <c r="F88" s="17">
        <v>15000.0</v>
      </c>
      <c r="G88" s="6">
        <f t="shared" si="4"/>
        <v>112984.01</v>
      </c>
    </row>
    <row r="89" spans="8:8" s="49" ht="15.0" customFormat="1">
      <c r="A89" s="3" t="s">
        <v>100</v>
      </c>
      <c r="B89" s="164" t="s">
        <v>65</v>
      </c>
      <c r="C89" s="93">
        <v>0.01</v>
      </c>
      <c r="D89" s="93">
        <v>107328.0</v>
      </c>
      <c r="E89" s="165">
        <v>10000.0</v>
      </c>
      <c r="F89" s="17">
        <v>15000.0</v>
      </c>
      <c r="G89" s="17">
        <f t="shared" si="4"/>
        <v>132328.01</v>
      </c>
    </row>
    <row r="90" spans="8:8">
      <c r="A90" s="3" t="s">
        <v>101</v>
      </c>
      <c r="B90" s="164" t="s">
        <v>65</v>
      </c>
      <c r="C90" s="93">
        <v>0.01</v>
      </c>
      <c r="D90" s="93">
        <v>130728.0</v>
      </c>
      <c r="E90" s="165">
        <v>10000.0</v>
      </c>
      <c r="F90" s="17">
        <v>15000.0</v>
      </c>
      <c r="G90" s="6">
        <f t="shared" si="4"/>
        <v>155728.01</v>
      </c>
    </row>
    <row r="91" spans="8:8">
      <c r="A91" s="3" t="s">
        <v>102</v>
      </c>
      <c r="B91" s="164" t="s">
        <v>65</v>
      </c>
      <c r="C91" s="93">
        <v>0.01</v>
      </c>
      <c r="D91" s="93">
        <v>138528.0</v>
      </c>
      <c r="E91" s="165">
        <v>10000.0</v>
      </c>
      <c r="F91" s="17">
        <v>15000.0</v>
      </c>
      <c r="G91" s="6">
        <f t="shared" si="4"/>
        <v>163528.01</v>
      </c>
    </row>
    <row r="92" spans="8:8">
      <c r="A92" s="3" t="s">
        <v>103</v>
      </c>
      <c r="B92" s="164" t="s">
        <v>65</v>
      </c>
      <c r="C92" s="93">
        <v>0.01</v>
      </c>
      <c r="D92" s="93">
        <v>87048.0</v>
      </c>
      <c r="E92" s="165">
        <v>10000.0</v>
      </c>
      <c r="F92" s="17">
        <v>15000.0</v>
      </c>
      <c r="G92" s="6">
        <f t="shared" si="4"/>
        <v>112048.01</v>
      </c>
    </row>
    <row r="93" spans="8:8">
      <c r="A93" s="15" t="s">
        <v>104</v>
      </c>
      <c r="B93" s="164" t="s">
        <v>65</v>
      </c>
      <c r="C93" s="93">
        <v>0.01</v>
      </c>
      <c r="D93" s="93">
        <v>82680.0</v>
      </c>
      <c r="E93" s="165">
        <v>10000.0</v>
      </c>
      <c r="F93" s="17">
        <v>15000.0</v>
      </c>
      <c r="G93" s="6">
        <f t="shared" si="4"/>
        <v>107680.01</v>
      </c>
    </row>
    <row r="94" spans="8:8">
      <c r="A94" s="3" t="s">
        <v>105</v>
      </c>
      <c r="B94" s="171" t="s">
        <v>65</v>
      </c>
      <c r="C94" s="93">
        <v>0.01</v>
      </c>
      <c r="D94" s="93">
        <v>87984.0</v>
      </c>
      <c r="E94" s="165">
        <v>10000.0</v>
      </c>
      <c r="F94" s="17">
        <v>15000.0</v>
      </c>
      <c r="G94" s="6">
        <f t="shared" si="4"/>
        <v>112984.01</v>
      </c>
    </row>
    <row r="95" spans="8:8" s="49" ht="15.0" customFormat="1">
      <c r="A95" s="3" t="s">
        <v>108</v>
      </c>
      <c r="B95" s="164" t="s">
        <v>65</v>
      </c>
      <c r="C95" s="93">
        <v>0.01</v>
      </c>
      <c r="D95" s="93">
        <v>97344.0</v>
      </c>
      <c r="E95" s="165">
        <v>10000.0</v>
      </c>
      <c r="F95" s="17">
        <v>15000.0</v>
      </c>
      <c r="G95" s="17">
        <f t="shared" si="4"/>
        <v>122344.01</v>
      </c>
    </row>
    <row r="96" spans="8:8">
      <c r="A96" s="3" t="s">
        <v>109</v>
      </c>
      <c r="B96" s="164" t="s">
        <v>65</v>
      </c>
      <c r="C96" s="93">
        <v>0.01</v>
      </c>
      <c r="D96" s="93">
        <v>87984.0</v>
      </c>
      <c r="E96" s="165">
        <v>10000.0</v>
      </c>
      <c r="F96" s="17">
        <v>15000.0</v>
      </c>
      <c r="G96" s="6">
        <f t="shared" si="4"/>
        <v>112984.01</v>
      </c>
    </row>
    <row r="97" spans="8:8">
      <c r="A97" s="3" t="s">
        <v>110</v>
      </c>
      <c r="B97" s="164" t="s">
        <v>65</v>
      </c>
      <c r="C97" s="93">
        <v>0.01</v>
      </c>
      <c r="D97" s="93">
        <v>97344.0</v>
      </c>
      <c r="E97" s="165">
        <v>10000.0</v>
      </c>
      <c r="F97" s="17">
        <v>15000.0</v>
      </c>
      <c r="G97" s="6">
        <f t="shared" si="4"/>
        <v>122344.01</v>
      </c>
    </row>
    <row r="98" spans="8:8">
      <c r="A98" s="3" t="s">
        <v>111</v>
      </c>
      <c r="B98" s="164" t="s">
        <v>65</v>
      </c>
      <c r="C98" s="93">
        <v>46800.0</v>
      </c>
      <c r="D98" s="93">
        <v>80808.0</v>
      </c>
      <c r="E98" s="165">
        <v>10000.0</v>
      </c>
      <c r="F98" s="17">
        <v>15000.0</v>
      </c>
      <c r="G98" s="6">
        <f t="shared" si="4"/>
        <v>152608.0</v>
      </c>
    </row>
    <row r="99" spans="8:8">
      <c r="A99" s="3" t="s">
        <v>112</v>
      </c>
      <c r="B99" s="164" t="s">
        <v>65</v>
      </c>
      <c r="C99" s="93">
        <v>0.01</v>
      </c>
      <c r="D99" s="93">
        <v>82680.0</v>
      </c>
      <c r="E99" s="165">
        <v>10000.0</v>
      </c>
      <c r="F99" s="17">
        <v>15000.0</v>
      </c>
      <c r="G99" s="6">
        <f t="shared" si="4"/>
        <v>107680.01</v>
      </c>
    </row>
    <row r="100" spans="8:8">
      <c r="A100" s="3" t="s">
        <v>113</v>
      </c>
      <c r="B100" s="164" t="s">
        <v>65</v>
      </c>
      <c r="C100" s="93">
        <v>0.01</v>
      </c>
      <c r="D100" s="93">
        <v>87984.0</v>
      </c>
      <c r="E100" s="165">
        <v>10000.0</v>
      </c>
      <c r="F100" s="17">
        <v>15000.0</v>
      </c>
      <c r="G100" s="6">
        <f t="shared" si="4"/>
        <v>112984.01</v>
      </c>
    </row>
    <row r="101" spans="8:8">
      <c r="A101" s="3" t="s">
        <v>114</v>
      </c>
      <c r="B101" s="164" t="s">
        <v>65</v>
      </c>
      <c r="C101" s="93">
        <v>0.01</v>
      </c>
      <c r="D101" s="93">
        <v>97344.0</v>
      </c>
      <c r="E101" s="165">
        <v>10000.0</v>
      </c>
      <c r="F101" s="17">
        <v>15000.0</v>
      </c>
      <c r="G101" s="6">
        <f t="shared" si="4"/>
        <v>122344.01</v>
      </c>
    </row>
    <row r="102" spans="8:8">
      <c r="A102" s="3" t="s">
        <v>115</v>
      </c>
      <c r="B102" s="164" t="s">
        <v>65</v>
      </c>
      <c r="C102" s="93">
        <v>0.01</v>
      </c>
      <c r="D102" s="93">
        <v>82680.0</v>
      </c>
      <c r="E102" s="165">
        <v>10000.0</v>
      </c>
      <c r="F102" s="17">
        <v>15000.0</v>
      </c>
      <c r="G102" s="6">
        <f t="shared" si="4"/>
        <v>107680.01</v>
      </c>
    </row>
    <row r="103" spans="8:8">
      <c r="A103" s="3" t="s">
        <v>116</v>
      </c>
      <c r="B103" s="164" t="s">
        <v>65</v>
      </c>
      <c r="C103" s="93">
        <v>0.01</v>
      </c>
      <c r="D103" s="93">
        <v>87984.0</v>
      </c>
      <c r="E103" s="165">
        <v>10000.0</v>
      </c>
      <c r="F103" s="17">
        <v>15000.0</v>
      </c>
      <c r="G103" s="6">
        <f t="shared" si="4"/>
        <v>112984.01</v>
      </c>
    </row>
    <row r="104" spans="8:8">
      <c r="A104" s="3" t="s">
        <v>117</v>
      </c>
      <c r="B104" s="164" t="s">
        <v>65</v>
      </c>
      <c r="C104" s="93">
        <v>0.01</v>
      </c>
      <c r="D104" s="93">
        <v>97344.0</v>
      </c>
      <c r="E104" s="165">
        <v>10000.0</v>
      </c>
      <c r="F104" s="17">
        <v>15000.0</v>
      </c>
      <c r="G104" s="6">
        <f t="shared" si="4"/>
        <v>122344.01</v>
      </c>
    </row>
    <row r="105" spans="8:8">
      <c r="A105" s="3" t="s">
        <v>118</v>
      </c>
      <c r="B105" s="164" t="s">
        <v>65</v>
      </c>
      <c r="C105" s="93">
        <v>0.01</v>
      </c>
      <c r="D105" s="93">
        <v>87984.0</v>
      </c>
      <c r="E105" s="165">
        <v>10000.0</v>
      </c>
      <c r="F105" s="17">
        <v>15000.0</v>
      </c>
      <c r="G105" s="6">
        <f t="shared" si="4"/>
        <v>112984.01</v>
      </c>
    </row>
    <row r="106" spans="8:8">
      <c r="A106" s="3" t="s">
        <v>119</v>
      </c>
      <c r="B106" s="164" t="s">
        <v>65</v>
      </c>
      <c r="C106" s="93">
        <v>0.01</v>
      </c>
      <c r="D106" s="93">
        <v>82680.0</v>
      </c>
      <c r="E106" s="165">
        <v>10000.0</v>
      </c>
      <c r="F106" s="17">
        <v>15000.0</v>
      </c>
      <c r="G106" s="6">
        <f t="shared" si="4"/>
        <v>107680.01</v>
      </c>
    </row>
    <row r="107" spans="8:8">
      <c r="A107" s="3" t="s">
        <v>120</v>
      </c>
      <c r="B107" s="164" t="s">
        <v>65</v>
      </c>
      <c r="C107" s="93">
        <v>0.01</v>
      </c>
      <c r="D107" s="93">
        <v>87984.0</v>
      </c>
      <c r="E107" s="165">
        <v>10000.0</v>
      </c>
      <c r="F107" s="17">
        <v>15000.0</v>
      </c>
      <c r="G107" s="6">
        <f t="shared" si="4"/>
        <v>112984.01</v>
      </c>
    </row>
    <row r="108" spans="8:8">
      <c r="A108" s="3" t="s">
        <v>121</v>
      </c>
      <c r="B108" s="164" t="s">
        <v>65</v>
      </c>
      <c r="C108" s="93">
        <v>0.01</v>
      </c>
      <c r="D108" s="93">
        <v>165360.0</v>
      </c>
      <c r="E108" s="165">
        <v>10000.0</v>
      </c>
      <c r="F108" s="17">
        <v>15000.0</v>
      </c>
      <c r="G108" s="6">
        <f t="shared" si="4"/>
        <v>190360.01</v>
      </c>
    </row>
    <row r="109" spans="8:8">
      <c r="A109" s="3" t="s">
        <v>122</v>
      </c>
      <c r="B109" s="164" t="s">
        <v>65</v>
      </c>
      <c r="C109" s="93">
        <v>0.01</v>
      </c>
      <c r="D109" s="93">
        <v>175968.0</v>
      </c>
      <c r="E109" s="165">
        <v>10000.0</v>
      </c>
      <c r="F109" s="17">
        <v>15000.0</v>
      </c>
      <c r="G109" s="6">
        <f t="shared" si="4"/>
        <v>200968.01</v>
      </c>
    </row>
    <row r="110" spans="8:8">
      <c r="A110" s="3" t="s">
        <v>123</v>
      </c>
      <c r="B110" s="164" t="s">
        <v>65</v>
      </c>
      <c r="C110" s="93">
        <v>0.01</v>
      </c>
      <c r="D110" s="93">
        <v>82680.0</v>
      </c>
      <c r="E110" s="165">
        <v>10000.0</v>
      </c>
      <c r="F110" s="17">
        <v>15000.0</v>
      </c>
      <c r="G110" s="6">
        <f t="shared" si="4"/>
        <v>107680.01</v>
      </c>
    </row>
    <row r="111" spans="8:8">
      <c r="A111" s="3" t="s">
        <v>124</v>
      </c>
      <c r="B111" s="164" t="s">
        <v>65</v>
      </c>
      <c r="C111" s="93">
        <v>0.01</v>
      </c>
      <c r="D111" s="93">
        <v>87984.0</v>
      </c>
      <c r="E111" s="165">
        <v>10000.0</v>
      </c>
      <c r="F111" s="17">
        <v>15000.0</v>
      </c>
      <c r="G111" s="6">
        <f t="shared" si="4"/>
        <v>112984.01</v>
      </c>
    </row>
    <row r="112" spans="8:8">
      <c r="A112" s="3" t="s">
        <v>125</v>
      </c>
      <c r="B112" s="164" t="s">
        <v>65</v>
      </c>
      <c r="C112" s="93">
        <v>0.01</v>
      </c>
      <c r="D112" s="93">
        <v>97344.0</v>
      </c>
      <c r="E112" s="165">
        <v>10000.0</v>
      </c>
      <c r="F112" s="17">
        <v>15000.0</v>
      </c>
      <c r="G112" s="6">
        <f t="shared" si="4"/>
        <v>122344.01</v>
      </c>
    </row>
    <row r="113" spans="8:8">
      <c r="A113" s="3" t="s">
        <v>126</v>
      </c>
      <c r="B113" s="164" t="s">
        <v>65</v>
      </c>
      <c r="C113" s="93">
        <v>0.01</v>
      </c>
      <c r="D113" s="93">
        <v>107328.0</v>
      </c>
      <c r="E113" s="165">
        <v>10000.0</v>
      </c>
      <c r="F113" s="17">
        <v>15000.0</v>
      </c>
      <c r="G113" s="6">
        <f t="shared" si="4"/>
        <v>132328.01</v>
      </c>
    </row>
    <row r="114" spans="8:8">
      <c r="A114" s="3" t="s">
        <v>127</v>
      </c>
      <c r="B114" s="164" t="s">
        <v>65</v>
      </c>
      <c r="C114" s="93">
        <v>0.01</v>
      </c>
      <c r="D114" s="93">
        <v>121680.0</v>
      </c>
      <c r="E114" s="165">
        <v>10000.0</v>
      </c>
      <c r="F114" s="17">
        <v>15000.0</v>
      </c>
      <c r="G114" s="6">
        <f t="shared" si="4"/>
        <v>146680.01</v>
      </c>
    </row>
    <row r="115" spans="8:8">
      <c r="A115" s="3" t="s">
        <v>128</v>
      </c>
      <c r="B115" s="164" t="s">
        <v>65</v>
      </c>
      <c r="C115" s="93">
        <v>0.01</v>
      </c>
      <c r="D115" s="93">
        <v>165360.0</v>
      </c>
      <c r="E115" s="165">
        <v>10000.0</v>
      </c>
      <c r="F115" s="17">
        <v>15000.0</v>
      </c>
      <c r="G115" s="6">
        <f t="shared" si="4"/>
        <v>190360.01</v>
      </c>
    </row>
    <row r="116" spans="8:8">
      <c r="A116" s="3" t="s">
        <v>129</v>
      </c>
      <c r="B116" s="164" t="s">
        <v>65</v>
      </c>
      <c r="C116" s="93">
        <v>0.01</v>
      </c>
      <c r="D116" s="93">
        <v>175968.0</v>
      </c>
      <c r="E116" s="165">
        <v>10000.0</v>
      </c>
      <c r="F116" s="17">
        <v>15000.0</v>
      </c>
      <c r="G116" s="6">
        <f t="shared" si="4"/>
        <v>200968.01</v>
      </c>
    </row>
    <row r="117" spans="8:8">
      <c r="A117" s="3" t="s">
        <v>130</v>
      </c>
      <c r="B117" s="164" t="s">
        <v>65</v>
      </c>
      <c r="C117" s="93">
        <v>0.01</v>
      </c>
      <c r="D117" s="93">
        <v>194688.0</v>
      </c>
      <c r="E117" s="165">
        <v>10000.0</v>
      </c>
      <c r="F117" s="17">
        <v>15000.0</v>
      </c>
      <c r="G117" s="6">
        <f t="shared" si="4"/>
        <v>219688.01</v>
      </c>
    </row>
    <row r="118" spans="8:8">
      <c r="A118" s="3" t="s">
        <v>131</v>
      </c>
      <c r="B118" s="164" t="s">
        <v>65</v>
      </c>
      <c r="C118" s="93">
        <v>0.01</v>
      </c>
      <c r="D118" s="93">
        <v>214656.0</v>
      </c>
      <c r="E118" s="165">
        <v>10000.0</v>
      </c>
      <c r="F118" s="17">
        <v>15000.0</v>
      </c>
      <c r="G118" s="6">
        <f t="shared" si="4"/>
        <v>239656.01</v>
      </c>
    </row>
    <row r="119" spans="8:8">
      <c r="A119" s="3" t="s">
        <v>132</v>
      </c>
      <c r="B119" s="164" t="s">
        <v>65</v>
      </c>
      <c r="C119" s="93">
        <v>0.01</v>
      </c>
      <c r="D119" s="93">
        <v>243360.0</v>
      </c>
      <c r="E119" s="165">
        <v>10000.0</v>
      </c>
      <c r="F119" s="17">
        <v>15000.0</v>
      </c>
      <c r="G119" s="6">
        <f t="shared" si="4"/>
        <v>268360.01</v>
      </c>
    </row>
    <row r="120" spans="8:8">
      <c r="A120" s="3" t="s">
        <v>133</v>
      </c>
      <c r="B120" s="164" t="s">
        <v>65</v>
      </c>
      <c r="C120" s="93">
        <v>0.01</v>
      </c>
      <c r="D120" s="93">
        <v>82680.0</v>
      </c>
      <c r="E120" s="165">
        <v>10000.0</v>
      </c>
      <c r="F120" s="17">
        <v>15000.0</v>
      </c>
      <c r="G120" s="6">
        <f t="shared" si="4"/>
        <v>107680.01</v>
      </c>
    </row>
    <row r="121" spans="8:8">
      <c r="A121" s="3" t="s">
        <v>134</v>
      </c>
      <c r="B121" s="164" t="s">
        <v>65</v>
      </c>
      <c r="C121" s="93">
        <v>0.01</v>
      </c>
      <c r="D121" s="93">
        <v>87984.0</v>
      </c>
      <c r="E121" s="165">
        <v>10000.0</v>
      </c>
      <c r="F121" s="17">
        <v>15000.0</v>
      </c>
      <c r="G121" s="6">
        <f t="shared" si="4"/>
        <v>112984.01</v>
      </c>
    </row>
    <row r="122" spans="8:8">
      <c r="A122" s="3" t="s">
        <v>135</v>
      </c>
      <c r="B122" s="164" t="s">
        <v>65</v>
      </c>
      <c r="C122" s="93">
        <v>0.01</v>
      </c>
      <c r="D122" s="93">
        <v>97344.0</v>
      </c>
      <c r="E122" s="165">
        <v>10000.0</v>
      </c>
      <c r="F122" s="17">
        <v>15000.0</v>
      </c>
      <c r="G122" s="6">
        <f t="shared" si="4"/>
        <v>122344.01</v>
      </c>
    </row>
    <row r="123" spans="8:8">
      <c r="A123" s="3" t="s">
        <v>136</v>
      </c>
      <c r="B123" s="164" t="s">
        <v>65</v>
      </c>
      <c r="C123" s="93">
        <v>0.01</v>
      </c>
      <c r="D123" s="93">
        <v>82680.0</v>
      </c>
      <c r="E123" s="165">
        <v>10000.0</v>
      </c>
      <c r="F123" s="17">
        <v>15000.0</v>
      </c>
      <c r="G123" s="6">
        <f t="shared" si="4"/>
        <v>107680.01</v>
      </c>
    </row>
    <row r="124" spans="8:8">
      <c r="A124" s="3" t="s">
        <v>137</v>
      </c>
      <c r="B124" s="164" t="s">
        <v>65</v>
      </c>
      <c r="C124" s="93">
        <v>0.01</v>
      </c>
      <c r="D124" s="93">
        <v>87984.0</v>
      </c>
      <c r="E124" s="165">
        <v>10000.0</v>
      </c>
      <c r="F124" s="17">
        <v>15000.0</v>
      </c>
      <c r="G124" s="6">
        <f t="shared" si="4"/>
        <v>112984.01</v>
      </c>
    </row>
    <row r="125" spans="8:8">
      <c r="A125" s="3" t="s">
        <v>138</v>
      </c>
      <c r="B125" s="164" t="s">
        <v>65</v>
      </c>
      <c r="C125" s="93">
        <v>0.01</v>
      </c>
      <c r="D125" s="93">
        <v>165360.0</v>
      </c>
      <c r="E125" s="165">
        <v>10000.0</v>
      </c>
      <c r="F125" s="17">
        <v>15000.0</v>
      </c>
      <c r="G125" s="6">
        <f t="shared" si="4"/>
        <v>190360.01</v>
      </c>
    </row>
    <row r="126" spans="8:8">
      <c r="A126" s="3" t="s">
        <v>139</v>
      </c>
      <c r="B126" s="164" t="s">
        <v>65</v>
      </c>
      <c r="C126" s="93">
        <v>0.01</v>
      </c>
      <c r="D126" s="93">
        <v>175968.0</v>
      </c>
      <c r="E126" s="165">
        <v>10000.0</v>
      </c>
      <c r="F126" s="17">
        <v>15000.0</v>
      </c>
      <c r="G126" s="6">
        <f t="shared" si="4"/>
        <v>200968.01</v>
      </c>
    </row>
    <row r="127" spans="8:8">
      <c r="A127" s="3" t="s">
        <v>140</v>
      </c>
      <c r="B127" s="164" t="s">
        <v>65</v>
      </c>
      <c r="C127" s="93">
        <v>0.01</v>
      </c>
      <c r="D127" s="93">
        <v>82680.0</v>
      </c>
      <c r="E127" s="165">
        <v>10000.0</v>
      </c>
      <c r="F127" s="17">
        <v>15000.0</v>
      </c>
      <c r="G127" s="6">
        <f t="shared" si="4"/>
        <v>107680.01</v>
      </c>
    </row>
    <row r="128" spans="8:8">
      <c r="A128" s="3" t="s">
        <v>141</v>
      </c>
      <c r="B128" s="164" t="s">
        <v>65</v>
      </c>
      <c r="C128" s="93">
        <v>0.01</v>
      </c>
      <c r="D128" s="93">
        <v>87984.0</v>
      </c>
      <c r="E128" s="165">
        <v>10000.0</v>
      </c>
      <c r="F128" s="17">
        <v>15000.0</v>
      </c>
      <c r="G128" s="6">
        <f t="shared" si="4"/>
        <v>112984.01</v>
      </c>
    </row>
    <row r="129" spans="8:8">
      <c r="A129" s="3" t="s">
        <v>142</v>
      </c>
      <c r="B129" s="164" t="s">
        <v>65</v>
      </c>
      <c r="C129" s="93">
        <v>0.01</v>
      </c>
      <c r="D129" s="93">
        <v>97344.0</v>
      </c>
      <c r="E129" s="165">
        <v>10000.0</v>
      </c>
      <c r="F129" s="17">
        <v>15000.0</v>
      </c>
      <c r="G129" s="6">
        <f t="shared" si="4"/>
        <v>122344.01</v>
      </c>
    </row>
    <row r="130" spans="8:8">
      <c r="A130" s="3" t="s">
        <v>143</v>
      </c>
      <c r="B130" s="164" t="s">
        <v>65</v>
      </c>
      <c r="C130" s="93">
        <v>0.01</v>
      </c>
      <c r="D130" s="93">
        <v>165360.0</v>
      </c>
      <c r="E130" s="165">
        <v>10000.0</v>
      </c>
      <c r="F130" s="17">
        <v>15000.0</v>
      </c>
      <c r="G130" s="6">
        <f t="shared" si="5" ref="G130:G185">SUM(C130:F130)</f>
        <v>190360.01</v>
      </c>
    </row>
    <row r="131" spans="8:8">
      <c r="A131" s="3" t="s">
        <v>144</v>
      </c>
      <c r="B131" s="164" t="s">
        <v>65</v>
      </c>
      <c r="C131" s="93">
        <v>0.01</v>
      </c>
      <c r="D131" s="93">
        <v>175968.0</v>
      </c>
      <c r="E131" s="165">
        <v>10000.0</v>
      </c>
      <c r="F131" s="17">
        <v>15000.0</v>
      </c>
      <c r="G131" s="6">
        <f t="shared" si="5"/>
        <v>200968.01</v>
      </c>
    </row>
    <row r="132" spans="8:8">
      <c r="A132" s="3" t="s">
        <v>145</v>
      </c>
      <c r="B132" s="164" t="s">
        <v>65</v>
      </c>
      <c r="C132" s="93">
        <v>0.01</v>
      </c>
      <c r="D132" s="93">
        <v>194688.0</v>
      </c>
      <c r="E132" s="165">
        <v>10000.0</v>
      </c>
      <c r="F132" s="17">
        <v>15000.0</v>
      </c>
      <c r="G132" s="6">
        <f t="shared" si="5"/>
        <v>219688.01</v>
      </c>
    </row>
    <row r="133" spans="8:8">
      <c r="A133" s="3" t="s">
        <v>146</v>
      </c>
      <c r="B133" s="164" t="s">
        <v>65</v>
      </c>
      <c r="C133" s="93">
        <v>0.01</v>
      </c>
      <c r="D133" s="93">
        <v>82680.0</v>
      </c>
      <c r="E133" s="165">
        <v>10000.0</v>
      </c>
      <c r="F133" s="17">
        <v>15000.0</v>
      </c>
      <c r="G133" s="6">
        <f t="shared" si="5"/>
        <v>107680.01</v>
      </c>
    </row>
    <row r="134" spans="8:8">
      <c r="A134" s="3" t="s">
        <v>147</v>
      </c>
      <c r="B134" s="164" t="s">
        <v>65</v>
      </c>
      <c r="C134" s="93">
        <v>0.01</v>
      </c>
      <c r="D134" s="93">
        <v>87984.0</v>
      </c>
      <c r="E134" s="165">
        <v>10000.0</v>
      </c>
      <c r="F134" s="17">
        <v>15000.0</v>
      </c>
      <c r="G134" s="6">
        <f t="shared" si="5"/>
        <v>112984.01</v>
      </c>
    </row>
    <row r="135" spans="8:8">
      <c r="A135" s="3" t="s">
        <v>148</v>
      </c>
      <c r="B135" s="164" t="s">
        <v>65</v>
      </c>
      <c r="C135" s="93">
        <v>0.01</v>
      </c>
      <c r="D135" s="93">
        <v>97344.0</v>
      </c>
      <c r="E135" s="165">
        <v>10000.0</v>
      </c>
      <c r="F135" s="17">
        <v>15000.0</v>
      </c>
      <c r="G135" s="6">
        <f t="shared" si="5"/>
        <v>122344.01</v>
      </c>
    </row>
    <row r="136" spans="8:8">
      <c r="A136" s="3" t="s">
        <v>149</v>
      </c>
      <c r="B136" s="164" t="s">
        <v>65</v>
      </c>
      <c r="C136" s="93">
        <v>0.01</v>
      </c>
      <c r="D136" s="93">
        <v>87984.0</v>
      </c>
      <c r="E136" s="165">
        <v>10000.0</v>
      </c>
      <c r="F136" s="17">
        <v>15000.0</v>
      </c>
      <c r="G136" s="6">
        <f t="shared" si="5"/>
        <v>112984.01</v>
      </c>
    </row>
    <row r="137" spans="8:8">
      <c r="A137" s="3" t="s">
        <v>150</v>
      </c>
      <c r="B137" s="164" t="s">
        <v>65</v>
      </c>
      <c r="C137" s="93">
        <v>0.01</v>
      </c>
      <c r="D137" s="93">
        <v>97344.0</v>
      </c>
      <c r="E137" s="165">
        <v>10000.0</v>
      </c>
      <c r="F137" s="17">
        <v>15000.0</v>
      </c>
      <c r="G137" s="6">
        <f t="shared" si="5"/>
        <v>122344.01</v>
      </c>
    </row>
    <row r="138" spans="8:8">
      <c r="A138" s="3" t="s">
        <v>151</v>
      </c>
      <c r="B138" s="164" t="s">
        <v>65</v>
      </c>
      <c r="C138" s="93">
        <v>0.01</v>
      </c>
      <c r="D138" s="93">
        <v>130728.0</v>
      </c>
      <c r="E138" s="165">
        <v>10000.0</v>
      </c>
      <c r="F138" s="17">
        <v>15000.0</v>
      </c>
      <c r="G138" s="6">
        <f t="shared" si="5"/>
        <v>155728.01</v>
      </c>
    </row>
    <row r="139" spans="8:8">
      <c r="A139" s="3" t="s">
        <v>152</v>
      </c>
      <c r="B139" s="164" t="s">
        <v>65</v>
      </c>
      <c r="C139" s="93">
        <v>0.01</v>
      </c>
      <c r="D139" s="93">
        <v>175968.0</v>
      </c>
      <c r="E139" s="165">
        <v>10000.0</v>
      </c>
      <c r="F139" s="17">
        <v>15000.0</v>
      </c>
      <c r="G139" s="6">
        <f t="shared" si="5"/>
        <v>200968.01</v>
      </c>
    </row>
    <row r="140" spans="8:8">
      <c r="A140" s="3" t="s">
        <v>153</v>
      </c>
      <c r="B140" s="164" t="s">
        <v>65</v>
      </c>
      <c r="C140" s="93">
        <v>0.01</v>
      </c>
      <c r="D140" s="93">
        <v>194688.0</v>
      </c>
      <c r="E140" s="165">
        <v>10000.0</v>
      </c>
      <c r="F140" s="17">
        <v>15000.0</v>
      </c>
      <c r="G140" s="6">
        <f t="shared" si="5"/>
        <v>219688.01</v>
      </c>
    </row>
    <row r="141" spans="8:8">
      <c r="A141" s="3" t="s">
        <v>154</v>
      </c>
      <c r="B141" s="164" t="s">
        <v>65</v>
      </c>
      <c r="C141" s="93">
        <v>0.01</v>
      </c>
      <c r="D141" s="93">
        <v>405600.0</v>
      </c>
      <c r="E141" s="165">
        <v>10000.0</v>
      </c>
      <c r="F141" s="17">
        <v>15000.0</v>
      </c>
      <c r="G141" s="6">
        <f t="shared" si="5"/>
        <v>430600.01</v>
      </c>
    </row>
    <row r="142" spans="8:8">
      <c r="A142" s="3" t="s">
        <v>155</v>
      </c>
      <c r="B142" s="164" t="s">
        <v>65</v>
      </c>
      <c r="C142" s="93">
        <v>0.01</v>
      </c>
      <c r="D142" s="93">
        <v>78000.0</v>
      </c>
      <c r="E142" s="165">
        <v>10000.0</v>
      </c>
      <c r="F142" s="17">
        <v>15000.0</v>
      </c>
      <c r="G142" s="6">
        <f t="shared" si="5"/>
        <v>103000.01</v>
      </c>
    </row>
    <row r="143" spans="8:8">
      <c r="A143" s="3" t="s">
        <v>156</v>
      </c>
      <c r="B143" s="164" t="s">
        <v>65</v>
      </c>
      <c r="C143" s="93">
        <v>0.01</v>
      </c>
      <c r="D143" s="93">
        <v>82680.0</v>
      </c>
      <c r="E143" s="165">
        <v>10000.0</v>
      </c>
      <c r="F143" s="17">
        <v>15000.0</v>
      </c>
      <c r="G143" s="6">
        <f t="shared" si="5"/>
        <v>107680.01</v>
      </c>
    </row>
    <row r="144" spans="8:8">
      <c r="A144" s="3" t="s">
        <v>157</v>
      </c>
      <c r="B144" s="164" t="s">
        <v>65</v>
      </c>
      <c r="C144" s="93">
        <v>0.01</v>
      </c>
      <c r="D144" s="93">
        <v>87984.0</v>
      </c>
      <c r="E144" s="165">
        <v>10000.0</v>
      </c>
      <c r="F144" s="17">
        <v>15000.0</v>
      </c>
      <c r="G144" s="6">
        <f t="shared" si="5"/>
        <v>112984.01</v>
      </c>
    </row>
    <row r="145" spans="8:8">
      <c r="A145" s="3" t="s">
        <v>158</v>
      </c>
      <c r="B145" s="164" t="s">
        <v>65</v>
      </c>
      <c r="C145" s="93">
        <v>0.01</v>
      </c>
      <c r="D145" s="93">
        <v>82680.0</v>
      </c>
      <c r="E145" s="165">
        <v>10000.0</v>
      </c>
      <c r="F145" s="17">
        <v>15000.0</v>
      </c>
      <c r="G145" s="6">
        <f t="shared" si="5"/>
        <v>107680.01</v>
      </c>
    </row>
    <row r="146" spans="8:8">
      <c r="A146" s="3" t="s">
        <v>159</v>
      </c>
      <c r="B146" s="164" t="s">
        <v>65</v>
      </c>
      <c r="C146" s="93">
        <v>0.01</v>
      </c>
      <c r="D146" s="93">
        <v>87984.0</v>
      </c>
      <c r="E146" s="165">
        <v>10000.0</v>
      </c>
      <c r="F146" s="17">
        <v>15000.0</v>
      </c>
      <c r="G146" s="6">
        <f t="shared" si="5"/>
        <v>112984.01</v>
      </c>
    </row>
    <row r="147" spans="8:8">
      <c r="A147" s="3" t="s">
        <v>160</v>
      </c>
      <c r="B147" s="164" t="s">
        <v>65</v>
      </c>
      <c r="C147" s="93">
        <v>0.01</v>
      </c>
      <c r="D147" s="93">
        <v>97344.0</v>
      </c>
      <c r="E147" s="165">
        <v>10000.0</v>
      </c>
      <c r="F147" s="17">
        <v>15000.0</v>
      </c>
      <c r="G147" s="6">
        <f t="shared" si="5"/>
        <v>122344.01</v>
      </c>
    </row>
    <row r="148" spans="8:8">
      <c r="A148" s="3" t="s">
        <v>161</v>
      </c>
      <c r="B148" s="164" t="s">
        <v>65</v>
      </c>
      <c r="C148" s="93">
        <v>0.01</v>
      </c>
      <c r="D148" s="93">
        <v>87984.0</v>
      </c>
      <c r="E148" s="165">
        <v>10000.0</v>
      </c>
      <c r="F148" s="17">
        <v>15000.0</v>
      </c>
      <c r="G148" s="6">
        <f t="shared" si="5"/>
        <v>112984.01</v>
      </c>
    </row>
    <row r="149" spans="8:8">
      <c r="A149" s="3" t="s">
        <v>162</v>
      </c>
      <c r="B149" s="164" t="s">
        <v>65</v>
      </c>
      <c r="C149" s="93">
        <v>0.01</v>
      </c>
      <c r="D149" s="93">
        <v>97344.0</v>
      </c>
      <c r="E149" s="165">
        <v>10000.0</v>
      </c>
      <c r="F149" s="17">
        <v>15000.0</v>
      </c>
      <c r="G149" s="6">
        <f t="shared" si="5"/>
        <v>122344.01</v>
      </c>
    </row>
    <row r="150" spans="8:8">
      <c r="A150" s="3" t="s">
        <v>163</v>
      </c>
      <c r="B150" s="164" t="s">
        <v>65</v>
      </c>
      <c r="C150" s="93">
        <v>0.01</v>
      </c>
      <c r="D150" s="93">
        <v>175968.0</v>
      </c>
      <c r="E150" s="165">
        <v>10000.0</v>
      </c>
      <c r="F150" s="17">
        <v>15000.0</v>
      </c>
      <c r="G150" s="6">
        <f t="shared" si="5"/>
        <v>200968.01</v>
      </c>
    </row>
    <row r="151" spans="8:8">
      <c r="A151" s="3" t="s">
        <v>164</v>
      </c>
      <c r="B151" s="164" t="s">
        <v>65</v>
      </c>
      <c r="C151" s="93">
        <v>0.01</v>
      </c>
      <c r="D151" s="93">
        <v>194688.0</v>
      </c>
      <c r="E151" s="165">
        <v>10000.0</v>
      </c>
      <c r="F151" s="17">
        <v>15000.0</v>
      </c>
      <c r="G151" s="6">
        <f t="shared" si="5"/>
        <v>219688.01</v>
      </c>
    </row>
    <row r="152" spans="8:8">
      <c r="A152" s="3" t="s">
        <v>165</v>
      </c>
      <c r="B152" s="164" t="s">
        <v>65</v>
      </c>
      <c r="C152" s="93">
        <v>0.01</v>
      </c>
      <c r="D152" s="93">
        <v>76128.0</v>
      </c>
      <c r="E152" s="165">
        <v>10000.0</v>
      </c>
      <c r="F152" s="17">
        <v>15000.0</v>
      </c>
      <c r="G152" s="6">
        <f t="shared" si="5"/>
        <v>101128.01</v>
      </c>
    </row>
    <row r="153" spans="8:8">
      <c r="A153" s="3" t="s">
        <v>166</v>
      </c>
      <c r="B153" s="164" t="s">
        <v>65</v>
      </c>
      <c r="C153" s="93">
        <v>0.01</v>
      </c>
      <c r="D153" s="93">
        <v>85488.0</v>
      </c>
      <c r="E153" s="165">
        <v>10000.0</v>
      </c>
      <c r="F153" s="17">
        <v>15000.0</v>
      </c>
      <c r="G153" s="6">
        <f t="shared" si="5"/>
        <v>110488.01</v>
      </c>
    </row>
    <row r="154" spans="8:8">
      <c r="A154" s="3" t="s">
        <v>167</v>
      </c>
      <c r="B154" s="164" t="s">
        <v>65</v>
      </c>
      <c r="C154" s="93">
        <v>0.01</v>
      </c>
      <c r="D154" s="93">
        <v>82680.0</v>
      </c>
      <c r="E154" s="165">
        <v>10000.0</v>
      </c>
      <c r="F154" s="17">
        <v>15000.0</v>
      </c>
      <c r="G154" s="6">
        <f t="shared" si="5"/>
        <v>107680.01</v>
      </c>
    </row>
    <row r="155" spans="8:8">
      <c r="A155" s="3" t="s">
        <v>168</v>
      </c>
      <c r="B155" s="164" t="s">
        <v>65</v>
      </c>
      <c r="C155" s="93">
        <v>0.01</v>
      </c>
      <c r="D155" s="93">
        <v>87984.0</v>
      </c>
      <c r="E155" s="165">
        <v>10000.0</v>
      </c>
      <c r="F155" s="17">
        <v>15000.0</v>
      </c>
      <c r="G155" s="6">
        <f t="shared" si="5"/>
        <v>112984.01</v>
      </c>
    </row>
    <row r="156" spans="8:8">
      <c r="A156" s="3" t="s">
        <v>169</v>
      </c>
      <c r="B156" s="164" t="s">
        <v>65</v>
      </c>
      <c r="C156" s="93">
        <v>0.01</v>
      </c>
      <c r="D156" s="93">
        <v>165360.0</v>
      </c>
      <c r="E156" s="165">
        <v>10000.0</v>
      </c>
      <c r="F156" s="17">
        <v>15000.0</v>
      </c>
      <c r="G156" s="6">
        <f t="shared" si="5"/>
        <v>190360.01</v>
      </c>
    </row>
    <row r="157" spans="8:8">
      <c r="A157" s="3" t="s">
        <v>170</v>
      </c>
      <c r="B157" s="164" t="s">
        <v>65</v>
      </c>
      <c r="C157" s="93">
        <v>0.01</v>
      </c>
      <c r="D157" s="93">
        <v>175968.0</v>
      </c>
      <c r="E157" s="165">
        <v>10000.0</v>
      </c>
      <c r="F157" s="17">
        <v>15000.0</v>
      </c>
      <c r="G157" s="6">
        <f t="shared" si="5"/>
        <v>200968.01</v>
      </c>
    </row>
    <row r="158" spans="8:8">
      <c r="A158" s="3" t="s">
        <v>171</v>
      </c>
      <c r="B158" s="164" t="s">
        <v>65</v>
      </c>
      <c r="C158" s="93">
        <v>0.01</v>
      </c>
      <c r="D158" s="93">
        <v>82680.0</v>
      </c>
      <c r="E158" s="165">
        <v>10000.0</v>
      </c>
      <c r="F158" s="17">
        <v>15000.0</v>
      </c>
      <c r="G158" s="6">
        <f t="shared" si="5"/>
        <v>107680.01</v>
      </c>
    </row>
    <row r="159" spans="8:8">
      <c r="A159" s="3" t="s">
        <v>172</v>
      </c>
      <c r="B159" s="164" t="s">
        <v>65</v>
      </c>
      <c r="C159" s="93">
        <v>0.01</v>
      </c>
      <c r="D159" s="93">
        <v>87984.0</v>
      </c>
      <c r="E159" s="165">
        <v>10000.0</v>
      </c>
      <c r="F159" s="17">
        <v>15000.0</v>
      </c>
      <c r="G159" s="6">
        <f t="shared" si="5"/>
        <v>112984.01</v>
      </c>
    </row>
    <row r="160" spans="8:8">
      <c r="A160" s="3" t="s">
        <v>173</v>
      </c>
      <c r="B160" s="164" t="s">
        <v>65</v>
      </c>
      <c r="C160" s="93">
        <v>0.01</v>
      </c>
      <c r="D160" s="93">
        <v>97344.0</v>
      </c>
      <c r="E160" s="165">
        <v>10000.0</v>
      </c>
      <c r="F160" s="17">
        <v>15000.0</v>
      </c>
      <c r="G160" s="6">
        <f t="shared" si="5"/>
        <v>122344.01</v>
      </c>
    </row>
    <row r="161" spans="8:8">
      <c r="A161" s="3" t="s">
        <v>174</v>
      </c>
      <c r="B161" s="164" t="s">
        <v>65</v>
      </c>
      <c r="C161" s="93">
        <v>0.01</v>
      </c>
      <c r="D161" s="93">
        <v>165360.0</v>
      </c>
      <c r="E161" s="165">
        <v>10000.0</v>
      </c>
      <c r="F161" s="17">
        <v>15000.0</v>
      </c>
      <c r="G161" s="6">
        <f t="shared" si="5"/>
        <v>190360.01</v>
      </c>
    </row>
    <row r="162" spans="8:8">
      <c r="A162" s="3" t="s">
        <v>175</v>
      </c>
      <c r="B162" s="164" t="s">
        <v>65</v>
      </c>
      <c r="C162" s="93">
        <v>0.01</v>
      </c>
      <c r="D162" s="93">
        <v>175968.0</v>
      </c>
      <c r="E162" s="165">
        <v>10000.0</v>
      </c>
      <c r="F162" s="17">
        <v>15000.0</v>
      </c>
      <c r="G162" s="6">
        <f t="shared" si="5"/>
        <v>200968.01</v>
      </c>
    </row>
    <row r="163" spans="8:8">
      <c r="A163" s="3" t="s">
        <v>176</v>
      </c>
      <c r="B163" s="164" t="s">
        <v>65</v>
      </c>
      <c r="C163" s="93">
        <v>0.01</v>
      </c>
      <c r="D163" s="93">
        <v>194688.0</v>
      </c>
      <c r="E163" s="165">
        <v>10000.0</v>
      </c>
      <c r="F163" s="17">
        <v>15000.0</v>
      </c>
      <c r="G163" s="6">
        <f t="shared" si="5"/>
        <v>219688.01</v>
      </c>
    </row>
    <row r="164" spans="8:8">
      <c r="A164" s="3" t="s">
        <v>177</v>
      </c>
      <c r="B164" s="164" t="s">
        <v>65</v>
      </c>
      <c r="C164" s="93">
        <v>0.01</v>
      </c>
      <c r="D164" s="93">
        <v>77064.0</v>
      </c>
      <c r="E164" s="165">
        <v>10000.0</v>
      </c>
      <c r="F164" s="17">
        <v>15000.0</v>
      </c>
      <c r="G164" s="6">
        <f t="shared" si="5"/>
        <v>102064.01</v>
      </c>
    </row>
    <row r="165" spans="8:8">
      <c r="A165" s="3" t="s">
        <v>178</v>
      </c>
      <c r="B165" s="164" t="s">
        <v>65</v>
      </c>
      <c r="C165" s="93">
        <v>0.01</v>
      </c>
      <c r="D165" s="93">
        <v>97344.0</v>
      </c>
      <c r="E165" s="165">
        <v>10000.0</v>
      </c>
      <c r="F165" s="17">
        <v>15000.0</v>
      </c>
      <c r="G165" s="6">
        <f t="shared" si="5"/>
        <v>122344.01</v>
      </c>
    </row>
    <row r="166" spans="8:8">
      <c r="A166" s="3" t="s">
        <v>179</v>
      </c>
      <c r="B166" s="164" t="s">
        <v>65</v>
      </c>
      <c r="C166" s="93">
        <v>56160.0</v>
      </c>
      <c r="D166" s="93">
        <v>1462344.0</v>
      </c>
      <c r="E166" s="165">
        <v>10000.0</v>
      </c>
      <c r="F166" s="17">
        <v>15000.0</v>
      </c>
      <c r="G166" s="6">
        <f t="shared" si="5"/>
        <v>1543504.0</v>
      </c>
    </row>
    <row r="167" spans="8:8">
      <c r="A167" s="3" t="s">
        <v>180</v>
      </c>
      <c r="B167" s="164" t="s">
        <v>65</v>
      </c>
      <c r="C167" s="93">
        <v>0.01</v>
      </c>
      <c r="D167" s="93">
        <v>187512.0</v>
      </c>
      <c r="E167" s="165">
        <v>10000.0</v>
      </c>
      <c r="F167" s="17">
        <v>15000.0</v>
      </c>
      <c r="G167" s="6">
        <f t="shared" si="5"/>
        <v>212512.01</v>
      </c>
    </row>
    <row r="168" spans="8:8">
      <c r="A168" s="3" t="s">
        <v>181</v>
      </c>
      <c r="B168" s="164" t="s">
        <v>65</v>
      </c>
      <c r="C168" s="93">
        <v>0.01</v>
      </c>
      <c r="D168" s="93">
        <v>87984.0</v>
      </c>
      <c r="E168" s="165">
        <v>10000.0</v>
      </c>
      <c r="F168" s="17">
        <v>15000.0</v>
      </c>
      <c r="G168" s="6">
        <f t="shared" si="5"/>
        <v>112984.01</v>
      </c>
    </row>
    <row r="169" spans="8:8">
      <c r="A169" s="3" t="s">
        <v>182</v>
      </c>
      <c r="B169" s="164" t="s">
        <v>65</v>
      </c>
      <c r="C169" s="93">
        <v>0.01</v>
      </c>
      <c r="D169" s="93">
        <v>175968.0</v>
      </c>
      <c r="E169" s="165">
        <v>10000.0</v>
      </c>
      <c r="F169" s="17">
        <v>15000.0</v>
      </c>
      <c r="G169" s="6">
        <f t="shared" si="5"/>
        <v>200968.01</v>
      </c>
    </row>
    <row r="170" spans="8:8">
      <c r="A170" s="3" t="s">
        <v>183</v>
      </c>
      <c r="B170" s="164" t="s">
        <v>65</v>
      </c>
      <c r="C170" s="93">
        <v>0.01</v>
      </c>
      <c r="D170" s="93">
        <v>82680.0</v>
      </c>
      <c r="E170" s="165">
        <v>10000.0</v>
      </c>
      <c r="F170" s="17">
        <v>15000.0</v>
      </c>
      <c r="G170" s="6">
        <f t="shared" si="5"/>
        <v>107680.01</v>
      </c>
    </row>
    <row r="171" spans="8:8">
      <c r="A171" s="3" t="s">
        <v>184</v>
      </c>
      <c r="B171" s="164" t="s">
        <v>65</v>
      </c>
      <c r="C171" s="93">
        <v>0.01</v>
      </c>
      <c r="D171" s="93">
        <v>87984.0</v>
      </c>
      <c r="E171" s="165">
        <v>10000.0</v>
      </c>
      <c r="F171" s="17">
        <v>15000.0</v>
      </c>
      <c r="G171" s="6">
        <f t="shared" si="5"/>
        <v>112984.01</v>
      </c>
    </row>
    <row r="172" spans="8:8">
      <c r="A172" s="3" t="s">
        <v>185</v>
      </c>
      <c r="B172" s="164" t="s">
        <v>65</v>
      </c>
      <c r="C172" s="93">
        <v>0.01</v>
      </c>
      <c r="D172" s="93">
        <v>97344.0</v>
      </c>
      <c r="E172" s="165">
        <v>10000.0</v>
      </c>
      <c r="F172" s="17">
        <v>15000.0</v>
      </c>
      <c r="G172" s="6">
        <f t="shared" si="5"/>
        <v>122344.01</v>
      </c>
    </row>
    <row r="173" spans="8:8">
      <c r="A173" s="3" t="s">
        <v>186</v>
      </c>
      <c r="B173" s="164" t="s">
        <v>65</v>
      </c>
      <c r="C173" s="93">
        <v>0.01</v>
      </c>
      <c r="D173" s="93">
        <v>165360.0</v>
      </c>
      <c r="E173" s="165">
        <v>10000.0</v>
      </c>
      <c r="F173" s="17">
        <v>15000.0</v>
      </c>
      <c r="G173" s="6">
        <f t="shared" si="5"/>
        <v>190360.01</v>
      </c>
    </row>
    <row r="174" spans="8:8">
      <c r="A174" s="3" t="s">
        <v>187</v>
      </c>
      <c r="B174" s="164" t="s">
        <v>65</v>
      </c>
      <c r="C174" s="93">
        <v>0.01</v>
      </c>
      <c r="D174" s="93">
        <v>175968.0</v>
      </c>
      <c r="E174" s="165">
        <v>10000.0</v>
      </c>
      <c r="F174" s="17">
        <v>15000.0</v>
      </c>
      <c r="G174" s="6">
        <f t="shared" si="5"/>
        <v>200968.01</v>
      </c>
    </row>
    <row r="175" spans="8:8">
      <c r="A175" s="15" t="s">
        <v>188</v>
      </c>
      <c r="B175" s="164" t="s">
        <v>65</v>
      </c>
      <c r="C175" s="93">
        <v>0.01</v>
      </c>
      <c r="D175" s="93">
        <v>194688.0</v>
      </c>
      <c r="E175" s="165">
        <v>10000.0</v>
      </c>
      <c r="F175" s="17">
        <v>15000.0</v>
      </c>
      <c r="G175" s="6">
        <f t="shared" si="5"/>
        <v>219688.01</v>
      </c>
    </row>
    <row r="176" spans="8:8">
      <c r="A176" s="3" t="s">
        <v>189</v>
      </c>
      <c r="B176" s="164" t="s">
        <v>65</v>
      </c>
      <c r="C176" s="93">
        <v>0.01</v>
      </c>
      <c r="D176" s="93">
        <v>82680.0</v>
      </c>
      <c r="E176" s="165">
        <v>10000.0</v>
      </c>
      <c r="F176" s="17">
        <v>15000.0</v>
      </c>
      <c r="G176" s="6">
        <f t="shared" si="5"/>
        <v>107680.01</v>
      </c>
    </row>
    <row r="177" spans="8:8">
      <c r="A177" s="3" t="s">
        <v>190</v>
      </c>
      <c r="B177" s="164" t="s">
        <v>65</v>
      </c>
      <c r="C177" s="93">
        <v>0.01</v>
      </c>
      <c r="D177" s="93">
        <v>87984.0</v>
      </c>
      <c r="E177" s="165">
        <v>10000.0</v>
      </c>
      <c r="F177" s="17">
        <v>15000.0</v>
      </c>
      <c r="G177" s="6">
        <f t="shared" si="5"/>
        <v>112984.01</v>
      </c>
    </row>
    <row r="178" spans="8:8">
      <c r="A178" s="3" t="s">
        <v>191</v>
      </c>
      <c r="B178" s="171" t="s">
        <v>65</v>
      </c>
      <c r="C178" s="93">
        <v>0.01</v>
      </c>
      <c r="D178" s="93">
        <v>82680.0</v>
      </c>
      <c r="E178" s="165">
        <v>10000.0</v>
      </c>
      <c r="F178" s="17">
        <v>15000.0</v>
      </c>
      <c r="G178" s="6">
        <f t="shared" si="5"/>
        <v>107680.01</v>
      </c>
    </row>
    <row r="179" spans="8:8" s="49" ht="15.0" customFormat="1">
      <c r="A179" s="3" t="s">
        <v>192</v>
      </c>
      <c r="B179" s="164" t="s">
        <v>65</v>
      </c>
      <c r="C179" s="93">
        <v>0.01</v>
      </c>
      <c r="D179" s="93">
        <v>87984.0</v>
      </c>
      <c r="E179" s="165">
        <v>10000.0</v>
      </c>
      <c r="F179" s="17">
        <v>15000.0</v>
      </c>
      <c r="G179" s="17">
        <f t="shared" si="5"/>
        <v>112984.01</v>
      </c>
    </row>
    <row r="180" spans="8:8">
      <c r="A180" s="3" t="s">
        <v>193</v>
      </c>
      <c r="B180" s="164" t="s">
        <v>65</v>
      </c>
      <c r="C180" s="93">
        <v>0.01</v>
      </c>
      <c r="D180" s="93">
        <v>97344.0</v>
      </c>
      <c r="E180" s="165">
        <v>10000.0</v>
      </c>
      <c r="F180" s="17">
        <v>15000.0</v>
      </c>
      <c r="G180" s="6">
        <f t="shared" si="5"/>
        <v>122344.01</v>
      </c>
    </row>
    <row r="181" spans="8:8">
      <c r="A181" s="3" t="s">
        <v>194</v>
      </c>
      <c r="B181" s="164" t="s">
        <v>65</v>
      </c>
      <c r="C181" s="93">
        <v>0.01</v>
      </c>
      <c r="D181" s="93">
        <v>82680.0</v>
      </c>
      <c r="E181" s="165">
        <v>10000.0</v>
      </c>
      <c r="F181" s="17">
        <v>15000.0</v>
      </c>
      <c r="G181" s="6">
        <f t="shared" si="5"/>
        <v>107680.01</v>
      </c>
    </row>
    <row r="182" spans="8:8">
      <c r="A182" s="10" t="s">
        <v>197</v>
      </c>
      <c r="B182" s="164" t="s">
        <v>65</v>
      </c>
      <c r="C182" s="93">
        <v>0.01</v>
      </c>
      <c r="D182" s="93">
        <v>87984.0</v>
      </c>
      <c r="E182" s="165">
        <v>10000.0</v>
      </c>
      <c r="F182" s="17">
        <v>15000.0</v>
      </c>
      <c r="G182" s="6">
        <f t="shared" si="5"/>
        <v>112984.01</v>
      </c>
    </row>
    <row r="183" spans="8:8">
      <c r="A183" s="3" t="s">
        <v>198</v>
      </c>
      <c r="B183" s="164" t="s">
        <v>65</v>
      </c>
      <c r="C183" s="93">
        <v>0.01</v>
      </c>
      <c r="D183" s="93">
        <v>344136.0</v>
      </c>
      <c r="E183" s="165">
        <v>10000.0</v>
      </c>
      <c r="F183" s="17">
        <v>15000.0</v>
      </c>
      <c r="G183" s="6">
        <f t="shared" si="5"/>
        <v>369136.01</v>
      </c>
    </row>
    <row r="184" spans="8:8">
      <c r="A184" s="162" t="s">
        <v>328</v>
      </c>
      <c r="B184" s="164" t="s">
        <v>65</v>
      </c>
      <c r="C184" s="93">
        <v>0.01</v>
      </c>
      <c r="D184" s="93">
        <v>3426696.0</v>
      </c>
      <c r="E184" s="165">
        <v>10000.0</v>
      </c>
      <c r="F184" s="17">
        <v>15000.0</v>
      </c>
      <c r="G184" s="6">
        <f t="shared" si="5"/>
        <v>3451696.01</v>
      </c>
    </row>
    <row r="185" spans="8:8">
      <c r="A185" s="162" t="s">
        <v>329</v>
      </c>
      <c r="B185" s="166" t="s">
        <v>196</v>
      </c>
      <c r="C185" s="118">
        <v>0.01</v>
      </c>
      <c r="D185" s="118">
        <v>343512.0</v>
      </c>
      <c r="E185" s="167">
        <v>10000.0</v>
      </c>
      <c r="F185" s="168">
        <v>15000.0</v>
      </c>
      <c r="G185" s="13">
        <f t="shared" si="5"/>
        <v>368512.01</v>
      </c>
    </row>
    <row r="186" spans="8:8">
      <c r="A186" s="3" t="s">
        <v>201</v>
      </c>
      <c r="B186" s="164" t="s">
        <v>196</v>
      </c>
      <c r="C186" s="93">
        <v>0.01</v>
      </c>
      <c r="D186" s="93">
        <v>343512.0</v>
      </c>
      <c r="E186" s="165">
        <v>10000.0</v>
      </c>
      <c r="F186" s="17">
        <v>15000.0</v>
      </c>
      <c r="G186" s="13">
        <f>SUM(D186:F186)</f>
        <v>368512.0</v>
      </c>
    </row>
    <row r="187" spans="8:8">
      <c r="A187" s="3" t="s">
        <v>202</v>
      </c>
      <c r="B187" s="171" t="s">
        <v>196</v>
      </c>
      <c r="C187" s="93">
        <v>0.01</v>
      </c>
      <c r="D187" s="93">
        <v>343512.0</v>
      </c>
      <c r="E187" s="165">
        <v>10000.0</v>
      </c>
      <c r="F187" s="17">
        <v>15000.0</v>
      </c>
      <c r="G187" s="6">
        <f t="shared" si="6" ref="G187:G250">SUM(C187:F187)</f>
        <v>368512.01</v>
      </c>
    </row>
    <row r="188" spans="8:8">
      <c r="A188" s="3" t="s">
        <v>203</v>
      </c>
      <c r="B188" s="164" t="s">
        <v>196</v>
      </c>
      <c r="C188" s="93">
        <v>0.01</v>
      </c>
      <c r="D188" s="93">
        <v>343512.0</v>
      </c>
      <c r="E188" s="165">
        <v>10000.0</v>
      </c>
      <c r="F188" s="17">
        <v>15000.0</v>
      </c>
      <c r="G188" s="6">
        <f t="shared" si="6"/>
        <v>368512.01</v>
      </c>
    </row>
    <row r="189" spans="8:8">
      <c r="A189" s="3" t="s">
        <v>204</v>
      </c>
      <c r="B189" s="164" t="s">
        <v>196</v>
      </c>
      <c r="C189" s="93">
        <v>0.01</v>
      </c>
      <c r="D189" s="93">
        <v>343512.0</v>
      </c>
      <c r="E189" s="165">
        <v>10000.0</v>
      </c>
      <c r="F189" s="17">
        <v>15000.0</v>
      </c>
      <c r="G189" s="6">
        <f t="shared" si="6"/>
        <v>368512.01</v>
      </c>
    </row>
    <row r="190" spans="8:8">
      <c r="A190" s="3" t="s">
        <v>206</v>
      </c>
      <c r="B190" s="164" t="s">
        <v>196</v>
      </c>
      <c r="C190" s="93">
        <v>0.01</v>
      </c>
      <c r="D190" s="93">
        <v>343512.0</v>
      </c>
      <c r="E190" s="165">
        <v>10000.0</v>
      </c>
      <c r="F190" s="17">
        <v>15000.0</v>
      </c>
      <c r="G190" s="6">
        <f t="shared" si="6"/>
        <v>368512.01</v>
      </c>
    </row>
    <row r="191" spans="8:8">
      <c r="A191" s="3" t="s">
        <v>207</v>
      </c>
      <c r="B191" s="164" t="s">
        <v>196</v>
      </c>
      <c r="C191" s="93">
        <v>0.01</v>
      </c>
      <c r="D191" s="93">
        <v>343512.0</v>
      </c>
      <c r="E191" s="165">
        <v>10000.0</v>
      </c>
      <c r="F191" s="17">
        <v>15000.0</v>
      </c>
      <c r="G191" s="6">
        <f t="shared" si="6"/>
        <v>368512.01</v>
      </c>
    </row>
    <row r="192" spans="8:8">
      <c r="A192" s="3" t="s">
        <v>208</v>
      </c>
      <c r="B192" s="164" t="s">
        <v>196</v>
      </c>
      <c r="C192" s="93">
        <v>0.01</v>
      </c>
      <c r="D192" s="93">
        <v>343512.0</v>
      </c>
      <c r="E192" s="165">
        <v>10000.0</v>
      </c>
      <c r="F192" s="17">
        <v>15000.0</v>
      </c>
      <c r="G192" s="6">
        <f t="shared" si="6"/>
        <v>368512.01</v>
      </c>
    </row>
    <row r="193" spans="8:8">
      <c r="A193" s="3" t="s">
        <v>209</v>
      </c>
      <c r="B193" s="164" t="s">
        <v>196</v>
      </c>
      <c r="C193" s="93">
        <v>0.01</v>
      </c>
      <c r="D193" s="93">
        <v>343512.0</v>
      </c>
      <c r="E193" s="165">
        <v>10000.0</v>
      </c>
      <c r="F193" s="17">
        <v>15000.0</v>
      </c>
      <c r="G193" s="6">
        <f t="shared" si="6"/>
        <v>368512.01</v>
      </c>
    </row>
    <row r="194" spans="8:8">
      <c r="A194" s="3" t="s">
        <v>210</v>
      </c>
      <c r="B194" s="164" t="s">
        <v>196</v>
      </c>
      <c r="C194" s="93">
        <v>0.01</v>
      </c>
      <c r="D194" s="93">
        <v>343512.0</v>
      </c>
      <c r="E194" s="165">
        <v>10000.0</v>
      </c>
      <c r="F194" s="17">
        <v>15000.0</v>
      </c>
      <c r="G194" s="6">
        <f t="shared" si="6"/>
        <v>368512.01</v>
      </c>
    </row>
    <row r="195" spans="8:8">
      <c r="A195" s="3" t="s">
        <v>211</v>
      </c>
      <c r="B195" s="164" t="s">
        <v>196</v>
      </c>
      <c r="C195" s="93">
        <v>0.01</v>
      </c>
      <c r="D195" s="93">
        <v>343512.0</v>
      </c>
      <c r="E195" s="165">
        <v>10000.0</v>
      </c>
      <c r="F195" s="17">
        <v>15000.0</v>
      </c>
      <c r="G195" s="6">
        <f t="shared" si="6"/>
        <v>368512.01</v>
      </c>
    </row>
    <row r="196" spans="8:8">
      <c r="A196" s="3" t="s">
        <v>212</v>
      </c>
      <c r="B196" s="164" t="s">
        <v>196</v>
      </c>
      <c r="C196" s="93">
        <v>0.01</v>
      </c>
      <c r="D196" s="93">
        <v>343512.0</v>
      </c>
      <c r="E196" s="165">
        <v>10000.0</v>
      </c>
      <c r="F196" s="17">
        <v>15000.0</v>
      </c>
      <c r="G196" s="6">
        <f t="shared" si="6"/>
        <v>368512.01</v>
      </c>
    </row>
    <row r="197" spans="8:8">
      <c r="A197" s="3" t="s">
        <v>214</v>
      </c>
      <c r="B197" s="164" t="s">
        <v>196</v>
      </c>
      <c r="C197" s="93">
        <v>0.01</v>
      </c>
      <c r="D197" s="93">
        <v>343512.0</v>
      </c>
      <c r="E197" s="165">
        <v>10000.0</v>
      </c>
      <c r="F197" s="17">
        <v>15000.0</v>
      </c>
      <c r="G197" s="6">
        <f t="shared" si="6"/>
        <v>368512.01</v>
      </c>
    </row>
    <row r="198" spans="8:8">
      <c r="A198" s="3" t="s">
        <v>215</v>
      </c>
      <c r="B198" s="164" t="s">
        <v>196</v>
      </c>
      <c r="C198" s="93">
        <v>0.01</v>
      </c>
      <c r="D198" s="93">
        <v>343512.0</v>
      </c>
      <c r="E198" s="165">
        <v>10000.0</v>
      </c>
      <c r="F198" s="17">
        <v>15000.0</v>
      </c>
      <c r="G198" s="6">
        <f t="shared" si="6"/>
        <v>368512.01</v>
      </c>
    </row>
    <row r="199" spans="8:8">
      <c r="A199" s="3" t="s">
        <v>216</v>
      </c>
      <c r="B199" s="164" t="s">
        <v>196</v>
      </c>
      <c r="C199" s="93">
        <v>0.01</v>
      </c>
      <c r="D199" s="93">
        <v>343512.0</v>
      </c>
      <c r="E199" s="165">
        <v>10000.0</v>
      </c>
      <c r="F199" s="17">
        <v>15000.0</v>
      </c>
      <c r="G199" s="6">
        <f t="shared" si="6"/>
        <v>368512.01</v>
      </c>
    </row>
    <row r="200" spans="8:8">
      <c r="A200" s="3" t="s">
        <v>217</v>
      </c>
      <c r="B200" s="164" t="s">
        <v>196</v>
      </c>
      <c r="C200" s="93">
        <v>0.01</v>
      </c>
      <c r="D200" s="93">
        <v>343512.0</v>
      </c>
      <c r="E200" s="165">
        <v>10000.0</v>
      </c>
      <c r="F200" s="17">
        <v>15000.0</v>
      </c>
      <c r="G200" s="6">
        <f t="shared" si="6"/>
        <v>368512.01</v>
      </c>
    </row>
    <row r="201" spans="8:8">
      <c r="A201" s="3" t="s">
        <v>218</v>
      </c>
      <c r="B201" s="164" t="s">
        <v>196</v>
      </c>
      <c r="C201" s="93">
        <v>0.01</v>
      </c>
      <c r="D201" s="93">
        <v>343512.0</v>
      </c>
      <c r="E201" s="165">
        <v>10000.0</v>
      </c>
      <c r="F201" s="17">
        <v>15000.0</v>
      </c>
      <c r="G201" s="6">
        <f t="shared" si="6"/>
        <v>368512.01</v>
      </c>
    </row>
    <row r="202" spans="8:8">
      <c r="A202" s="3" t="s">
        <v>219</v>
      </c>
      <c r="B202" s="164" t="s">
        <v>196</v>
      </c>
      <c r="C202" s="93">
        <v>0.01</v>
      </c>
      <c r="D202" s="93">
        <v>343512.0</v>
      </c>
      <c r="E202" s="165">
        <v>10000.0</v>
      </c>
      <c r="F202" s="17">
        <v>15000.0</v>
      </c>
      <c r="G202" s="6">
        <f t="shared" si="6"/>
        <v>368512.01</v>
      </c>
    </row>
    <row r="203" spans="8:8">
      <c r="A203" s="3" t="s">
        <v>220</v>
      </c>
      <c r="B203" s="164" t="s">
        <v>196</v>
      </c>
      <c r="C203" s="93">
        <v>0.01</v>
      </c>
      <c r="D203" s="93">
        <v>343512.0</v>
      </c>
      <c r="E203" s="165">
        <v>10000.0</v>
      </c>
      <c r="F203" s="17">
        <v>15000.0</v>
      </c>
      <c r="G203" s="6">
        <f t="shared" si="6"/>
        <v>368512.01</v>
      </c>
    </row>
    <row r="204" spans="8:8">
      <c r="A204" s="174" t="s">
        <v>330</v>
      </c>
      <c r="B204" s="164" t="s">
        <v>196</v>
      </c>
      <c r="C204" s="93">
        <v>0.01</v>
      </c>
      <c r="D204" s="93">
        <v>343512.0</v>
      </c>
      <c r="E204" s="165">
        <v>10000.0</v>
      </c>
      <c r="F204" s="17">
        <v>15000.0</v>
      </c>
      <c r="G204" s="6">
        <f t="shared" si="6"/>
        <v>368512.01</v>
      </c>
    </row>
    <row r="205" spans="8:8">
      <c r="A205" s="3" t="s">
        <v>223</v>
      </c>
      <c r="B205" s="164" t="s">
        <v>196</v>
      </c>
      <c r="C205" s="93">
        <v>0.01</v>
      </c>
      <c r="D205" s="93">
        <v>687024.0</v>
      </c>
      <c r="E205" s="165">
        <v>10000.0</v>
      </c>
      <c r="F205" s="17">
        <v>15000.0</v>
      </c>
      <c r="G205" s="6">
        <f t="shared" si="6"/>
        <v>712024.01</v>
      </c>
    </row>
    <row r="206" spans="8:8">
      <c r="A206" s="3" t="s">
        <v>224</v>
      </c>
      <c r="B206" s="164" t="s">
        <v>196</v>
      </c>
      <c r="C206" s="93">
        <v>0.01</v>
      </c>
      <c r="D206" s="93">
        <v>343512.0</v>
      </c>
      <c r="E206" s="165">
        <v>10000.0</v>
      </c>
      <c r="F206" s="17">
        <v>15000.0</v>
      </c>
      <c r="G206" s="6">
        <f t="shared" si="6"/>
        <v>368512.01</v>
      </c>
    </row>
    <row r="207" spans="8:8">
      <c r="A207" s="3" t="s">
        <v>225</v>
      </c>
      <c r="B207" s="164" t="s">
        <v>196</v>
      </c>
      <c r="C207" s="93">
        <v>0.01</v>
      </c>
      <c r="D207" s="93">
        <v>343512.0</v>
      </c>
      <c r="E207" s="165">
        <v>10000.0</v>
      </c>
      <c r="F207" s="17">
        <v>15000.0</v>
      </c>
      <c r="G207" s="6">
        <f t="shared" si="6"/>
        <v>368512.01</v>
      </c>
    </row>
    <row r="208" spans="8:8">
      <c r="A208" s="175" t="s">
        <v>226</v>
      </c>
      <c r="B208" s="164" t="s">
        <v>196</v>
      </c>
      <c r="C208" s="93">
        <v>0.01</v>
      </c>
      <c r="D208" s="93">
        <v>343512.0</v>
      </c>
      <c r="E208" s="165">
        <v>10000.0</v>
      </c>
      <c r="F208" s="17">
        <v>15000.0</v>
      </c>
      <c r="G208" s="6">
        <f t="shared" si="6"/>
        <v>368512.01</v>
      </c>
    </row>
    <row r="209" spans="8:8">
      <c r="A209" s="3" t="s">
        <v>228</v>
      </c>
      <c r="B209" s="164" t="s">
        <v>196</v>
      </c>
      <c r="C209" s="93">
        <v>0.01</v>
      </c>
      <c r="D209" s="93">
        <v>451464.0</v>
      </c>
      <c r="E209" s="165">
        <v>10000.0</v>
      </c>
      <c r="F209" s="17">
        <v>15000.0</v>
      </c>
      <c r="G209" s="6">
        <f t="shared" si="6"/>
        <v>476464.01</v>
      </c>
    </row>
    <row r="210" spans="8:8">
      <c r="A210" s="3" t="s">
        <v>229</v>
      </c>
      <c r="B210" s="164" t="s">
        <v>196</v>
      </c>
      <c r="C210" s="93">
        <v>0.01</v>
      </c>
      <c r="D210" s="93">
        <v>343512.0</v>
      </c>
      <c r="E210" s="165">
        <v>10000.0</v>
      </c>
      <c r="F210" s="17">
        <v>15000.0</v>
      </c>
      <c r="G210" s="6">
        <f t="shared" si="6"/>
        <v>368512.01</v>
      </c>
    </row>
    <row r="211" spans="8:8">
      <c r="A211" s="3" t="s">
        <v>230</v>
      </c>
      <c r="B211" s="164" t="s">
        <v>196</v>
      </c>
      <c r="C211" s="93">
        <v>0.01</v>
      </c>
      <c r="D211" s="93">
        <v>343512.0</v>
      </c>
      <c r="E211" s="165">
        <v>10000.0</v>
      </c>
      <c r="F211" s="17">
        <v>15000.0</v>
      </c>
      <c r="G211" s="6">
        <f t="shared" si="6"/>
        <v>368512.01</v>
      </c>
    </row>
    <row r="212" spans="8:8">
      <c r="A212" s="3" t="s">
        <v>231</v>
      </c>
      <c r="B212" s="164" t="s">
        <v>196</v>
      </c>
      <c r="C212" s="93">
        <v>0.01</v>
      </c>
      <c r="D212" s="93">
        <v>343512.0</v>
      </c>
      <c r="E212" s="165">
        <v>10000.0</v>
      </c>
      <c r="F212" s="17">
        <v>15000.0</v>
      </c>
      <c r="G212" s="6">
        <f t="shared" si="6"/>
        <v>368512.01</v>
      </c>
    </row>
    <row r="213" spans="8:8">
      <c r="A213" s="3" t="s">
        <v>232</v>
      </c>
      <c r="B213" s="164" t="s">
        <v>196</v>
      </c>
      <c r="C213" s="93">
        <v>0.01</v>
      </c>
      <c r="D213" s="93">
        <v>343512.0</v>
      </c>
      <c r="E213" s="165">
        <v>10000.0</v>
      </c>
      <c r="F213" s="17">
        <v>15000.0</v>
      </c>
      <c r="G213" s="6">
        <f t="shared" si="6"/>
        <v>368512.01</v>
      </c>
    </row>
    <row r="214" spans="8:8">
      <c r="A214" s="3" t="s">
        <v>233</v>
      </c>
      <c r="B214" s="164" t="s">
        <v>196</v>
      </c>
      <c r="C214" s="93">
        <v>0.01</v>
      </c>
      <c r="D214" s="93">
        <v>343512.0</v>
      </c>
      <c r="E214" s="165">
        <v>10000.0</v>
      </c>
      <c r="F214" s="17">
        <v>15000.0</v>
      </c>
      <c r="G214" s="6">
        <f t="shared" si="6"/>
        <v>368512.01</v>
      </c>
    </row>
    <row r="215" spans="8:8">
      <c r="A215" s="3" t="s">
        <v>234</v>
      </c>
      <c r="B215" s="164" t="s">
        <v>196</v>
      </c>
      <c r="C215" s="93">
        <v>0.01</v>
      </c>
      <c r="D215" s="93">
        <v>343512.0</v>
      </c>
      <c r="E215" s="165">
        <v>10000.0</v>
      </c>
      <c r="F215" s="17">
        <v>15000.0</v>
      </c>
      <c r="G215" s="6">
        <f t="shared" si="6"/>
        <v>368512.01</v>
      </c>
    </row>
    <row r="216" spans="8:8">
      <c r="A216" s="3" t="s">
        <v>235</v>
      </c>
      <c r="B216" s="164" t="s">
        <v>196</v>
      </c>
      <c r="C216" s="93">
        <v>0.01</v>
      </c>
      <c r="D216" s="93">
        <v>343512.0</v>
      </c>
      <c r="E216" s="165">
        <v>10000.0</v>
      </c>
      <c r="F216" s="17">
        <v>15000.0</v>
      </c>
      <c r="G216" s="6">
        <f t="shared" si="6"/>
        <v>368512.01</v>
      </c>
    </row>
    <row r="217" spans="8:8">
      <c r="A217" s="3" t="s">
        <v>236</v>
      </c>
      <c r="B217" s="164" t="s">
        <v>196</v>
      </c>
      <c r="C217" s="93">
        <v>0.01</v>
      </c>
      <c r="D217" s="93">
        <v>343512.0</v>
      </c>
      <c r="E217" s="165">
        <v>10000.0</v>
      </c>
      <c r="F217" s="17">
        <v>15000.0</v>
      </c>
      <c r="G217" s="6">
        <f t="shared" si="6"/>
        <v>368512.01</v>
      </c>
    </row>
    <row r="218" spans="8:8">
      <c r="A218" s="3" t="s">
        <v>237</v>
      </c>
      <c r="B218" s="164" t="s">
        <v>196</v>
      </c>
      <c r="C218" s="93">
        <v>0.01</v>
      </c>
      <c r="D218" s="93">
        <v>343512.0</v>
      </c>
      <c r="E218" s="165">
        <v>10000.0</v>
      </c>
      <c r="F218" s="17">
        <v>15000.0</v>
      </c>
      <c r="G218" s="6">
        <f t="shared" si="6"/>
        <v>368512.01</v>
      </c>
    </row>
    <row r="219" spans="8:8">
      <c r="A219" s="3" t="s">
        <v>238</v>
      </c>
      <c r="B219" s="164" t="s">
        <v>196</v>
      </c>
      <c r="C219" s="93">
        <v>0.01</v>
      </c>
      <c r="D219" s="93">
        <v>343512.0</v>
      </c>
      <c r="E219" s="165">
        <v>10000.0</v>
      </c>
      <c r="F219" s="17">
        <v>15000.0</v>
      </c>
      <c r="G219" s="6">
        <f t="shared" si="6"/>
        <v>368512.01</v>
      </c>
    </row>
    <row r="220" spans="8:8">
      <c r="A220" s="3" t="s">
        <v>239</v>
      </c>
      <c r="B220" s="164" t="s">
        <v>196</v>
      </c>
      <c r="C220" s="93">
        <v>0.01</v>
      </c>
      <c r="D220" s="93">
        <v>343512.0</v>
      </c>
      <c r="E220" s="165">
        <v>10000.0</v>
      </c>
      <c r="F220" s="17">
        <v>15000.0</v>
      </c>
      <c r="G220" s="6">
        <f t="shared" si="6"/>
        <v>368512.01</v>
      </c>
    </row>
    <row r="221" spans="8:8">
      <c r="A221" s="3" t="s">
        <v>240</v>
      </c>
      <c r="B221" s="164" t="s">
        <v>196</v>
      </c>
      <c r="C221" s="93">
        <v>0.01</v>
      </c>
      <c r="D221" s="93">
        <v>343512.0</v>
      </c>
      <c r="E221" s="165">
        <v>10000.0</v>
      </c>
      <c r="F221" s="17">
        <v>15000.0</v>
      </c>
      <c r="G221" s="6">
        <f t="shared" si="6"/>
        <v>368512.01</v>
      </c>
    </row>
    <row r="222" spans="8:8">
      <c r="A222" s="3" t="s">
        <v>241</v>
      </c>
      <c r="B222" s="164" t="s">
        <v>196</v>
      </c>
      <c r="C222" s="93">
        <v>0.01</v>
      </c>
      <c r="D222" s="93">
        <v>343512.0</v>
      </c>
      <c r="E222" s="165">
        <v>10000.0</v>
      </c>
      <c r="F222" s="17">
        <v>15000.0</v>
      </c>
      <c r="G222" s="6">
        <f t="shared" si="6"/>
        <v>368512.01</v>
      </c>
    </row>
    <row r="223" spans="8:8">
      <c r="A223" s="3" t="s">
        <v>242</v>
      </c>
      <c r="B223" s="171" t="s">
        <v>196</v>
      </c>
      <c r="C223" s="93">
        <v>0.01</v>
      </c>
      <c r="D223" s="93">
        <v>343512.0</v>
      </c>
      <c r="E223" s="165">
        <v>10000.0</v>
      </c>
      <c r="F223" s="17">
        <v>15000.0</v>
      </c>
      <c r="G223" s="6">
        <f t="shared" si="6"/>
        <v>368512.01</v>
      </c>
    </row>
    <row r="224" spans="8:8">
      <c r="A224" s="3" t="s">
        <v>243</v>
      </c>
      <c r="B224" s="164" t="s">
        <v>196</v>
      </c>
      <c r="C224" s="93">
        <v>0.01</v>
      </c>
      <c r="D224" s="93">
        <v>343512.0</v>
      </c>
      <c r="E224" s="165">
        <v>10000.0</v>
      </c>
      <c r="F224" s="17">
        <v>15000.0</v>
      </c>
      <c r="G224" s="6">
        <f t="shared" si="6"/>
        <v>368512.01</v>
      </c>
    </row>
    <row r="225" spans="8:8">
      <c r="A225" s="3" t="s">
        <v>244</v>
      </c>
      <c r="B225" s="164" t="s">
        <v>196</v>
      </c>
      <c r="C225" s="93">
        <v>0.01</v>
      </c>
      <c r="D225" s="93">
        <v>343512.0</v>
      </c>
      <c r="E225" s="165">
        <v>10000.0</v>
      </c>
      <c r="F225" s="17">
        <v>15000.0</v>
      </c>
      <c r="G225" s="6">
        <f t="shared" si="6"/>
        <v>368512.01</v>
      </c>
      <c r="J225" s="49"/>
    </row>
    <row r="226" spans="8:8" s="49" ht="15.0" customFormat="1">
      <c r="A226" s="3" t="s">
        <v>246</v>
      </c>
      <c r="B226" s="164" t="s">
        <v>196</v>
      </c>
      <c r="C226" s="93">
        <v>0.01</v>
      </c>
      <c r="D226" s="93">
        <v>343512.0</v>
      </c>
      <c r="E226" s="165">
        <v>10000.0</v>
      </c>
      <c r="F226" s="17">
        <v>15000.0</v>
      </c>
      <c r="G226" s="17">
        <f t="shared" si="6"/>
        <v>368512.01</v>
      </c>
      <c r="J226" s="39"/>
    </row>
    <row r="227" spans="8:8">
      <c r="A227" s="3" t="s">
        <v>247</v>
      </c>
      <c r="B227" s="164" t="s">
        <v>196</v>
      </c>
      <c r="C227" s="93">
        <v>0.01</v>
      </c>
      <c r="D227" s="93">
        <v>343512.0</v>
      </c>
      <c r="E227" s="165">
        <v>10000.0</v>
      </c>
      <c r="F227" s="17">
        <v>15000.0</v>
      </c>
      <c r="G227" s="6">
        <f t="shared" si="6"/>
        <v>368512.01</v>
      </c>
    </row>
    <row r="228" spans="8:8">
      <c r="A228" s="3" t="s">
        <v>248</v>
      </c>
      <c r="B228" s="164" t="s">
        <v>196</v>
      </c>
      <c r="C228" s="93">
        <v>0.01</v>
      </c>
      <c r="D228" s="93">
        <v>343512.0</v>
      </c>
      <c r="E228" s="165">
        <v>10000.0</v>
      </c>
      <c r="F228" s="17">
        <v>15000.0</v>
      </c>
      <c r="G228" s="6">
        <f t="shared" si="6"/>
        <v>368512.01</v>
      </c>
    </row>
    <row r="229" spans="8:8">
      <c r="A229" s="3" t="s">
        <v>249</v>
      </c>
      <c r="B229" s="164" t="s">
        <v>196</v>
      </c>
      <c r="C229" s="93">
        <v>0.01</v>
      </c>
      <c r="D229" s="93">
        <v>343512.0</v>
      </c>
      <c r="E229" s="165">
        <v>10000.0</v>
      </c>
      <c r="F229" s="17">
        <v>15000.0</v>
      </c>
      <c r="G229" s="6">
        <f t="shared" si="6"/>
        <v>368512.01</v>
      </c>
    </row>
    <row r="230" spans="8:8">
      <c r="A230" s="3" t="s">
        <v>250</v>
      </c>
      <c r="B230" s="164" t="s">
        <v>196</v>
      </c>
      <c r="C230" s="93">
        <v>0.01</v>
      </c>
      <c r="D230" s="93">
        <v>343512.0</v>
      </c>
      <c r="E230" s="165">
        <v>10000.0</v>
      </c>
      <c r="F230" s="17">
        <v>15000.0</v>
      </c>
      <c r="G230" s="6">
        <f t="shared" si="6"/>
        <v>368512.01</v>
      </c>
    </row>
    <row r="231" spans="8:8">
      <c r="A231" s="3" t="s">
        <v>251</v>
      </c>
      <c r="B231" s="164" t="s">
        <v>196</v>
      </c>
      <c r="C231" s="93">
        <v>0.01</v>
      </c>
      <c r="D231" s="93">
        <v>343512.0</v>
      </c>
      <c r="E231" s="165">
        <v>10000.0</v>
      </c>
      <c r="F231" s="17">
        <v>15000.0</v>
      </c>
      <c r="G231" s="6">
        <f t="shared" si="6"/>
        <v>368512.01</v>
      </c>
    </row>
    <row r="232" spans="8:8">
      <c r="A232" s="176" t="s">
        <v>331</v>
      </c>
      <c r="B232" s="164" t="s">
        <v>196</v>
      </c>
      <c r="C232" s="93">
        <v>0.01</v>
      </c>
      <c r="D232" s="93">
        <v>343512.0</v>
      </c>
      <c r="E232" s="165">
        <v>10000.0</v>
      </c>
      <c r="F232" s="17">
        <v>15000.0</v>
      </c>
      <c r="G232" s="6">
        <f t="shared" si="6"/>
        <v>368512.01</v>
      </c>
    </row>
    <row r="233" spans="8:8">
      <c r="A233" s="14" t="s">
        <v>332</v>
      </c>
      <c r="B233" s="164" t="s">
        <v>196</v>
      </c>
      <c r="C233" s="93">
        <v>0.01</v>
      </c>
      <c r="D233" s="93">
        <v>343512.0</v>
      </c>
      <c r="E233" s="165">
        <v>10000.0</v>
      </c>
      <c r="F233" s="17">
        <v>15000.0</v>
      </c>
      <c r="G233" s="6">
        <f t="shared" si="6"/>
        <v>368512.01</v>
      </c>
    </row>
    <row r="234" spans="8:8">
      <c r="A234" s="3" t="s">
        <v>254</v>
      </c>
      <c r="B234" s="164" t="s">
        <v>196</v>
      </c>
      <c r="C234" s="93">
        <v>0.01</v>
      </c>
      <c r="D234" s="93">
        <v>343512.0</v>
      </c>
      <c r="E234" s="165">
        <v>10000.0</v>
      </c>
      <c r="F234" s="17">
        <v>15000.0</v>
      </c>
      <c r="G234" s="6">
        <f t="shared" si="6"/>
        <v>368512.01</v>
      </c>
    </row>
    <row r="235" spans="8:8">
      <c r="A235" s="3" t="s">
        <v>255</v>
      </c>
      <c r="B235" s="164" t="s">
        <v>196</v>
      </c>
      <c r="C235" s="93">
        <v>0.01</v>
      </c>
      <c r="D235" s="93">
        <v>343512.0</v>
      </c>
      <c r="E235" s="165">
        <v>10000.0</v>
      </c>
      <c r="F235" s="17">
        <v>15000.0</v>
      </c>
      <c r="G235" s="6">
        <f t="shared" si="6"/>
        <v>368512.01</v>
      </c>
    </row>
    <row r="236" spans="8:8">
      <c r="A236" s="3" t="s">
        <v>256</v>
      </c>
      <c r="B236" s="164" t="s">
        <v>196</v>
      </c>
      <c r="C236" s="93">
        <v>0.01</v>
      </c>
      <c r="D236" s="93">
        <v>343512.0</v>
      </c>
      <c r="E236" s="165">
        <v>10000.0</v>
      </c>
      <c r="F236" s="17">
        <v>15000.0</v>
      </c>
      <c r="G236" s="6">
        <f t="shared" si="6"/>
        <v>368512.01</v>
      </c>
    </row>
    <row r="237" spans="8:8">
      <c r="A237" s="3" t="s">
        <v>257</v>
      </c>
      <c r="B237" s="164" t="s">
        <v>196</v>
      </c>
      <c r="C237" s="93">
        <v>0.01</v>
      </c>
      <c r="D237" s="93">
        <v>343512.0</v>
      </c>
      <c r="E237" s="165">
        <v>10000.0</v>
      </c>
      <c r="F237" s="17">
        <v>15000.0</v>
      </c>
      <c r="G237" s="6">
        <f t="shared" si="6"/>
        <v>368512.01</v>
      </c>
    </row>
    <row r="238" spans="8:8">
      <c r="A238" s="3" t="s">
        <v>258</v>
      </c>
      <c r="B238" s="164" t="s">
        <v>196</v>
      </c>
      <c r="C238" s="93">
        <v>0.01</v>
      </c>
      <c r="D238" s="93">
        <v>343512.0</v>
      </c>
      <c r="E238" s="165">
        <v>10000.0</v>
      </c>
      <c r="F238" s="17">
        <v>15000.0</v>
      </c>
      <c r="G238" s="6">
        <f t="shared" si="6"/>
        <v>368512.01</v>
      </c>
    </row>
    <row r="239" spans="8:8">
      <c r="A239" s="3" t="s">
        <v>259</v>
      </c>
      <c r="B239" s="164" t="s">
        <v>196</v>
      </c>
      <c r="C239" s="93">
        <v>0.01</v>
      </c>
      <c r="D239" s="93">
        <v>343512.0</v>
      </c>
      <c r="E239" s="165">
        <v>10000.0</v>
      </c>
      <c r="F239" s="17">
        <v>15000.0</v>
      </c>
      <c r="G239" s="6">
        <f t="shared" si="6"/>
        <v>368512.01</v>
      </c>
    </row>
    <row r="240" spans="8:8">
      <c r="A240" s="3" t="s">
        <v>260</v>
      </c>
      <c r="B240" s="164" t="s">
        <v>196</v>
      </c>
      <c r="C240" s="93">
        <v>0.01</v>
      </c>
      <c r="D240" s="93">
        <v>343512.0</v>
      </c>
      <c r="E240" s="165">
        <v>10000.0</v>
      </c>
      <c r="F240" s="17">
        <v>15000.0</v>
      </c>
      <c r="G240" s="6">
        <f t="shared" si="6"/>
        <v>368512.01</v>
      </c>
    </row>
    <row r="241" spans="8:8">
      <c r="A241" s="3" t="s">
        <v>262</v>
      </c>
      <c r="B241" s="164" t="s">
        <v>196</v>
      </c>
      <c r="C241" s="93">
        <v>0.01</v>
      </c>
      <c r="D241" s="93">
        <v>343512.0</v>
      </c>
      <c r="E241" s="165">
        <v>10000.0</v>
      </c>
      <c r="F241" s="17">
        <v>15000.0</v>
      </c>
      <c r="G241" s="6">
        <f t="shared" si="6"/>
        <v>368512.01</v>
      </c>
    </row>
    <row r="242" spans="8:8">
      <c r="A242" s="3" t="s">
        <v>265</v>
      </c>
      <c r="B242" s="164" t="s">
        <v>196</v>
      </c>
      <c r="C242" s="93">
        <v>0.01</v>
      </c>
      <c r="D242" s="93">
        <v>343512.0</v>
      </c>
      <c r="E242" s="165">
        <v>10000.0</v>
      </c>
      <c r="F242" s="17">
        <v>15000.0</v>
      </c>
      <c r="G242" s="6">
        <f t="shared" si="6"/>
        <v>368512.01</v>
      </c>
    </row>
    <row r="243" spans="8:8">
      <c r="A243" s="3" t="s">
        <v>266</v>
      </c>
      <c r="B243" s="164" t="s">
        <v>196</v>
      </c>
      <c r="C243" s="93">
        <v>0.01</v>
      </c>
      <c r="D243" s="93">
        <v>343512.0</v>
      </c>
      <c r="E243" s="165">
        <v>10000.0</v>
      </c>
      <c r="F243" s="17">
        <v>15000.0</v>
      </c>
      <c r="G243" s="6">
        <f t="shared" si="6"/>
        <v>368512.01</v>
      </c>
    </row>
    <row r="244" spans="8:8">
      <c r="A244" s="3" t="s">
        <v>267</v>
      </c>
      <c r="B244" s="164" t="s">
        <v>196</v>
      </c>
      <c r="C244" s="93">
        <v>0.01</v>
      </c>
      <c r="D244" s="93">
        <v>343512.0</v>
      </c>
      <c r="E244" s="165">
        <v>10000.0</v>
      </c>
      <c r="F244" s="17">
        <v>15000.0</v>
      </c>
      <c r="G244" s="6">
        <f t="shared" si="6"/>
        <v>368512.01</v>
      </c>
    </row>
    <row r="245" spans="8:8">
      <c r="A245" s="3" t="s">
        <v>268</v>
      </c>
      <c r="B245" s="164" t="s">
        <v>196</v>
      </c>
      <c r="C245" s="93">
        <v>0.01</v>
      </c>
      <c r="D245" s="93">
        <v>343512.0</v>
      </c>
      <c r="E245" s="165">
        <v>10000.0</v>
      </c>
      <c r="F245" s="17">
        <v>15000.0</v>
      </c>
      <c r="G245" s="6">
        <f t="shared" si="6"/>
        <v>368512.01</v>
      </c>
    </row>
    <row r="246" spans="8:8">
      <c r="A246" s="3" t="s">
        <v>269</v>
      </c>
      <c r="B246" s="164" t="s">
        <v>196</v>
      </c>
      <c r="C246" s="93">
        <v>0.01</v>
      </c>
      <c r="D246" s="93">
        <v>343512.0</v>
      </c>
      <c r="E246" s="165">
        <v>10000.0</v>
      </c>
      <c r="F246" s="17">
        <v>15000.0</v>
      </c>
      <c r="G246" s="6">
        <f t="shared" si="6"/>
        <v>368512.01</v>
      </c>
    </row>
    <row r="247" spans="8:8">
      <c r="A247" s="3" t="s">
        <v>270</v>
      </c>
      <c r="B247" s="164" t="s">
        <v>196</v>
      </c>
      <c r="C247" s="93">
        <v>0.01</v>
      </c>
      <c r="D247" s="93">
        <v>343512.0</v>
      </c>
      <c r="E247" s="165">
        <v>10000.0</v>
      </c>
      <c r="F247" s="17">
        <v>15000.0</v>
      </c>
      <c r="G247" s="6">
        <f t="shared" si="6"/>
        <v>368512.01</v>
      </c>
    </row>
    <row r="248" spans="8:8">
      <c r="A248" s="3" t="s">
        <v>271</v>
      </c>
      <c r="B248" s="164" t="s">
        <v>196</v>
      </c>
      <c r="C248" s="93">
        <v>0.01</v>
      </c>
      <c r="D248" s="93">
        <v>343512.0</v>
      </c>
      <c r="E248" s="165">
        <v>10000.0</v>
      </c>
      <c r="F248" s="17">
        <v>15000.0</v>
      </c>
      <c r="G248" s="6">
        <f t="shared" si="6"/>
        <v>368512.01</v>
      </c>
    </row>
    <row r="249" spans="8:8">
      <c r="A249" s="3" t="s">
        <v>272</v>
      </c>
      <c r="B249" s="164" t="s">
        <v>196</v>
      </c>
      <c r="C249" s="93">
        <v>0.01</v>
      </c>
      <c r="D249" s="93">
        <v>343512.0</v>
      </c>
      <c r="E249" s="165">
        <v>10000.0</v>
      </c>
      <c r="F249" s="17">
        <v>15000.0</v>
      </c>
      <c r="G249" s="6">
        <f t="shared" si="6"/>
        <v>368512.01</v>
      </c>
    </row>
    <row r="250" spans="8:8">
      <c r="A250" s="3" t="s">
        <v>273</v>
      </c>
      <c r="B250" s="164" t="s">
        <v>196</v>
      </c>
      <c r="C250" s="93">
        <v>0.01</v>
      </c>
      <c r="D250" s="93">
        <v>343512.0</v>
      </c>
      <c r="E250" s="165">
        <v>10000.0</v>
      </c>
      <c r="F250" s="17">
        <v>15000.0</v>
      </c>
      <c r="G250" s="6">
        <f t="shared" si="6"/>
        <v>368512.01</v>
      </c>
    </row>
    <row r="251" spans="8:8">
      <c r="A251" s="3" t="s">
        <v>274</v>
      </c>
      <c r="B251" s="164" t="s">
        <v>196</v>
      </c>
      <c r="C251" s="93">
        <v>0.01</v>
      </c>
      <c r="D251" s="93">
        <v>343512.0</v>
      </c>
      <c r="E251" s="165">
        <v>10000.0</v>
      </c>
      <c r="F251" s="17">
        <v>15000.0</v>
      </c>
      <c r="G251" s="6">
        <f t="shared" si="7" ref="G251:G255">SUM(C251:F251)</f>
        <v>368512.01</v>
      </c>
    </row>
    <row r="252" spans="8:8">
      <c r="A252" s="3" t="s">
        <v>275</v>
      </c>
      <c r="B252" s="164" t="s">
        <v>196</v>
      </c>
      <c r="C252" s="93">
        <v>0.01</v>
      </c>
      <c r="D252" s="93">
        <v>343512.0</v>
      </c>
      <c r="E252" s="165">
        <v>10000.0</v>
      </c>
      <c r="F252" s="17">
        <v>15000.0</v>
      </c>
      <c r="G252" s="6">
        <f t="shared" si="7"/>
        <v>368512.01</v>
      </c>
    </row>
    <row r="253" spans="8:8">
      <c r="A253" s="14" t="s">
        <v>333</v>
      </c>
      <c r="B253" s="164" t="s">
        <v>196</v>
      </c>
      <c r="C253" s="93">
        <v>0.01</v>
      </c>
      <c r="D253" s="93">
        <v>343512.0</v>
      </c>
      <c r="E253" s="165">
        <v>10000.0</v>
      </c>
      <c r="F253" s="17">
        <v>15000.0</v>
      </c>
      <c r="G253" s="6">
        <f t="shared" si="7"/>
        <v>368512.01</v>
      </c>
    </row>
    <row r="254" spans="8:8">
      <c r="A254" s="3" t="s">
        <v>276</v>
      </c>
      <c r="B254" s="164" t="s">
        <v>196</v>
      </c>
      <c r="C254" s="93">
        <v>0.01</v>
      </c>
      <c r="D254" s="93">
        <v>343512.0</v>
      </c>
      <c r="E254" s="165">
        <v>10000.0</v>
      </c>
      <c r="F254" s="17">
        <v>15000.0</v>
      </c>
      <c r="G254" s="6">
        <f t="shared" si="7"/>
        <v>368512.01</v>
      </c>
    </row>
    <row r="255" spans="8:8">
      <c r="A255" s="15" t="s">
        <v>277</v>
      </c>
      <c r="B255" s="164" t="s">
        <v>196</v>
      </c>
      <c r="C255" s="93">
        <v>0.01</v>
      </c>
      <c r="D255" s="93">
        <v>343512.0</v>
      </c>
      <c r="E255" s="165">
        <v>10000.0</v>
      </c>
      <c r="F255" s="17">
        <v>15000.0</v>
      </c>
      <c r="G255" s="6">
        <f t="shared" si="7"/>
        <v>368512.01</v>
      </c>
    </row>
    <row r="256" spans="8:8">
      <c r="A256" s="29" t="s">
        <v>280</v>
      </c>
      <c r="B256" s="177" t="s">
        <v>196</v>
      </c>
      <c r="C256" s="132">
        <v>87048.0</v>
      </c>
      <c r="D256" s="132">
        <v>343824.0</v>
      </c>
      <c r="E256" s="173">
        <v>10000.0</v>
      </c>
      <c r="F256" s="37">
        <v>15000.0</v>
      </c>
      <c r="G256" s="31">
        <f>SUM(D256:F256)</f>
        <v>368824.0</v>
      </c>
    </row>
    <row r="257" spans="8:8">
      <c r="A257" s="3" t="s">
        <v>281</v>
      </c>
      <c r="B257" s="164" t="s">
        <v>282</v>
      </c>
      <c r="C257" s="93">
        <v>264720.01</v>
      </c>
      <c r="D257" s="178" t="s">
        <v>292</v>
      </c>
      <c r="E257" s="179" t="s">
        <v>292</v>
      </c>
      <c r="F257" s="180" t="s">
        <v>292</v>
      </c>
      <c r="G257" s="6">
        <f t="shared" si="8" ref="G257:G266">SUM(C257:F257)</f>
        <v>264720.01</v>
      </c>
    </row>
    <row r="258" spans="8:8">
      <c r="A258" s="3" t="s">
        <v>283</v>
      </c>
      <c r="B258" s="164" t="s">
        <v>282</v>
      </c>
      <c r="C258" s="93">
        <v>540.0</v>
      </c>
      <c r="D258" s="178" t="s">
        <v>292</v>
      </c>
      <c r="E258" s="180" t="s">
        <v>292</v>
      </c>
      <c r="F258" s="180" t="s">
        <v>292</v>
      </c>
      <c r="G258" s="6">
        <f t="shared" si="8"/>
        <v>540.0</v>
      </c>
    </row>
    <row r="259" spans="8:8">
      <c r="A259" s="10" t="s">
        <v>284</v>
      </c>
      <c r="B259" s="181" t="s">
        <v>285</v>
      </c>
      <c r="C259" s="45">
        <v>3000.0</v>
      </c>
      <c r="D259" s="182" t="s">
        <v>292</v>
      </c>
      <c r="E259" s="183" t="s">
        <v>292</v>
      </c>
      <c r="F259" s="184" t="s">
        <v>292</v>
      </c>
      <c r="G259" s="13">
        <f t="shared" si="8"/>
        <v>3000.0</v>
      </c>
    </row>
    <row r="260" spans="8:8">
      <c r="A260" s="3" t="s">
        <v>286</v>
      </c>
      <c r="B260" s="171" t="s">
        <v>285</v>
      </c>
      <c r="C260" s="19">
        <v>5000.0</v>
      </c>
      <c r="D260" s="178" t="s">
        <v>292</v>
      </c>
      <c r="E260" s="183" t="s">
        <v>292</v>
      </c>
      <c r="F260" s="184" t="s">
        <v>292</v>
      </c>
      <c r="G260" s="6">
        <f t="shared" si="8"/>
        <v>5000.0</v>
      </c>
    </row>
    <row r="261" spans="8:8">
      <c r="A261" s="15" t="s">
        <v>4</v>
      </c>
      <c r="B261" s="171" t="s">
        <v>285</v>
      </c>
      <c r="C261" s="19">
        <v>10000.0</v>
      </c>
      <c r="D261" s="178" t="s">
        <v>292</v>
      </c>
      <c r="E261" s="183" t="s">
        <v>292</v>
      </c>
      <c r="F261" s="184" t="s">
        <v>292</v>
      </c>
      <c r="G261" s="6">
        <f t="shared" si="8"/>
        <v>10000.0</v>
      </c>
    </row>
    <row r="262" spans="8:8">
      <c r="A262" s="3" t="s">
        <v>287</v>
      </c>
      <c r="B262" s="171" t="s">
        <v>285</v>
      </c>
      <c r="C262" s="19">
        <v>30000.0</v>
      </c>
      <c r="D262" s="178" t="s">
        <v>292</v>
      </c>
      <c r="E262" s="183" t="s">
        <v>292</v>
      </c>
      <c r="F262" s="184" t="s">
        <v>292</v>
      </c>
      <c r="G262" s="6">
        <f t="shared" si="8"/>
        <v>30000.0</v>
      </c>
    </row>
    <row r="263" spans="8:8">
      <c r="A263" s="39" t="s">
        <v>319</v>
      </c>
      <c r="B263" s="171" t="s">
        <v>285</v>
      </c>
      <c r="C263" s="19">
        <v>12000.0</v>
      </c>
      <c r="D263" s="178" t="s">
        <v>292</v>
      </c>
      <c r="E263" s="183" t="s">
        <v>292</v>
      </c>
      <c r="F263" s="184" t="s">
        <v>292</v>
      </c>
      <c r="G263" s="6">
        <f t="shared" si="8"/>
        <v>12000.0</v>
      </c>
    </row>
    <row r="264" spans="8:8">
      <c r="A264" s="15" t="s">
        <v>5</v>
      </c>
      <c r="B264" s="171" t="s">
        <v>285</v>
      </c>
      <c r="C264" s="19">
        <v>15000.0</v>
      </c>
      <c r="D264" s="178" t="s">
        <v>292</v>
      </c>
      <c r="E264" s="183" t="s">
        <v>292</v>
      </c>
      <c r="F264" s="184" t="s">
        <v>292</v>
      </c>
      <c r="G264" s="6">
        <f t="shared" si="8"/>
        <v>15000.0</v>
      </c>
    </row>
    <row r="265" spans="8:8">
      <c r="A265" s="32" t="s">
        <v>288</v>
      </c>
      <c r="B265" s="172" t="s">
        <v>285</v>
      </c>
      <c r="C265" s="185">
        <v>50000.0</v>
      </c>
      <c r="D265" s="186" t="s">
        <v>292</v>
      </c>
      <c r="E265" s="187" t="s">
        <v>292</v>
      </c>
      <c r="F265" s="188" t="s">
        <v>292</v>
      </c>
      <c r="G265" s="31">
        <f t="shared" si="8"/>
        <v>50000.0</v>
      </c>
    </row>
    <row r="266" spans="8:8">
      <c r="A266" s="3" t="s">
        <v>291</v>
      </c>
      <c r="B266" s="171" t="s">
        <v>290</v>
      </c>
      <c r="C266" s="93">
        <v>63336.0</v>
      </c>
      <c r="D266" s="5">
        <v>0.0</v>
      </c>
      <c r="E266" s="165">
        <v>10000.0</v>
      </c>
      <c r="F266" s="17">
        <v>15000.0</v>
      </c>
      <c r="G266" s="6">
        <f t="shared" si="8"/>
        <v>88336.0</v>
      </c>
    </row>
    <row r="267" spans="8:8">
      <c r="B267" s="189"/>
      <c r="C267" s="161"/>
      <c r="D267" s="161"/>
      <c r="E267" s="190"/>
    </row>
    <row r="268" spans="8:8">
      <c r="B268" s="71"/>
      <c r="C268" s="161"/>
      <c r="D268" s="161"/>
      <c r="E268" s="191"/>
    </row>
    <row r="269" spans="8:8">
      <c r="B269" s="71"/>
      <c r="C269" s="161"/>
      <c r="D269" s="161"/>
      <c r="E269" s="191"/>
    </row>
    <row r="281" spans="8:8">
      <c r="J281" s="49"/>
    </row>
    <row r="282" spans="8:8" s="49" ht="15.0" customFormat="1">
      <c r="A282" s="38"/>
      <c r="B282" s="39"/>
      <c r="C282" s="40"/>
      <c r="D282" s="40"/>
      <c r="E282" s="163"/>
      <c r="F282" s="163"/>
      <c r="G282" s="161"/>
      <c r="H282" s="39"/>
      <c r="I282" s="39"/>
    </row>
    <row r="290" spans="8:8" s="49" ht="15.0" customFormat="1">
      <c r="A290" s="38"/>
      <c r="B290" s="39"/>
      <c r="C290" s="40"/>
      <c r="D290" s="40"/>
      <c r="E290" s="163"/>
      <c r="F290" s="163"/>
      <c r="G290" s="161"/>
      <c r="H290" s="39"/>
      <c r="I290" s="39"/>
    </row>
    <row r="293" spans="8:8" s="49" ht="15.0" customFormat="1">
      <c r="A293" s="38"/>
      <c r="B293" s="39"/>
      <c r="C293" s="40"/>
      <c r="D293" s="40"/>
      <c r="E293" s="163"/>
      <c r="F293" s="163"/>
      <c r="G293" s="161"/>
      <c r="H293" s="39"/>
      <c r="I293" s="39"/>
    </row>
    <row r="294" spans="8:8" s="49" ht="15.0" customFormat="1">
      <c r="A294" s="38"/>
      <c r="B294" s="39"/>
      <c r="C294" s="40"/>
      <c r="D294" s="40"/>
      <c r="E294" s="163"/>
      <c r="F294" s="163"/>
      <c r="G294" s="161"/>
      <c r="H294" s="39"/>
      <c r="I294" s="39"/>
    </row>
    <row r="295" spans="8:8">
      <c r="J295" s="71"/>
    </row>
    <row r="296" spans="8:8">
      <c r="J296" s="71"/>
    </row>
  </sheetData>
  <pageMargins left="0.7" right="0.7" top="0.33" bottom="0.32" header="0.19" footer="0.17"/>
</worksheet>
</file>

<file path=xl/worksheets/sheet13.xml><?xml version="1.0" encoding="utf-8"?>
<worksheet xmlns:r="http://schemas.openxmlformats.org/officeDocument/2006/relationships" xmlns="http://schemas.openxmlformats.org/spreadsheetml/2006/main">
  <dimension ref="A1:G296"/>
  <sheetViews>
    <sheetView workbookViewId="0">
      <selection activeCell="A35" sqref="A35"/>
    </sheetView>
  </sheetViews>
  <sheetFormatPr defaultRowHeight="15.0" defaultColWidth="10"/>
  <cols>
    <col min="1" max="1" customWidth="1" width="73.28516" style="38"/>
    <col min="2" max="2" customWidth="1" width="13.425781" style="192"/>
    <col min="3" max="3" customWidth="1" width="12.5703125" style="161"/>
    <col min="4" max="4" customWidth="1" bestFit="1" width="12.5703125" style="39"/>
    <col min="5" max="16384" customWidth="0" width="11.425781" style="39"/>
  </cols>
  <sheetData>
    <row r="1" spans="8:8">
      <c r="A1" s="1" t="s">
        <v>0</v>
      </c>
      <c r="B1" s="193" t="s">
        <v>1</v>
      </c>
      <c r="C1" s="2" t="s">
        <v>294</v>
      </c>
    </row>
    <row r="2" spans="8:8">
      <c r="A2" s="3" t="s">
        <v>7</v>
      </c>
      <c r="B2" s="194" t="s">
        <v>8</v>
      </c>
      <c r="C2" s="6">
        <v>135448.01</v>
      </c>
    </row>
    <row r="3" spans="8:8">
      <c r="A3" s="3" t="s">
        <v>9</v>
      </c>
      <c r="B3" s="194" t="s">
        <v>8</v>
      </c>
      <c r="C3" s="6">
        <v>135448.01</v>
      </c>
    </row>
    <row r="4" spans="8:8">
      <c r="A4" s="3" t="s">
        <v>10</v>
      </c>
      <c r="B4" s="194" t="s">
        <v>8</v>
      </c>
      <c r="C4" s="6">
        <v>135448.01</v>
      </c>
    </row>
    <row r="5" spans="8:8">
      <c r="A5" s="3" t="s">
        <v>11</v>
      </c>
      <c r="B5" s="194" t="s">
        <v>8</v>
      </c>
      <c r="C5" s="6">
        <v>118288.01</v>
      </c>
    </row>
    <row r="6" spans="8:8">
      <c r="A6" s="10" t="s">
        <v>12</v>
      </c>
      <c r="B6" s="195" t="s">
        <v>13</v>
      </c>
      <c r="C6" s="13">
        <v>146824.0</v>
      </c>
    </row>
    <row r="7" spans="8:8">
      <c r="A7" s="162" t="s">
        <v>320</v>
      </c>
      <c r="B7" s="195" t="s">
        <v>13</v>
      </c>
      <c r="C7" s="196">
        <v>293648.0</v>
      </c>
    </row>
    <row r="8" spans="8:8">
      <c r="A8" s="3" t="s">
        <v>15</v>
      </c>
      <c r="B8" s="194" t="s">
        <v>13</v>
      </c>
      <c r="C8" s="13">
        <v>146824.0</v>
      </c>
    </row>
    <row r="9" spans="8:8">
      <c r="A9" s="3" t="s">
        <v>16</v>
      </c>
      <c r="B9" s="194" t="s">
        <v>13</v>
      </c>
      <c r="C9" s="13">
        <v>146824.0</v>
      </c>
    </row>
    <row r="10" spans="8:8">
      <c r="A10" s="3" t="s">
        <v>17</v>
      </c>
      <c r="B10" s="194" t="s">
        <v>13</v>
      </c>
      <c r="C10" s="6">
        <v>372400.0</v>
      </c>
    </row>
    <row r="11" spans="8:8">
      <c r="A11" s="3" t="s">
        <v>18</v>
      </c>
      <c r="B11" s="194" t="s">
        <v>13</v>
      </c>
      <c r="C11" s="6">
        <v>210472.0</v>
      </c>
    </row>
    <row r="12" spans="8:8">
      <c r="A12" s="3" t="s">
        <v>19</v>
      </c>
      <c r="B12" s="194" t="s">
        <v>13</v>
      </c>
      <c r="C12" s="6">
        <v>210472.0</v>
      </c>
    </row>
    <row r="13" spans="8:8">
      <c r="A13" s="14" t="s">
        <v>321</v>
      </c>
      <c r="B13" s="194" t="s">
        <v>13</v>
      </c>
      <c r="C13" s="6">
        <v>210472.0</v>
      </c>
    </row>
    <row r="14" spans="8:8">
      <c r="A14" s="18" t="s">
        <v>322</v>
      </c>
      <c r="B14" s="194" t="s">
        <v>13</v>
      </c>
      <c r="C14" s="6">
        <v>210472.0</v>
      </c>
    </row>
    <row r="15" spans="8:8">
      <c r="A15" s="18" t="s">
        <v>323</v>
      </c>
      <c r="B15" s="197" t="s">
        <v>13</v>
      </c>
      <c r="C15" s="6">
        <v>210472.0</v>
      </c>
    </row>
    <row r="16" spans="8:8">
      <c r="A16" s="18" t="s">
        <v>324</v>
      </c>
      <c r="B16" s="197" t="s">
        <v>13</v>
      </c>
      <c r="C16" s="6">
        <v>210472.0</v>
      </c>
    </row>
    <row r="17" spans="8:8">
      <c r="A17" s="3" t="s">
        <v>24</v>
      </c>
      <c r="B17" s="197" t="s">
        <v>13</v>
      </c>
      <c r="C17" s="6">
        <v>210472.0</v>
      </c>
    </row>
    <row r="18" spans="8:8">
      <c r="A18" s="3" t="s">
        <v>25</v>
      </c>
      <c r="B18" s="194" t="s">
        <v>13</v>
      </c>
      <c r="C18" s="6">
        <v>210472.0</v>
      </c>
    </row>
    <row r="19" spans="8:8">
      <c r="A19" s="3" t="s">
        <v>26</v>
      </c>
      <c r="B19" s="194" t="s">
        <v>13</v>
      </c>
      <c r="C19" s="6">
        <v>210472.0</v>
      </c>
    </row>
    <row r="20" spans="8:8">
      <c r="A20" s="3" t="s">
        <v>27</v>
      </c>
      <c r="B20" s="194" t="s">
        <v>13</v>
      </c>
      <c r="C20" s="6">
        <v>210472.0</v>
      </c>
    </row>
    <row r="21" spans="8:8">
      <c r="A21" s="3" t="s">
        <v>28</v>
      </c>
      <c r="B21" s="194" t="s">
        <v>13</v>
      </c>
      <c r="C21" s="6">
        <v>210472.0</v>
      </c>
    </row>
    <row r="22" spans="8:8">
      <c r="A22" s="3" t="s">
        <v>29</v>
      </c>
      <c r="B22" s="194" t="s">
        <v>13</v>
      </c>
      <c r="C22" s="6">
        <v>210472.0</v>
      </c>
    </row>
    <row r="23" spans="8:8">
      <c r="A23" s="14" t="s">
        <v>325</v>
      </c>
      <c r="B23" s="194" t="s">
        <v>13</v>
      </c>
      <c r="C23" s="6">
        <v>210472.0</v>
      </c>
    </row>
    <row r="24" spans="8:8">
      <c r="A24" s="3" t="s">
        <v>31</v>
      </c>
      <c r="B24" s="194" t="s">
        <v>13</v>
      </c>
      <c r="C24" s="6">
        <v>210472.0</v>
      </c>
    </row>
    <row r="25" spans="8:8">
      <c r="A25" s="3" t="s">
        <v>32</v>
      </c>
      <c r="B25" s="194" t="s">
        <v>13</v>
      </c>
      <c r="C25" s="6">
        <v>210472.0</v>
      </c>
    </row>
    <row r="26" spans="8:8">
      <c r="A26" s="3" t="s">
        <v>33</v>
      </c>
      <c r="B26" s="194" t="s">
        <v>13</v>
      </c>
      <c r="C26" s="6">
        <v>210472.0</v>
      </c>
    </row>
    <row r="27" spans="8:8">
      <c r="A27" s="3" t="s">
        <v>34</v>
      </c>
      <c r="B27" s="194" t="s">
        <v>13</v>
      </c>
      <c r="C27" s="13">
        <v>146824.0</v>
      </c>
    </row>
    <row r="28" spans="8:8">
      <c r="A28" s="3" t="s">
        <v>35</v>
      </c>
      <c r="B28" s="194" t="s">
        <v>13</v>
      </c>
      <c r="C28" s="13">
        <v>146824.0</v>
      </c>
    </row>
    <row r="29" spans="8:8">
      <c r="A29" s="3" t="s">
        <v>36</v>
      </c>
      <c r="B29" s="194" t="s">
        <v>13</v>
      </c>
      <c r="C29" s="13">
        <v>146824.0</v>
      </c>
    </row>
    <row r="30" spans="8:8">
      <c r="A30" s="3" t="s">
        <v>37</v>
      </c>
      <c r="B30" s="194" t="s">
        <v>13</v>
      </c>
      <c r="C30" s="13">
        <v>146824.0</v>
      </c>
    </row>
    <row r="31" spans="8:8">
      <c r="A31" s="3" t="s">
        <v>38</v>
      </c>
      <c r="B31" s="194" t="s">
        <v>13</v>
      </c>
      <c r="C31" s="13">
        <v>146824.0</v>
      </c>
    </row>
    <row r="32" spans="8:8">
      <c r="A32" s="15" t="s">
        <v>39</v>
      </c>
      <c r="B32" s="194" t="s">
        <v>13</v>
      </c>
      <c r="C32" s="13">
        <v>146824.0</v>
      </c>
    </row>
    <row r="33" spans="8:8" s="49" ht="15.0" customFormat="1">
      <c r="A33" s="3" t="s">
        <v>40</v>
      </c>
      <c r="B33" s="197" t="s">
        <v>13</v>
      </c>
      <c r="C33" s="13">
        <v>146824.0</v>
      </c>
    </row>
    <row r="34" spans="8:8">
      <c r="A34" s="15" t="s">
        <v>41</v>
      </c>
      <c r="B34" s="194" t="s">
        <v>13</v>
      </c>
      <c r="C34" s="13">
        <v>146824.0</v>
      </c>
    </row>
    <row r="35" spans="8:8" s="49" ht="15.0" customFormat="1">
      <c r="A35" s="3" t="s">
        <v>42</v>
      </c>
      <c r="B35" s="197" t="s">
        <v>13</v>
      </c>
      <c r="C35" s="13">
        <v>146824.0</v>
      </c>
    </row>
    <row r="36" spans="8:8">
      <c r="A36" s="3" t="s">
        <v>43</v>
      </c>
      <c r="B36" s="194" t="s">
        <v>13</v>
      </c>
      <c r="C36" s="13">
        <v>146824.0</v>
      </c>
    </row>
    <row r="37" spans="8:8">
      <c r="A37" s="3" t="s">
        <v>44</v>
      </c>
      <c r="B37" s="194" t="s">
        <v>13</v>
      </c>
      <c r="C37" s="13">
        <v>146824.0</v>
      </c>
    </row>
    <row r="38" spans="8:8">
      <c r="A38" s="3" t="s">
        <v>45</v>
      </c>
      <c r="B38" s="194" t="s">
        <v>13</v>
      </c>
      <c r="C38" s="6">
        <v>290032.0</v>
      </c>
    </row>
    <row r="39" spans="8:8">
      <c r="A39" s="3" t="s">
        <v>46</v>
      </c>
      <c r="B39" s="194" t="s">
        <v>13</v>
      </c>
      <c r="C39" s="6">
        <v>290032.0</v>
      </c>
    </row>
    <row r="40" spans="8:8">
      <c r="A40" s="3" t="s">
        <v>47</v>
      </c>
      <c r="B40" s="194" t="s">
        <v>13</v>
      </c>
      <c r="C40" s="6">
        <v>354928.0</v>
      </c>
    </row>
    <row r="41" spans="8:8">
      <c r="A41" s="3" t="s">
        <v>48</v>
      </c>
      <c r="B41" s="194" t="s">
        <v>13</v>
      </c>
      <c r="C41" s="6">
        <v>201112.0</v>
      </c>
    </row>
    <row r="42" spans="8:8">
      <c r="A42" s="3" t="s">
        <v>49</v>
      </c>
      <c r="B42" s="194" t="s">
        <v>13</v>
      </c>
      <c r="C42" s="13">
        <v>146824.0</v>
      </c>
    </row>
    <row r="43" spans="8:8">
      <c r="A43" s="18" t="s">
        <v>326</v>
      </c>
      <c r="B43" s="194" t="s">
        <v>13</v>
      </c>
      <c r="C43" s="13">
        <v>146824.0</v>
      </c>
    </row>
    <row r="44" spans="8:8" s="49" ht="15.0" customFormat="1">
      <c r="A44" s="3" t="s">
        <v>51</v>
      </c>
      <c r="B44" s="197" t="s">
        <v>13</v>
      </c>
      <c r="C44" s="13">
        <v>146824.0</v>
      </c>
    </row>
    <row r="45" spans="8:8">
      <c r="A45" s="3" t="s">
        <v>52</v>
      </c>
      <c r="B45" s="194" t="s">
        <v>13</v>
      </c>
      <c r="C45" s="13">
        <v>146824.0</v>
      </c>
    </row>
    <row r="46" spans="8:8">
      <c r="A46" s="14" t="s">
        <v>327</v>
      </c>
      <c r="B46" s="194" t="s">
        <v>13</v>
      </c>
      <c r="C46" s="13">
        <v>146824.0</v>
      </c>
    </row>
    <row r="47" spans="8:8">
      <c r="A47" s="3" t="s">
        <v>54</v>
      </c>
      <c r="B47" s="194" t="s">
        <v>13</v>
      </c>
      <c r="C47" s="13">
        <v>146824.0</v>
      </c>
    </row>
    <row r="48" spans="8:8">
      <c r="A48" s="15" t="s">
        <v>55</v>
      </c>
      <c r="B48" s="194" t="s">
        <v>13</v>
      </c>
      <c r="C48" s="13">
        <v>146824.0</v>
      </c>
    </row>
    <row r="49" spans="8:8" s="49" ht="15.0" customFormat="1">
      <c r="A49" s="3" t="s">
        <v>56</v>
      </c>
      <c r="B49" s="198" t="s">
        <v>13</v>
      </c>
      <c r="C49" s="37">
        <v>154000.0</v>
      </c>
    </row>
    <row r="50" spans="8:8">
      <c r="A50" s="10" t="s">
        <v>59</v>
      </c>
      <c r="B50" s="194" t="s">
        <v>60</v>
      </c>
      <c r="C50" s="6">
        <v>137320.01</v>
      </c>
    </row>
    <row r="51" spans="8:8">
      <c r="A51" s="3" t="s">
        <v>61</v>
      </c>
      <c r="B51" s="194" t="s">
        <v>60</v>
      </c>
      <c r="C51" s="13">
        <v>244960.0</v>
      </c>
    </row>
    <row r="52" spans="8:8">
      <c r="A52" s="3" t="s">
        <v>62</v>
      </c>
      <c r="B52" s="194" t="s">
        <v>60</v>
      </c>
      <c r="C52" s="6">
        <v>137320.01</v>
      </c>
    </row>
    <row r="53" spans="8:8">
      <c r="A53" s="3" t="s">
        <v>63</v>
      </c>
      <c r="B53" s="194" t="s">
        <v>60</v>
      </c>
      <c r="C53" s="6">
        <v>137320.01</v>
      </c>
    </row>
    <row r="54" spans="8:8">
      <c r="A54" s="10" t="s">
        <v>64</v>
      </c>
      <c r="B54" s="195" t="s">
        <v>65</v>
      </c>
      <c r="C54" s="13">
        <v>107680.01</v>
      </c>
    </row>
    <row r="55" spans="8:8">
      <c r="A55" s="3" t="s">
        <v>66</v>
      </c>
      <c r="B55" s="194" t="s">
        <v>65</v>
      </c>
      <c r="C55" s="13">
        <v>112984.01</v>
      </c>
    </row>
    <row r="56" spans="8:8">
      <c r="A56" s="3" t="s">
        <v>67</v>
      </c>
      <c r="B56" s="194" t="s">
        <v>65</v>
      </c>
      <c r="C56" s="6">
        <v>107680.01</v>
      </c>
    </row>
    <row r="57" spans="8:8">
      <c r="A57" s="3" t="s">
        <v>68</v>
      </c>
      <c r="B57" s="194" t="s">
        <v>65</v>
      </c>
      <c r="C57" s="6">
        <v>112984.01</v>
      </c>
    </row>
    <row r="58" spans="8:8">
      <c r="A58" s="3" t="s">
        <v>69</v>
      </c>
      <c r="B58" s="194" t="s">
        <v>65</v>
      </c>
      <c r="C58" s="6">
        <v>132328.01</v>
      </c>
    </row>
    <row r="59" spans="8:8">
      <c r="A59" s="3" t="s">
        <v>70</v>
      </c>
      <c r="B59" s="194" t="s">
        <v>65</v>
      </c>
      <c r="C59" s="6">
        <v>107680.01</v>
      </c>
    </row>
    <row r="60" spans="8:8">
      <c r="A60" s="15" t="s">
        <v>71</v>
      </c>
      <c r="B60" s="197" t="s">
        <v>65</v>
      </c>
      <c r="C60" s="6">
        <v>122344.01</v>
      </c>
    </row>
    <row r="61" spans="8:8">
      <c r="A61" s="15" t="s">
        <v>72</v>
      </c>
      <c r="B61" s="197" t="s">
        <v>65</v>
      </c>
      <c r="C61" s="6">
        <v>112984.01</v>
      </c>
    </row>
    <row r="62" spans="8:8">
      <c r="A62" s="3" t="s">
        <v>73</v>
      </c>
      <c r="B62" s="194" t="s">
        <v>65</v>
      </c>
      <c r="C62" s="6">
        <v>107680.01</v>
      </c>
    </row>
    <row r="63" spans="8:8">
      <c r="A63" s="3" t="s">
        <v>74</v>
      </c>
      <c r="B63" s="194" t="s">
        <v>65</v>
      </c>
      <c r="C63" s="6">
        <v>112984.01</v>
      </c>
    </row>
    <row r="64" spans="8:8">
      <c r="A64" s="3" t="s">
        <v>75</v>
      </c>
      <c r="B64" s="194" t="s">
        <v>65</v>
      </c>
      <c r="C64" s="6">
        <v>160720.01</v>
      </c>
    </row>
    <row r="65" spans="8:8">
      <c r="A65" s="3" t="s">
        <v>76</v>
      </c>
      <c r="B65" s="194" t="s">
        <v>65</v>
      </c>
      <c r="C65" s="6">
        <v>107680.01</v>
      </c>
    </row>
    <row r="66" spans="8:8">
      <c r="A66" s="3" t="s">
        <v>77</v>
      </c>
      <c r="B66" s="194" t="s">
        <v>65</v>
      </c>
      <c r="C66" s="6">
        <v>112984.01</v>
      </c>
    </row>
    <row r="67" spans="8:8">
      <c r="A67" s="3" t="s">
        <v>78</v>
      </c>
      <c r="B67" s="194" t="s">
        <v>65</v>
      </c>
      <c r="C67" s="6">
        <v>122344.01</v>
      </c>
    </row>
    <row r="68" spans="8:8">
      <c r="A68" s="3" t="s">
        <v>79</v>
      </c>
      <c r="B68" s="194" t="s">
        <v>65</v>
      </c>
      <c r="C68" s="6">
        <v>132328.01</v>
      </c>
    </row>
    <row r="69" spans="8:8">
      <c r="A69" s="3" t="s">
        <v>80</v>
      </c>
      <c r="B69" s="194" t="s">
        <v>65</v>
      </c>
      <c r="C69" s="6">
        <v>107680.01</v>
      </c>
    </row>
    <row r="70" spans="8:8">
      <c r="A70" s="3" t="s">
        <v>81</v>
      </c>
      <c r="B70" s="194" t="s">
        <v>65</v>
      </c>
      <c r="C70" s="6">
        <v>112984.01</v>
      </c>
    </row>
    <row r="71" spans="8:8">
      <c r="A71" s="3" t="s">
        <v>82</v>
      </c>
      <c r="B71" s="194" t="s">
        <v>65</v>
      </c>
      <c r="C71" s="6">
        <v>190360.01</v>
      </c>
    </row>
    <row r="72" spans="8:8">
      <c r="A72" s="3" t="s">
        <v>83</v>
      </c>
      <c r="B72" s="194" t="s">
        <v>65</v>
      </c>
      <c r="C72" s="6">
        <v>200968.01</v>
      </c>
    </row>
    <row r="73" spans="8:8">
      <c r="A73" s="3" t="s">
        <v>84</v>
      </c>
      <c r="B73" s="194" t="s">
        <v>65</v>
      </c>
      <c r="C73" s="6">
        <v>112984.01</v>
      </c>
    </row>
    <row r="74" spans="8:8">
      <c r="A74" s="3" t="s">
        <v>85</v>
      </c>
      <c r="B74" s="194" t="s">
        <v>65</v>
      </c>
      <c r="C74" s="6">
        <v>200968.01</v>
      </c>
    </row>
    <row r="75" spans="8:8">
      <c r="A75" s="15" t="s">
        <v>86</v>
      </c>
      <c r="B75" s="197" t="s">
        <v>65</v>
      </c>
      <c r="C75" s="6">
        <v>112984.01</v>
      </c>
    </row>
    <row r="76" spans="8:8" s="49" ht="15.0" customFormat="1">
      <c r="A76" s="3" t="s">
        <v>87</v>
      </c>
      <c r="B76" s="194" t="s">
        <v>65</v>
      </c>
      <c r="C76" s="17">
        <v>122344.01</v>
      </c>
    </row>
    <row r="77" spans="8:8">
      <c r="A77" s="3" t="s">
        <v>88</v>
      </c>
      <c r="B77" s="194" t="s">
        <v>65</v>
      </c>
      <c r="C77" s="6">
        <v>132328.01</v>
      </c>
    </row>
    <row r="78" spans="8:8">
      <c r="A78" s="3" t="s">
        <v>89</v>
      </c>
      <c r="B78" s="194" t="s">
        <v>65</v>
      </c>
      <c r="C78" s="6">
        <v>146680.01</v>
      </c>
    </row>
    <row r="79" spans="8:8">
      <c r="A79" s="3" t="s">
        <v>90</v>
      </c>
      <c r="B79" s="194" t="s">
        <v>65</v>
      </c>
      <c r="C79" s="6">
        <v>155728.01</v>
      </c>
    </row>
    <row r="80" spans="8:8">
      <c r="A80" s="3" t="s">
        <v>91</v>
      </c>
      <c r="B80" s="194" t="s">
        <v>65</v>
      </c>
      <c r="C80" s="6">
        <v>163528.01</v>
      </c>
    </row>
    <row r="81" spans="8:8">
      <c r="A81" s="3" t="s">
        <v>92</v>
      </c>
      <c r="B81" s="194" t="s">
        <v>65</v>
      </c>
      <c r="C81" s="6">
        <v>107680.01</v>
      </c>
    </row>
    <row r="82" spans="8:8">
      <c r="A82" s="3" t="s">
        <v>93</v>
      </c>
      <c r="B82" s="194" t="s">
        <v>65</v>
      </c>
      <c r="C82" s="6">
        <v>112984.01</v>
      </c>
    </row>
    <row r="83" spans="8:8">
      <c r="A83" s="3" t="s">
        <v>94</v>
      </c>
      <c r="B83" s="194" t="s">
        <v>65</v>
      </c>
      <c r="C83" s="6">
        <v>132328.01</v>
      </c>
    </row>
    <row r="84" spans="8:8">
      <c r="A84" s="3" t="s">
        <v>95</v>
      </c>
      <c r="B84" s="194" t="s">
        <v>65</v>
      </c>
      <c r="C84" s="6">
        <v>112984.01</v>
      </c>
    </row>
    <row r="85" spans="8:8">
      <c r="A85" s="3" t="s">
        <v>96</v>
      </c>
      <c r="B85" s="194" t="s">
        <v>65</v>
      </c>
      <c r="C85" s="6">
        <v>132328.01</v>
      </c>
    </row>
    <row r="86" spans="8:8">
      <c r="A86" s="3" t="s">
        <v>97</v>
      </c>
      <c r="B86" s="194" t="s">
        <v>65</v>
      </c>
      <c r="C86" s="6">
        <v>107680.01</v>
      </c>
    </row>
    <row r="87" spans="8:8">
      <c r="A87" s="15" t="s">
        <v>98</v>
      </c>
      <c r="B87" s="197" t="s">
        <v>65</v>
      </c>
      <c r="C87" s="6">
        <v>112984.01</v>
      </c>
    </row>
    <row r="88" spans="8:8" s="49" ht="15.0" customFormat="1">
      <c r="A88" s="3" t="s">
        <v>99</v>
      </c>
      <c r="B88" s="194" t="s">
        <v>65</v>
      </c>
      <c r="C88" s="17">
        <v>132328.01</v>
      </c>
    </row>
    <row r="89" spans="8:8">
      <c r="A89" s="3" t="s">
        <v>100</v>
      </c>
      <c r="B89" s="194" t="s">
        <v>65</v>
      </c>
      <c r="C89" s="6">
        <v>155728.01</v>
      </c>
    </row>
    <row r="90" spans="8:8">
      <c r="A90" s="3" t="s">
        <v>101</v>
      </c>
      <c r="B90" s="194" t="s">
        <v>65</v>
      </c>
      <c r="C90" s="6">
        <v>163528.01</v>
      </c>
    </row>
    <row r="91" spans="8:8">
      <c r="A91" s="3" t="s">
        <v>102</v>
      </c>
      <c r="B91" s="194" t="s">
        <v>65</v>
      </c>
      <c r="C91" s="6">
        <v>112048.01</v>
      </c>
    </row>
    <row r="92" spans="8:8">
      <c r="A92" s="3" t="s">
        <v>103</v>
      </c>
      <c r="B92" s="194" t="s">
        <v>65</v>
      </c>
      <c r="C92" s="6">
        <v>107680.01</v>
      </c>
    </row>
    <row r="93" spans="8:8">
      <c r="A93" s="15" t="s">
        <v>104</v>
      </c>
      <c r="B93" s="197" t="s">
        <v>65</v>
      </c>
      <c r="C93" s="6">
        <v>112984.01</v>
      </c>
    </row>
    <row r="94" spans="8:8" s="49" ht="15.0" customFormat="1">
      <c r="A94" s="3" t="s">
        <v>105</v>
      </c>
      <c r="B94" s="194" t="s">
        <v>65</v>
      </c>
      <c r="C94" s="6">
        <v>122344.01</v>
      </c>
    </row>
    <row r="95" spans="8:8">
      <c r="A95" s="3" t="s">
        <v>108</v>
      </c>
      <c r="B95" s="194" t="s">
        <v>65</v>
      </c>
      <c r="C95" s="6">
        <v>112984.01</v>
      </c>
    </row>
    <row r="96" spans="8:8">
      <c r="A96" s="3" t="s">
        <v>109</v>
      </c>
      <c r="B96" s="194" t="s">
        <v>65</v>
      </c>
      <c r="C96" s="6">
        <v>122344.01</v>
      </c>
    </row>
    <row r="97" spans="8:8">
      <c r="A97" s="3" t="s">
        <v>110</v>
      </c>
      <c r="B97" s="194" t="s">
        <v>65</v>
      </c>
      <c r="C97" s="6">
        <v>152608.0</v>
      </c>
    </row>
    <row r="98" spans="8:8">
      <c r="A98" s="3" t="s">
        <v>111</v>
      </c>
      <c r="B98" s="194" t="s">
        <v>65</v>
      </c>
      <c r="C98" s="6">
        <v>107680.01</v>
      </c>
    </row>
    <row r="99" spans="8:8">
      <c r="A99" s="3" t="s">
        <v>112</v>
      </c>
      <c r="B99" s="194" t="s">
        <v>65</v>
      </c>
      <c r="C99" s="6">
        <v>112984.01</v>
      </c>
    </row>
    <row r="100" spans="8:8">
      <c r="A100" s="3" t="s">
        <v>113</v>
      </c>
      <c r="B100" s="194" t="s">
        <v>65</v>
      </c>
      <c r="C100" s="6">
        <v>122344.01</v>
      </c>
    </row>
    <row r="101" spans="8:8">
      <c r="A101" s="3" t="s">
        <v>114</v>
      </c>
      <c r="B101" s="194" t="s">
        <v>65</v>
      </c>
      <c r="C101" s="6">
        <v>107680.01</v>
      </c>
    </row>
    <row r="102" spans="8:8">
      <c r="A102" s="3" t="s">
        <v>115</v>
      </c>
      <c r="B102" s="194" t="s">
        <v>65</v>
      </c>
      <c r="C102" s="6">
        <v>112984.01</v>
      </c>
    </row>
    <row r="103" spans="8:8">
      <c r="A103" s="3" t="s">
        <v>116</v>
      </c>
      <c r="B103" s="194" t="s">
        <v>65</v>
      </c>
      <c r="C103" s="6">
        <v>122344.01</v>
      </c>
    </row>
    <row r="104" spans="8:8">
      <c r="A104" s="3" t="s">
        <v>117</v>
      </c>
      <c r="B104" s="194" t="s">
        <v>65</v>
      </c>
      <c r="C104" s="6">
        <v>112984.01</v>
      </c>
    </row>
    <row r="105" spans="8:8">
      <c r="A105" s="3" t="s">
        <v>118</v>
      </c>
      <c r="B105" s="194" t="s">
        <v>65</v>
      </c>
      <c r="C105" s="6">
        <v>107680.01</v>
      </c>
    </row>
    <row r="106" spans="8:8">
      <c r="A106" s="3" t="s">
        <v>119</v>
      </c>
      <c r="B106" s="194" t="s">
        <v>65</v>
      </c>
      <c r="C106" s="6">
        <v>112984.01</v>
      </c>
    </row>
    <row r="107" spans="8:8">
      <c r="A107" s="3" t="s">
        <v>120</v>
      </c>
      <c r="B107" s="194" t="s">
        <v>65</v>
      </c>
      <c r="C107" s="6">
        <v>190360.01</v>
      </c>
    </row>
    <row r="108" spans="8:8">
      <c r="A108" s="3" t="s">
        <v>121</v>
      </c>
      <c r="B108" s="194" t="s">
        <v>65</v>
      </c>
      <c r="C108" s="6">
        <v>200968.01</v>
      </c>
    </row>
    <row r="109" spans="8:8">
      <c r="A109" s="3" t="s">
        <v>122</v>
      </c>
      <c r="B109" s="194" t="s">
        <v>65</v>
      </c>
      <c r="C109" s="6">
        <v>107680.01</v>
      </c>
    </row>
    <row r="110" spans="8:8">
      <c r="A110" s="3" t="s">
        <v>123</v>
      </c>
      <c r="B110" s="194" t="s">
        <v>65</v>
      </c>
      <c r="C110" s="6">
        <v>112984.01</v>
      </c>
    </row>
    <row r="111" spans="8:8">
      <c r="A111" s="3" t="s">
        <v>124</v>
      </c>
      <c r="B111" s="194" t="s">
        <v>65</v>
      </c>
      <c r="C111" s="6">
        <v>122344.01</v>
      </c>
    </row>
    <row r="112" spans="8:8">
      <c r="A112" s="3" t="s">
        <v>125</v>
      </c>
      <c r="B112" s="194" t="s">
        <v>65</v>
      </c>
      <c r="C112" s="6">
        <v>132328.01</v>
      </c>
    </row>
    <row r="113" spans="8:8">
      <c r="A113" s="3" t="s">
        <v>126</v>
      </c>
      <c r="B113" s="194" t="s">
        <v>65</v>
      </c>
      <c r="C113" s="6">
        <v>146680.01</v>
      </c>
    </row>
    <row r="114" spans="8:8">
      <c r="A114" s="3" t="s">
        <v>127</v>
      </c>
      <c r="B114" s="194" t="s">
        <v>65</v>
      </c>
      <c r="C114" s="6">
        <v>190360.01</v>
      </c>
    </row>
    <row r="115" spans="8:8">
      <c r="A115" s="3" t="s">
        <v>128</v>
      </c>
      <c r="B115" s="194" t="s">
        <v>65</v>
      </c>
      <c r="C115" s="6">
        <v>200968.01</v>
      </c>
    </row>
    <row r="116" spans="8:8">
      <c r="A116" s="3" t="s">
        <v>129</v>
      </c>
      <c r="B116" s="194" t="s">
        <v>65</v>
      </c>
      <c r="C116" s="6">
        <v>219688.01</v>
      </c>
    </row>
    <row r="117" spans="8:8">
      <c r="A117" s="3" t="s">
        <v>130</v>
      </c>
      <c r="B117" s="194" t="s">
        <v>65</v>
      </c>
      <c r="C117" s="6">
        <v>239656.01</v>
      </c>
    </row>
    <row r="118" spans="8:8">
      <c r="A118" s="3" t="s">
        <v>131</v>
      </c>
      <c r="B118" s="194" t="s">
        <v>65</v>
      </c>
      <c r="C118" s="6">
        <v>268360.01</v>
      </c>
    </row>
    <row r="119" spans="8:8">
      <c r="A119" s="3" t="s">
        <v>132</v>
      </c>
      <c r="B119" s="194" t="s">
        <v>65</v>
      </c>
      <c r="C119" s="6">
        <v>107680.01</v>
      </c>
    </row>
    <row r="120" spans="8:8">
      <c r="A120" s="3" t="s">
        <v>133</v>
      </c>
      <c r="B120" s="194" t="s">
        <v>65</v>
      </c>
      <c r="C120" s="6">
        <v>112984.01</v>
      </c>
    </row>
    <row r="121" spans="8:8">
      <c r="A121" s="3" t="s">
        <v>134</v>
      </c>
      <c r="B121" s="194" t="s">
        <v>65</v>
      </c>
      <c r="C121" s="6">
        <v>122344.01</v>
      </c>
    </row>
    <row r="122" spans="8:8">
      <c r="A122" s="3" t="s">
        <v>135</v>
      </c>
      <c r="B122" s="194" t="s">
        <v>65</v>
      </c>
      <c r="C122" s="6">
        <v>107680.01</v>
      </c>
    </row>
    <row r="123" spans="8:8">
      <c r="A123" s="3" t="s">
        <v>136</v>
      </c>
      <c r="B123" s="194" t="s">
        <v>65</v>
      </c>
      <c r="C123" s="6">
        <v>112984.01</v>
      </c>
    </row>
    <row r="124" spans="8:8">
      <c r="A124" s="3" t="s">
        <v>137</v>
      </c>
      <c r="B124" s="194" t="s">
        <v>65</v>
      </c>
      <c r="C124" s="6">
        <v>190360.01</v>
      </c>
    </row>
    <row r="125" spans="8:8">
      <c r="A125" s="3" t="s">
        <v>138</v>
      </c>
      <c r="B125" s="194" t="s">
        <v>65</v>
      </c>
      <c r="C125" s="6">
        <v>200968.01</v>
      </c>
    </row>
    <row r="126" spans="8:8">
      <c r="A126" s="3" t="s">
        <v>139</v>
      </c>
      <c r="B126" s="194" t="s">
        <v>65</v>
      </c>
      <c r="C126" s="6">
        <v>112984.01</v>
      </c>
    </row>
    <row r="127" spans="8:8">
      <c r="A127" s="3" t="s">
        <v>140</v>
      </c>
      <c r="B127" s="194" t="s">
        <v>65</v>
      </c>
      <c r="C127" s="6">
        <v>122344.01</v>
      </c>
    </row>
    <row r="128" spans="8:8">
      <c r="A128" s="3" t="s">
        <v>141</v>
      </c>
      <c r="B128" s="194" t="s">
        <v>65</v>
      </c>
      <c r="C128" s="6">
        <v>122344.01</v>
      </c>
    </row>
    <row r="129" spans="8:8">
      <c r="A129" s="3" t="s">
        <v>142</v>
      </c>
      <c r="B129" s="194" t="s">
        <v>65</v>
      </c>
      <c r="C129" s="6">
        <v>190360.01</v>
      </c>
    </row>
    <row r="130" spans="8:8">
      <c r="A130" s="3" t="s">
        <v>143</v>
      </c>
      <c r="B130" s="194" t="s">
        <v>65</v>
      </c>
      <c r="C130" s="6">
        <v>200968.01</v>
      </c>
    </row>
    <row r="131" spans="8:8">
      <c r="A131" s="3" t="s">
        <v>144</v>
      </c>
      <c r="B131" s="194" t="s">
        <v>65</v>
      </c>
      <c r="C131" s="6">
        <v>219688.01</v>
      </c>
    </row>
    <row r="132" spans="8:8">
      <c r="A132" s="3" t="s">
        <v>145</v>
      </c>
      <c r="B132" s="194" t="s">
        <v>65</v>
      </c>
      <c r="C132" s="6">
        <v>107680.01</v>
      </c>
    </row>
    <row r="133" spans="8:8">
      <c r="A133" s="3" t="s">
        <v>146</v>
      </c>
      <c r="B133" s="194" t="s">
        <v>65</v>
      </c>
      <c r="C133" s="6">
        <v>112984.01</v>
      </c>
    </row>
    <row r="134" spans="8:8">
      <c r="A134" s="3" t="s">
        <v>147</v>
      </c>
      <c r="B134" s="194" t="s">
        <v>65</v>
      </c>
      <c r="C134" s="6">
        <v>122344.01</v>
      </c>
    </row>
    <row r="135" spans="8:8">
      <c r="A135" s="3" t="s">
        <v>148</v>
      </c>
      <c r="B135" s="194" t="s">
        <v>65</v>
      </c>
      <c r="C135" s="6">
        <v>112984.01</v>
      </c>
    </row>
    <row r="136" spans="8:8">
      <c r="A136" s="3" t="s">
        <v>149</v>
      </c>
      <c r="B136" s="194" t="s">
        <v>65</v>
      </c>
      <c r="C136" s="6">
        <v>122344.01</v>
      </c>
    </row>
    <row r="137" spans="8:8">
      <c r="A137" s="3" t="s">
        <v>150</v>
      </c>
      <c r="B137" s="194" t="s">
        <v>65</v>
      </c>
      <c r="C137" s="6">
        <v>155728.01</v>
      </c>
    </row>
    <row r="138" spans="8:8">
      <c r="A138" s="3" t="s">
        <v>151</v>
      </c>
      <c r="B138" s="194" t="s">
        <v>65</v>
      </c>
      <c r="C138" s="6">
        <v>200968.01</v>
      </c>
    </row>
    <row r="139" spans="8:8">
      <c r="A139" s="3" t="s">
        <v>152</v>
      </c>
      <c r="B139" s="194" t="s">
        <v>65</v>
      </c>
      <c r="C139" s="6">
        <v>219688.01</v>
      </c>
    </row>
    <row r="140" spans="8:8">
      <c r="A140" s="3" t="s">
        <v>153</v>
      </c>
      <c r="B140" s="194" t="s">
        <v>65</v>
      </c>
      <c r="C140" s="6">
        <v>430600.01</v>
      </c>
    </row>
    <row r="141" spans="8:8">
      <c r="A141" s="3" t="s">
        <v>154</v>
      </c>
      <c r="B141" s="194" t="s">
        <v>65</v>
      </c>
      <c r="C141" s="6">
        <v>103000.01</v>
      </c>
    </row>
    <row r="142" spans="8:8">
      <c r="A142" s="3" t="s">
        <v>155</v>
      </c>
      <c r="B142" s="194" t="s">
        <v>65</v>
      </c>
      <c r="C142" s="6">
        <v>107680.01</v>
      </c>
    </row>
    <row r="143" spans="8:8">
      <c r="A143" s="3" t="s">
        <v>156</v>
      </c>
      <c r="B143" s="194" t="s">
        <v>65</v>
      </c>
      <c r="C143" s="6">
        <v>112984.01</v>
      </c>
    </row>
    <row r="144" spans="8:8">
      <c r="A144" s="3" t="s">
        <v>157</v>
      </c>
      <c r="B144" s="194" t="s">
        <v>65</v>
      </c>
      <c r="C144" s="6">
        <v>107680.01</v>
      </c>
    </row>
    <row r="145" spans="8:8">
      <c r="A145" s="3" t="s">
        <v>158</v>
      </c>
      <c r="B145" s="194" t="s">
        <v>65</v>
      </c>
      <c r="C145" s="6">
        <v>112984.01</v>
      </c>
    </row>
    <row r="146" spans="8:8">
      <c r="A146" s="3" t="s">
        <v>159</v>
      </c>
      <c r="B146" s="194" t="s">
        <v>65</v>
      </c>
      <c r="C146" s="6">
        <v>122344.01</v>
      </c>
    </row>
    <row r="147" spans="8:8">
      <c r="A147" s="3" t="s">
        <v>160</v>
      </c>
      <c r="B147" s="194" t="s">
        <v>65</v>
      </c>
      <c r="C147" s="6">
        <v>112984.01</v>
      </c>
    </row>
    <row r="148" spans="8:8">
      <c r="A148" s="3" t="s">
        <v>161</v>
      </c>
      <c r="B148" s="194" t="s">
        <v>65</v>
      </c>
      <c r="C148" s="6">
        <v>122344.01</v>
      </c>
    </row>
    <row r="149" spans="8:8">
      <c r="A149" s="3" t="s">
        <v>162</v>
      </c>
      <c r="B149" s="194" t="s">
        <v>65</v>
      </c>
      <c r="C149" s="6">
        <v>200968.01</v>
      </c>
    </row>
    <row r="150" spans="8:8">
      <c r="A150" s="3" t="s">
        <v>163</v>
      </c>
      <c r="B150" s="194" t="s">
        <v>65</v>
      </c>
      <c r="C150" s="6">
        <v>219688.01</v>
      </c>
    </row>
    <row r="151" spans="8:8">
      <c r="A151" s="3" t="s">
        <v>164</v>
      </c>
      <c r="B151" s="194" t="s">
        <v>65</v>
      </c>
      <c r="C151" s="6">
        <v>102128.01</v>
      </c>
    </row>
    <row r="152" spans="8:8">
      <c r="A152" s="3" t="s">
        <v>165</v>
      </c>
      <c r="B152" s="194" t="s">
        <v>65</v>
      </c>
      <c r="C152" s="6">
        <v>110488.01</v>
      </c>
    </row>
    <row r="153" spans="8:8">
      <c r="A153" s="3" t="s">
        <v>166</v>
      </c>
      <c r="B153" s="194" t="s">
        <v>65</v>
      </c>
      <c r="C153" s="6">
        <v>107680.01</v>
      </c>
    </row>
    <row r="154" spans="8:8">
      <c r="A154" s="3" t="s">
        <v>167</v>
      </c>
      <c r="B154" s="194" t="s">
        <v>65</v>
      </c>
      <c r="C154" s="6">
        <v>112984.01</v>
      </c>
    </row>
    <row r="155" spans="8:8">
      <c r="A155" s="3" t="s">
        <v>168</v>
      </c>
      <c r="B155" s="194" t="s">
        <v>65</v>
      </c>
      <c r="C155" s="6">
        <v>190360.01</v>
      </c>
    </row>
    <row r="156" spans="8:8">
      <c r="A156" s="3" t="s">
        <v>169</v>
      </c>
      <c r="B156" s="194" t="s">
        <v>65</v>
      </c>
      <c r="C156" s="6">
        <v>200968.01</v>
      </c>
    </row>
    <row r="157" spans="8:8">
      <c r="A157" s="3" t="s">
        <v>170</v>
      </c>
      <c r="B157" s="194" t="s">
        <v>65</v>
      </c>
      <c r="C157" s="6">
        <v>107680.01</v>
      </c>
    </row>
    <row r="158" spans="8:8">
      <c r="A158" s="3" t="s">
        <v>171</v>
      </c>
      <c r="B158" s="194" t="s">
        <v>65</v>
      </c>
      <c r="C158" s="6">
        <v>112984.01</v>
      </c>
    </row>
    <row r="159" spans="8:8">
      <c r="A159" s="3" t="s">
        <v>172</v>
      </c>
      <c r="B159" s="194" t="s">
        <v>65</v>
      </c>
      <c r="C159" s="6">
        <v>122344.01</v>
      </c>
    </row>
    <row r="160" spans="8:8">
      <c r="A160" s="3" t="s">
        <v>173</v>
      </c>
      <c r="B160" s="194" t="s">
        <v>65</v>
      </c>
      <c r="C160" s="6">
        <v>190360.01</v>
      </c>
    </row>
    <row r="161" spans="8:8">
      <c r="A161" s="3" t="s">
        <v>174</v>
      </c>
      <c r="B161" s="194" t="s">
        <v>65</v>
      </c>
      <c r="C161" s="6">
        <v>200968.01</v>
      </c>
    </row>
    <row r="162" spans="8:8">
      <c r="A162" s="3" t="s">
        <v>175</v>
      </c>
      <c r="B162" s="194" t="s">
        <v>65</v>
      </c>
      <c r="C162" s="6">
        <v>219688.01</v>
      </c>
    </row>
    <row r="163" spans="8:8">
      <c r="A163" s="3" t="s">
        <v>176</v>
      </c>
      <c r="B163" s="194" t="s">
        <v>65</v>
      </c>
      <c r="C163" s="6">
        <v>102064.01</v>
      </c>
    </row>
    <row r="164" spans="8:8">
      <c r="A164" s="3" t="s">
        <v>177</v>
      </c>
      <c r="B164" s="194" t="s">
        <v>65</v>
      </c>
      <c r="C164" s="6">
        <v>122344.01</v>
      </c>
    </row>
    <row r="165" spans="8:8">
      <c r="A165" s="3" t="s">
        <v>178</v>
      </c>
      <c r="B165" s="194" t="s">
        <v>65</v>
      </c>
      <c r="C165" s="6">
        <v>1543504.01</v>
      </c>
    </row>
    <row r="166" spans="8:8">
      <c r="A166" s="3" t="s">
        <v>179</v>
      </c>
      <c r="B166" s="194" t="s">
        <v>65</v>
      </c>
      <c r="C166" s="6">
        <v>212512.01</v>
      </c>
    </row>
    <row r="167" spans="8:8">
      <c r="A167" s="3" t="s">
        <v>180</v>
      </c>
      <c r="B167" s="194" t="s">
        <v>65</v>
      </c>
      <c r="C167" s="6">
        <v>112984.01</v>
      </c>
    </row>
    <row r="168" spans="8:8">
      <c r="A168" s="3" t="s">
        <v>181</v>
      </c>
      <c r="B168" s="194" t="s">
        <v>65</v>
      </c>
      <c r="C168" s="6">
        <v>200968.01</v>
      </c>
    </row>
    <row r="169" spans="8:8">
      <c r="A169" s="3" t="s">
        <v>182</v>
      </c>
      <c r="B169" s="194" t="s">
        <v>65</v>
      </c>
      <c r="C169" s="6">
        <v>107680.01</v>
      </c>
    </row>
    <row r="170" spans="8:8">
      <c r="A170" s="3" t="s">
        <v>183</v>
      </c>
      <c r="B170" s="194" t="s">
        <v>65</v>
      </c>
      <c r="C170" s="6">
        <v>112984.01</v>
      </c>
    </row>
    <row r="171" spans="8:8">
      <c r="A171" s="3" t="s">
        <v>184</v>
      </c>
      <c r="B171" s="194" t="s">
        <v>65</v>
      </c>
      <c r="C171" s="6">
        <v>122344.01</v>
      </c>
    </row>
    <row r="172" spans="8:8">
      <c r="A172" s="3" t="s">
        <v>185</v>
      </c>
      <c r="B172" s="194" t="s">
        <v>65</v>
      </c>
      <c r="C172" s="6">
        <v>190360.01</v>
      </c>
    </row>
    <row r="173" spans="8:8">
      <c r="A173" s="3" t="s">
        <v>186</v>
      </c>
      <c r="B173" s="194" t="s">
        <v>65</v>
      </c>
      <c r="C173" s="6">
        <v>200968.01</v>
      </c>
    </row>
    <row r="174" spans="8:8">
      <c r="A174" s="3" t="s">
        <v>187</v>
      </c>
      <c r="B174" s="194" t="s">
        <v>65</v>
      </c>
      <c r="C174" s="6">
        <v>219688.01</v>
      </c>
    </row>
    <row r="175" spans="8:8">
      <c r="A175" s="15" t="s">
        <v>188</v>
      </c>
      <c r="B175" s="194" t="s">
        <v>65</v>
      </c>
      <c r="C175" s="6">
        <v>107680.01</v>
      </c>
    </row>
    <row r="176" spans="8:8">
      <c r="A176" s="3" t="s">
        <v>189</v>
      </c>
      <c r="B176" s="194" t="s">
        <v>65</v>
      </c>
      <c r="C176" s="6">
        <v>112984.01</v>
      </c>
    </row>
    <row r="177" spans="8:8">
      <c r="A177" s="3" t="s">
        <v>190</v>
      </c>
      <c r="B177" s="197" t="s">
        <v>65</v>
      </c>
      <c r="C177" s="6">
        <v>107680.01</v>
      </c>
    </row>
    <row r="178" spans="8:8" s="49" ht="15.0" customFormat="1">
      <c r="A178" s="3" t="s">
        <v>191</v>
      </c>
      <c r="B178" s="194" t="s">
        <v>65</v>
      </c>
      <c r="C178" s="6">
        <v>112984.01</v>
      </c>
    </row>
    <row r="179" spans="8:8">
      <c r="A179" s="3" t="s">
        <v>192</v>
      </c>
      <c r="B179" s="194" t="s">
        <v>65</v>
      </c>
      <c r="C179" s="6">
        <v>122334.01</v>
      </c>
    </row>
    <row r="180" spans="8:8">
      <c r="A180" s="3" t="s">
        <v>193</v>
      </c>
      <c r="B180" s="194" t="s">
        <v>65</v>
      </c>
      <c r="C180" s="6">
        <v>107680.01</v>
      </c>
    </row>
    <row r="181" spans="8:8">
      <c r="A181" s="3" t="s">
        <v>194</v>
      </c>
      <c r="B181" s="194" t="s">
        <v>65</v>
      </c>
      <c r="C181" s="6">
        <v>112984.01</v>
      </c>
    </row>
    <row r="182" spans="8:8">
      <c r="A182" s="10" t="s">
        <v>197</v>
      </c>
      <c r="B182" s="194" t="s">
        <v>65</v>
      </c>
      <c r="C182" s="6">
        <v>369136.01</v>
      </c>
    </row>
    <row r="183" spans="8:8">
      <c r="A183" s="3" t="s">
        <v>198</v>
      </c>
      <c r="B183" s="194" t="s">
        <v>65</v>
      </c>
      <c r="C183" s="6">
        <v>3451696.01</v>
      </c>
      <c r="D183" s="199"/>
    </row>
    <row r="184" spans="8:8">
      <c r="A184" s="162" t="s">
        <v>328</v>
      </c>
      <c r="B184" s="195" t="s">
        <v>196</v>
      </c>
      <c r="C184" s="13">
        <v>368512.01</v>
      </c>
    </row>
    <row r="185" spans="8:8">
      <c r="A185" s="162" t="s">
        <v>329</v>
      </c>
      <c r="B185" s="195" t="s">
        <v>196</v>
      </c>
      <c r="C185" s="13">
        <f>368512.01*2+50000</f>
        <v>787024.02</v>
      </c>
    </row>
    <row r="186" spans="8:8">
      <c r="A186" s="3" t="s">
        <v>201</v>
      </c>
      <c r="B186" s="194" t="s">
        <v>196</v>
      </c>
      <c r="C186" s="6">
        <v>368512.01</v>
      </c>
    </row>
    <row r="187" spans="8:8">
      <c r="A187" s="3" t="s">
        <v>202</v>
      </c>
      <c r="B187" s="197" t="s">
        <v>196</v>
      </c>
      <c r="C187" s="6">
        <v>368512.01</v>
      </c>
    </row>
    <row r="188" spans="8:8">
      <c r="A188" s="3" t="s">
        <v>203</v>
      </c>
      <c r="B188" s="194" t="s">
        <v>196</v>
      </c>
      <c r="C188" s="6">
        <v>368512.01</v>
      </c>
    </row>
    <row r="189" spans="8:8">
      <c r="A189" s="3" t="s">
        <v>204</v>
      </c>
      <c r="B189" s="194" t="s">
        <v>196</v>
      </c>
      <c r="C189" s="6">
        <v>368512.01</v>
      </c>
    </row>
    <row r="190" spans="8:8">
      <c r="A190" s="3" t="s">
        <v>206</v>
      </c>
      <c r="B190" s="194" t="s">
        <v>196</v>
      </c>
      <c r="C190" s="6">
        <v>368512.01</v>
      </c>
    </row>
    <row r="191" spans="8:8">
      <c r="A191" s="3" t="s">
        <v>207</v>
      </c>
      <c r="B191" s="194" t="s">
        <v>196</v>
      </c>
      <c r="C191" s="6">
        <v>368512.01</v>
      </c>
    </row>
    <row r="192" spans="8:8">
      <c r="A192" s="3" t="s">
        <v>208</v>
      </c>
      <c r="B192" s="194" t="s">
        <v>196</v>
      </c>
      <c r="C192" s="6">
        <v>368512.01</v>
      </c>
    </row>
    <row r="193" spans="8:8">
      <c r="A193" s="3" t="s">
        <v>209</v>
      </c>
      <c r="B193" s="194" t="s">
        <v>196</v>
      </c>
      <c r="C193" s="6">
        <v>368512.01</v>
      </c>
    </row>
    <row r="194" spans="8:8">
      <c r="A194" s="3" t="s">
        <v>210</v>
      </c>
      <c r="B194" s="194" t="s">
        <v>196</v>
      </c>
      <c r="C194" s="6">
        <v>368512.01</v>
      </c>
    </row>
    <row r="195" spans="8:8">
      <c r="A195" s="3" t="s">
        <v>211</v>
      </c>
      <c r="B195" s="194" t="s">
        <v>196</v>
      </c>
      <c r="C195" s="6">
        <v>368512.01</v>
      </c>
    </row>
    <row r="196" spans="8:8">
      <c r="A196" s="3" t="s">
        <v>212</v>
      </c>
      <c r="B196" s="194" t="s">
        <v>196</v>
      </c>
      <c r="C196" s="6">
        <v>368512.01</v>
      </c>
    </row>
    <row r="197" spans="8:8">
      <c r="A197" s="3" t="s">
        <v>214</v>
      </c>
      <c r="B197" s="194" t="s">
        <v>196</v>
      </c>
      <c r="C197" s="6">
        <v>368512.01</v>
      </c>
    </row>
    <row r="198" spans="8:8">
      <c r="A198" s="3" t="s">
        <v>215</v>
      </c>
      <c r="B198" s="194" t="s">
        <v>196</v>
      </c>
      <c r="C198" s="6">
        <v>368512.01</v>
      </c>
    </row>
    <row r="199" spans="8:8">
      <c r="A199" s="3" t="s">
        <v>216</v>
      </c>
      <c r="B199" s="194" t="s">
        <v>196</v>
      </c>
      <c r="C199" s="6">
        <v>368512.01</v>
      </c>
    </row>
    <row r="200" spans="8:8">
      <c r="A200" s="3" t="s">
        <v>217</v>
      </c>
      <c r="B200" s="194" t="s">
        <v>196</v>
      </c>
      <c r="C200" s="6">
        <v>368512.01</v>
      </c>
    </row>
    <row r="201" spans="8:8">
      <c r="A201" s="3" t="s">
        <v>218</v>
      </c>
      <c r="B201" s="194" t="s">
        <v>196</v>
      </c>
      <c r="C201" s="6">
        <v>368512.01</v>
      </c>
    </row>
    <row r="202" spans="8:8">
      <c r="A202" s="3" t="s">
        <v>219</v>
      </c>
      <c r="B202" s="194" t="s">
        <v>196</v>
      </c>
      <c r="C202" s="6">
        <v>368512.01</v>
      </c>
    </row>
    <row r="203" spans="8:8">
      <c r="A203" s="3" t="s">
        <v>220</v>
      </c>
      <c r="B203" s="194" t="s">
        <v>196</v>
      </c>
      <c r="C203" s="6">
        <v>368512.01</v>
      </c>
    </row>
    <row r="204" spans="8:8">
      <c r="A204" s="174" t="s">
        <v>330</v>
      </c>
      <c r="B204" s="194" t="s">
        <v>196</v>
      </c>
      <c r="C204" s="6">
        <v>368512.01</v>
      </c>
    </row>
    <row r="205" spans="8:8">
      <c r="A205" s="3" t="s">
        <v>223</v>
      </c>
      <c r="B205" s="194" t="s">
        <v>196</v>
      </c>
      <c r="C205" s="6">
        <v>368512.01</v>
      </c>
    </row>
    <row r="206" spans="8:8">
      <c r="A206" s="3" t="s">
        <v>224</v>
      </c>
      <c r="B206" s="194" t="s">
        <v>196</v>
      </c>
      <c r="C206" s="6">
        <v>368512.01</v>
      </c>
    </row>
    <row r="207" spans="8:8">
      <c r="A207" s="3" t="s">
        <v>225</v>
      </c>
      <c r="B207" s="194" t="s">
        <v>196</v>
      </c>
      <c r="C207" s="6">
        <v>368512.01</v>
      </c>
    </row>
    <row r="208" spans="8:8">
      <c r="A208" s="175" t="s">
        <v>226</v>
      </c>
      <c r="B208" s="194" t="s">
        <v>196</v>
      </c>
      <c r="C208" s="6">
        <v>476464.01</v>
      </c>
    </row>
    <row r="209" spans="8:8">
      <c r="A209" s="3" t="s">
        <v>228</v>
      </c>
      <c r="B209" s="194" t="s">
        <v>196</v>
      </c>
      <c r="C209" s="6">
        <v>368512.01</v>
      </c>
    </row>
    <row r="210" spans="8:8">
      <c r="A210" s="3" t="s">
        <v>229</v>
      </c>
      <c r="B210" s="194" t="s">
        <v>196</v>
      </c>
      <c r="C210" s="6">
        <v>368512.01</v>
      </c>
    </row>
    <row r="211" spans="8:8">
      <c r="A211" s="3" t="s">
        <v>230</v>
      </c>
      <c r="B211" s="194" t="s">
        <v>196</v>
      </c>
      <c r="C211" s="6">
        <v>368512.01</v>
      </c>
    </row>
    <row r="212" spans="8:8">
      <c r="A212" s="3" t="s">
        <v>231</v>
      </c>
      <c r="B212" s="194" t="s">
        <v>196</v>
      </c>
      <c r="C212" s="6">
        <v>368512.01</v>
      </c>
    </row>
    <row r="213" spans="8:8">
      <c r="A213" s="3" t="s">
        <v>232</v>
      </c>
      <c r="B213" s="194" t="s">
        <v>196</v>
      </c>
      <c r="C213" s="6">
        <v>368512.01</v>
      </c>
    </row>
    <row r="214" spans="8:8">
      <c r="A214" s="3" t="s">
        <v>233</v>
      </c>
      <c r="B214" s="194" t="s">
        <v>196</v>
      </c>
      <c r="C214" s="6">
        <v>368512.01</v>
      </c>
    </row>
    <row r="215" spans="8:8">
      <c r="A215" s="3" t="s">
        <v>234</v>
      </c>
      <c r="B215" s="194" t="s">
        <v>196</v>
      </c>
      <c r="C215" s="6">
        <v>368512.01</v>
      </c>
    </row>
    <row r="216" spans="8:8">
      <c r="A216" s="3" t="s">
        <v>235</v>
      </c>
      <c r="B216" s="194" t="s">
        <v>196</v>
      </c>
      <c r="C216" s="6">
        <v>368512.01</v>
      </c>
    </row>
    <row r="217" spans="8:8">
      <c r="A217" s="3" t="s">
        <v>236</v>
      </c>
      <c r="B217" s="194" t="s">
        <v>196</v>
      </c>
      <c r="C217" s="6">
        <v>368512.01</v>
      </c>
    </row>
    <row r="218" spans="8:8">
      <c r="A218" s="3" t="s">
        <v>237</v>
      </c>
      <c r="B218" s="194" t="s">
        <v>196</v>
      </c>
      <c r="C218" s="6">
        <v>368512.01</v>
      </c>
    </row>
    <row r="219" spans="8:8">
      <c r="A219" s="3" t="s">
        <v>238</v>
      </c>
      <c r="B219" s="194" t="s">
        <v>196</v>
      </c>
      <c r="C219" s="6">
        <v>368512.01</v>
      </c>
    </row>
    <row r="220" spans="8:8">
      <c r="A220" s="3" t="s">
        <v>239</v>
      </c>
      <c r="B220" s="194" t="s">
        <v>196</v>
      </c>
      <c r="C220" s="6">
        <v>368512.01</v>
      </c>
    </row>
    <row r="221" spans="8:8">
      <c r="A221" s="3" t="s">
        <v>240</v>
      </c>
      <c r="B221" s="194" t="s">
        <v>196</v>
      </c>
      <c r="C221" s="6">
        <v>368512.01</v>
      </c>
    </row>
    <row r="222" spans="8:8">
      <c r="A222" s="3" t="s">
        <v>241</v>
      </c>
      <c r="B222" s="197" t="s">
        <v>196</v>
      </c>
      <c r="C222" s="6">
        <v>368512.01</v>
      </c>
    </row>
    <row r="223" spans="8:8">
      <c r="A223" s="3" t="s">
        <v>242</v>
      </c>
      <c r="B223" s="194" t="s">
        <v>196</v>
      </c>
      <c r="C223" s="6">
        <v>368512.01</v>
      </c>
    </row>
    <row r="224" spans="8:8">
      <c r="A224" s="3" t="s">
        <v>243</v>
      </c>
      <c r="B224" s="194" t="s">
        <v>196</v>
      </c>
      <c r="C224" s="6">
        <v>368512.01</v>
      </c>
      <c r="F224" s="49"/>
    </row>
    <row r="225" spans="8:8" s="49" ht="15.0" customFormat="1">
      <c r="A225" s="3" t="s">
        <v>244</v>
      </c>
      <c r="B225" s="194" t="s">
        <v>196</v>
      </c>
      <c r="C225" s="6">
        <v>368512.01</v>
      </c>
      <c r="F225" s="39"/>
    </row>
    <row r="226" spans="8:8">
      <c r="A226" s="3" t="s">
        <v>246</v>
      </c>
      <c r="B226" s="194" t="s">
        <v>196</v>
      </c>
      <c r="C226" s="6">
        <v>368512.01</v>
      </c>
    </row>
    <row r="227" spans="8:8">
      <c r="A227" s="3" t="s">
        <v>247</v>
      </c>
      <c r="B227" s="194" t="s">
        <v>196</v>
      </c>
      <c r="C227" s="6">
        <v>368512.01</v>
      </c>
    </row>
    <row r="228" spans="8:8">
      <c r="A228" s="3" t="s">
        <v>248</v>
      </c>
      <c r="B228" s="194" t="s">
        <v>196</v>
      </c>
      <c r="C228" s="6">
        <v>368512.01</v>
      </c>
    </row>
    <row r="229" spans="8:8">
      <c r="A229" s="3" t="s">
        <v>249</v>
      </c>
      <c r="B229" s="194" t="s">
        <v>196</v>
      </c>
      <c r="C229" s="6">
        <v>368512.01</v>
      </c>
    </row>
    <row r="230" spans="8:8">
      <c r="A230" s="3" t="s">
        <v>250</v>
      </c>
      <c r="B230" s="194" t="s">
        <v>196</v>
      </c>
      <c r="C230" s="6">
        <v>368512.01</v>
      </c>
    </row>
    <row r="231" spans="8:8">
      <c r="A231" s="3" t="s">
        <v>251</v>
      </c>
      <c r="B231" s="194" t="s">
        <v>196</v>
      </c>
      <c r="C231" s="6">
        <v>368512.01</v>
      </c>
    </row>
    <row r="232" spans="8:8">
      <c r="A232" s="176" t="s">
        <v>331</v>
      </c>
      <c r="B232" s="194" t="s">
        <v>196</v>
      </c>
      <c r="C232" s="6">
        <v>368512.01</v>
      </c>
    </row>
    <row r="233" spans="8:8">
      <c r="A233" s="14" t="s">
        <v>332</v>
      </c>
      <c r="B233" s="194" t="s">
        <v>196</v>
      </c>
      <c r="C233" s="6">
        <v>368512.01</v>
      </c>
    </row>
    <row r="234" spans="8:8">
      <c r="A234" s="3" t="s">
        <v>254</v>
      </c>
      <c r="B234" s="194" t="s">
        <v>196</v>
      </c>
      <c r="C234" s="6">
        <v>368512.01</v>
      </c>
    </row>
    <row r="235" spans="8:8">
      <c r="A235" s="3" t="s">
        <v>255</v>
      </c>
      <c r="B235" s="194" t="s">
        <v>196</v>
      </c>
      <c r="C235" s="6">
        <v>368512.01</v>
      </c>
    </row>
    <row r="236" spans="8:8">
      <c r="A236" s="3" t="s">
        <v>256</v>
      </c>
      <c r="B236" s="194" t="s">
        <v>196</v>
      </c>
      <c r="C236" s="6">
        <v>368512.01</v>
      </c>
    </row>
    <row r="237" spans="8:8">
      <c r="A237" s="3" t="s">
        <v>257</v>
      </c>
      <c r="B237" s="194" t="s">
        <v>196</v>
      </c>
      <c r="C237" s="6">
        <v>368512.01</v>
      </c>
    </row>
    <row r="238" spans="8:8">
      <c r="A238" s="3" t="s">
        <v>258</v>
      </c>
      <c r="B238" s="194" t="s">
        <v>196</v>
      </c>
      <c r="C238" s="6">
        <v>368512.01</v>
      </c>
    </row>
    <row r="239" spans="8:8">
      <c r="A239" s="3" t="s">
        <v>259</v>
      </c>
      <c r="B239" s="194" t="s">
        <v>196</v>
      </c>
      <c r="C239" s="6">
        <v>368512.01</v>
      </c>
    </row>
    <row r="240" spans="8:8">
      <c r="A240" s="3" t="s">
        <v>260</v>
      </c>
      <c r="B240" s="194" t="s">
        <v>196</v>
      </c>
      <c r="C240" s="6">
        <v>368512.01</v>
      </c>
    </row>
    <row r="241" spans="8:8">
      <c r="A241" s="3" t="s">
        <v>262</v>
      </c>
      <c r="B241" s="194" t="s">
        <v>196</v>
      </c>
      <c r="C241" s="6">
        <v>368512.01</v>
      </c>
    </row>
    <row r="242" spans="8:8">
      <c r="A242" s="3" t="s">
        <v>265</v>
      </c>
      <c r="B242" s="194" t="s">
        <v>196</v>
      </c>
      <c r="C242" s="6">
        <v>368512.01</v>
      </c>
    </row>
    <row r="243" spans="8:8">
      <c r="A243" s="3" t="s">
        <v>266</v>
      </c>
      <c r="B243" s="194" t="s">
        <v>196</v>
      </c>
      <c r="C243" s="6">
        <v>368512.01</v>
      </c>
    </row>
    <row r="244" spans="8:8">
      <c r="A244" s="3" t="s">
        <v>267</v>
      </c>
      <c r="B244" s="194" t="s">
        <v>196</v>
      </c>
      <c r="C244" s="6">
        <v>368512.01</v>
      </c>
    </row>
    <row r="245" spans="8:8">
      <c r="A245" s="3" t="s">
        <v>268</v>
      </c>
      <c r="B245" s="194" t="s">
        <v>196</v>
      </c>
      <c r="C245" s="6">
        <v>368512.01</v>
      </c>
    </row>
    <row r="246" spans="8:8">
      <c r="A246" s="3" t="s">
        <v>269</v>
      </c>
      <c r="B246" s="194" t="s">
        <v>196</v>
      </c>
      <c r="C246" s="6">
        <v>368512.01</v>
      </c>
    </row>
    <row r="247" spans="8:8">
      <c r="A247" s="3" t="s">
        <v>270</v>
      </c>
      <c r="B247" s="194" t="s">
        <v>196</v>
      </c>
      <c r="C247" s="6">
        <v>368512.01</v>
      </c>
    </row>
    <row r="248" spans="8:8">
      <c r="A248" s="3" t="s">
        <v>271</v>
      </c>
      <c r="B248" s="194" t="s">
        <v>196</v>
      </c>
      <c r="C248" s="6">
        <v>368512.01</v>
      </c>
    </row>
    <row r="249" spans="8:8">
      <c r="A249" s="3" t="s">
        <v>272</v>
      </c>
      <c r="B249" s="194" t="s">
        <v>196</v>
      </c>
      <c r="C249" s="6">
        <v>368512.01</v>
      </c>
    </row>
    <row r="250" spans="8:8">
      <c r="A250" s="3" t="s">
        <v>273</v>
      </c>
      <c r="B250" s="194" t="s">
        <v>196</v>
      </c>
      <c r="C250" s="6">
        <v>368512.01</v>
      </c>
    </row>
    <row r="251" spans="8:8">
      <c r="A251" s="3" t="s">
        <v>274</v>
      </c>
      <c r="B251" s="194" t="s">
        <v>196</v>
      </c>
      <c r="C251" s="6">
        <v>368512.01</v>
      </c>
    </row>
    <row r="252" spans="8:8">
      <c r="A252" s="3" t="s">
        <v>275</v>
      </c>
      <c r="B252" s="194" t="s">
        <v>196</v>
      </c>
      <c r="C252" s="6">
        <v>368512.01</v>
      </c>
    </row>
    <row r="253" spans="8:8">
      <c r="A253" s="14" t="s">
        <v>333</v>
      </c>
      <c r="B253" s="194" t="s">
        <v>196</v>
      </c>
      <c r="C253" s="6">
        <v>1155536.03</v>
      </c>
    </row>
    <row r="254" spans="8:8">
      <c r="A254" s="3" t="s">
        <v>276</v>
      </c>
      <c r="B254" s="194" t="s">
        <v>196</v>
      </c>
      <c r="C254" s="6">
        <v>368512.01</v>
      </c>
    </row>
    <row r="255" spans="8:8">
      <c r="A255" s="15" t="s">
        <v>277</v>
      </c>
      <c r="B255" s="194" t="s">
        <v>196</v>
      </c>
      <c r="C255" s="6">
        <v>368512.01</v>
      </c>
    </row>
    <row r="256" spans="8:8">
      <c r="A256" s="29" t="s">
        <v>280</v>
      </c>
      <c r="B256" s="200" t="s">
        <v>196</v>
      </c>
      <c r="C256" s="31">
        <v>368824.0</v>
      </c>
    </row>
    <row r="257" spans="8:8">
      <c r="A257" s="3" t="s">
        <v>281</v>
      </c>
      <c r="B257" s="194" t="s">
        <v>282</v>
      </c>
      <c r="C257" s="6">
        <v>264720.01</v>
      </c>
    </row>
    <row r="258" spans="8:8">
      <c r="A258" s="3" t="s">
        <v>283</v>
      </c>
      <c r="B258" s="194" t="s">
        <v>282</v>
      </c>
      <c r="C258" s="6">
        <v>540.0</v>
      </c>
    </row>
    <row r="259" spans="8:8">
      <c r="A259" s="10" t="s">
        <v>284</v>
      </c>
      <c r="B259" s="201" t="s">
        <v>285</v>
      </c>
      <c r="C259" s="13">
        <v>3000.0</v>
      </c>
    </row>
    <row r="260" spans="8:8">
      <c r="A260" s="3" t="s">
        <v>286</v>
      </c>
      <c r="B260" s="197" t="s">
        <v>285</v>
      </c>
      <c r="C260" s="6">
        <v>5000.0</v>
      </c>
    </row>
    <row r="261" spans="8:8">
      <c r="A261" s="15" t="s">
        <v>4</v>
      </c>
      <c r="B261" s="197" t="s">
        <v>285</v>
      </c>
      <c r="C261" s="6">
        <v>10000.0</v>
      </c>
    </row>
    <row r="262" spans="8:8">
      <c r="A262" s="3" t="s">
        <v>287</v>
      </c>
      <c r="B262" s="197" t="s">
        <v>285</v>
      </c>
      <c r="C262" s="6">
        <v>30000.0</v>
      </c>
    </row>
    <row r="263" spans="8:8">
      <c r="A263" s="39" t="s">
        <v>319</v>
      </c>
      <c r="B263" s="197" t="s">
        <v>285</v>
      </c>
      <c r="C263" s="6">
        <v>12000.0</v>
      </c>
    </row>
    <row r="264" spans="8:8">
      <c r="A264" s="15" t="s">
        <v>5</v>
      </c>
      <c r="B264" s="197" t="s">
        <v>285</v>
      </c>
      <c r="C264" s="6">
        <v>15000.0</v>
      </c>
    </row>
    <row r="265" spans="8:8">
      <c r="A265" s="32" t="s">
        <v>288</v>
      </c>
      <c r="B265" s="198" t="s">
        <v>285</v>
      </c>
      <c r="C265" s="31">
        <v>50000.0</v>
      </c>
    </row>
    <row r="266" spans="8:8">
      <c r="A266" s="3" t="s">
        <v>291</v>
      </c>
      <c r="B266" s="197" t="s">
        <v>290</v>
      </c>
      <c r="C266" s="6">
        <v>88336.0</v>
      </c>
    </row>
    <row r="267" spans="8:8">
      <c r="B267" s="202"/>
    </row>
    <row r="268" spans="8:8">
      <c r="B268" s="203"/>
    </row>
    <row r="269" spans="8:8">
      <c r="B269" s="203"/>
    </row>
    <row r="281" spans="8:8">
      <c r="F281" s="49"/>
    </row>
    <row r="282" spans="8:8" s="49" ht="15.0" customFormat="1">
      <c r="A282" s="38"/>
      <c r="B282" s="192"/>
      <c r="C282" s="161"/>
      <c r="D282" s="39"/>
      <c r="E282" s="39"/>
    </row>
    <row r="290" spans="8:8" s="49" ht="15.0" customFormat="1">
      <c r="A290" s="38"/>
      <c r="B290" s="192"/>
      <c r="C290" s="161"/>
      <c r="D290" s="39"/>
      <c r="E290" s="39"/>
    </row>
    <row r="293" spans="8:8" s="49" ht="15.0" customFormat="1">
      <c r="A293" s="38"/>
      <c r="B293" s="192"/>
      <c r="C293" s="161"/>
      <c r="D293" s="39"/>
      <c r="E293" s="39"/>
    </row>
    <row r="294" spans="8:8" s="49" ht="15.0" customFormat="1">
      <c r="A294" s="38"/>
      <c r="B294" s="192"/>
      <c r="C294" s="161"/>
      <c r="D294" s="39"/>
      <c r="E294" s="39"/>
    </row>
    <row r="295" spans="8:8">
      <c r="F295" s="71"/>
    </row>
    <row r="296" spans="8:8">
      <c r="F296" s="71"/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:L294"/>
  <sheetViews>
    <sheetView workbookViewId="0">
      <selection activeCell="A1" sqref="A1:E264"/>
    </sheetView>
  </sheetViews>
  <sheetFormatPr defaultRowHeight="15.0" defaultColWidth="10"/>
  <cols>
    <col min="1" max="1" customWidth="1" width="63.140625" style="38"/>
    <col min="2" max="2" customWidth="1" width="13.7109375" style="39"/>
    <col min="3" max="3" customWidth="1" width="12.5703125" style="161"/>
    <col min="4" max="4" customWidth="1" bestFit="1" width="13.0" style="39"/>
    <col min="5" max="5" customWidth="1" bestFit="1" width="14.5703125" style="39"/>
    <col min="6" max="16384" customWidth="0" width="11.425781" style="39"/>
  </cols>
  <sheetData>
    <row r="1" spans="8:8">
      <c r="A1" s="1" t="s">
        <v>349</v>
      </c>
      <c r="B1" s="1" t="s">
        <v>1</v>
      </c>
      <c r="C1" s="2" t="s">
        <v>2</v>
      </c>
      <c r="D1" s="2" t="s">
        <v>350</v>
      </c>
      <c r="E1" s="2" t="s">
        <v>294</v>
      </c>
    </row>
    <row r="2" spans="8:8">
      <c r="A2" s="3" t="s">
        <v>7</v>
      </c>
      <c r="B2" s="4" t="s">
        <v>8</v>
      </c>
      <c r="C2" s="93">
        <v>0.01</v>
      </c>
      <c r="D2" s="93"/>
      <c r="E2" s="6">
        <v>265478.09</v>
      </c>
    </row>
    <row r="3" spans="8:8">
      <c r="A3" s="3" t="s">
        <v>9</v>
      </c>
      <c r="B3" s="4" t="s">
        <v>8</v>
      </c>
      <c r="C3" s="93">
        <v>0.01</v>
      </c>
      <c r="D3" s="93"/>
      <c r="E3" s="6">
        <v>265478.09</v>
      </c>
    </row>
    <row r="4" spans="8:8">
      <c r="A4" s="3" t="s">
        <v>10</v>
      </c>
      <c r="B4" s="4" t="s">
        <v>8</v>
      </c>
      <c r="C4" s="93">
        <v>0.01</v>
      </c>
      <c r="D4" s="93"/>
      <c r="E4" s="6">
        <v>265478.09</v>
      </c>
    </row>
    <row r="5" spans="8:8">
      <c r="A5" s="3" t="s">
        <v>11</v>
      </c>
      <c r="B5" s="4" t="s">
        <v>8</v>
      </c>
      <c r="C5" s="62">
        <v>0.01</v>
      </c>
      <c r="D5" s="62"/>
      <c r="E5" s="6">
        <v>481956.18</v>
      </c>
    </row>
    <row r="6" spans="8:8">
      <c r="A6" s="3" t="s">
        <v>12</v>
      </c>
      <c r="B6" s="4" t="s">
        <v>13</v>
      </c>
      <c r="C6" s="93">
        <v>138203.52000000002</v>
      </c>
      <c r="D6" s="93">
        <v>23520.0</v>
      </c>
      <c r="E6" s="6">
        <f>D6+264255.04</f>
        <v>287775.04</v>
      </c>
      <c r="F6" s="71"/>
      <c r="G6" s="71"/>
      <c r="H6" s="71"/>
      <c r="I6" s="71"/>
      <c r="J6" s="71"/>
      <c r="K6" s="71"/>
    </row>
    <row r="7" spans="8:8">
      <c r="A7" s="204" t="s">
        <v>320</v>
      </c>
      <c r="B7" s="4" t="s">
        <v>13</v>
      </c>
      <c r="C7" s="93"/>
      <c r="D7" s="93">
        <v>23520.0</v>
      </c>
      <c r="E7" s="205">
        <f>264255.04+264255.04+23520</f>
        <v>552030.08</v>
      </c>
      <c r="F7" s="71"/>
      <c r="G7" s="71"/>
      <c r="H7" s="71"/>
      <c r="I7" s="71"/>
      <c r="J7" s="71"/>
      <c r="K7" s="71"/>
    </row>
    <row r="8" spans="8:8">
      <c r="A8" s="3" t="s">
        <v>15</v>
      </c>
      <c r="B8" s="4" t="s">
        <v>13</v>
      </c>
      <c r="C8" s="93">
        <v>138203.52000000002</v>
      </c>
      <c r="D8" s="93">
        <v>23520.0</v>
      </c>
      <c r="E8" s="6">
        <f>D8+264255.04</f>
        <v>287775.04</v>
      </c>
      <c r="F8" s="71"/>
      <c r="G8" s="71"/>
      <c r="H8" s="71"/>
      <c r="I8" s="71"/>
      <c r="J8" s="71"/>
      <c r="K8" s="71"/>
    </row>
    <row r="9" spans="8:8">
      <c r="A9" s="3" t="s">
        <v>16</v>
      </c>
      <c r="B9" s="4" t="s">
        <v>13</v>
      </c>
      <c r="C9" s="93">
        <v>138203.52000000002</v>
      </c>
      <c r="D9" s="93">
        <v>23520.0</v>
      </c>
      <c r="E9" s="6">
        <f>D9+264255.04</f>
        <v>287775.04</v>
      </c>
      <c r="F9" s="71"/>
      <c r="G9" s="71"/>
      <c r="H9" s="71"/>
      <c r="I9" s="71"/>
      <c r="J9" s="71"/>
      <c r="K9" s="71"/>
    </row>
    <row r="10" spans="8:8">
      <c r="A10" s="3" t="s">
        <v>17</v>
      </c>
      <c r="B10" s="4" t="s">
        <v>13</v>
      </c>
      <c r="C10" s="93">
        <v>481266.24</v>
      </c>
      <c r="D10" s="93">
        <v>23520.0</v>
      </c>
      <c r="E10" s="6">
        <f>D10+706384</f>
        <v>729904.0</v>
      </c>
      <c r="F10" s="71"/>
      <c r="G10" s="71"/>
      <c r="H10" s="71"/>
      <c r="I10" s="71"/>
      <c r="J10" s="71"/>
      <c r="K10" s="71"/>
    </row>
    <row r="11" spans="8:8">
      <c r="A11" s="3" t="s">
        <v>18</v>
      </c>
      <c r="B11" s="4" t="s">
        <v>13</v>
      </c>
      <c r="C11" s="93">
        <v>163887.36</v>
      </c>
      <c r="D11" s="93">
        <v>23520.0</v>
      </c>
      <c r="E11" s="6">
        <f>D11+389005.12</f>
        <v>412525.12</v>
      </c>
      <c r="F11" s="71"/>
      <c r="G11" s="71"/>
      <c r="H11" s="71"/>
      <c r="I11" s="71"/>
      <c r="J11" s="71"/>
      <c r="K11" s="71"/>
    </row>
    <row r="12" spans="8:8">
      <c r="A12" s="3" t="s">
        <v>19</v>
      </c>
      <c r="B12" s="4" t="s">
        <v>13</v>
      </c>
      <c r="C12" s="93">
        <v>163887.36</v>
      </c>
      <c r="D12" s="93">
        <v>23520.0</v>
      </c>
      <c r="E12" s="6">
        <f>D12+389005.12</f>
        <v>412525.12</v>
      </c>
      <c r="F12" s="71"/>
      <c r="G12" s="71"/>
      <c r="H12" s="71"/>
      <c r="I12" s="71"/>
      <c r="J12" s="71"/>
      <c r="K12" s="71"/>
    </row>
    <row r="13" spans="8:8">
      <c r="A13" s="3" t="s">
        <v>20</v>
      </c>
      <c r="B13" s="4" t="s">
        <v>13</v>
      </c>
      <c r="C13" s="93">
        <v>163887.36</v>
      </c>
      <c r="D13" s="93">
        <v>23520.0</v>
      </c>
      <c r="E13" s="6">
        <f>D13+389005.12</f>
        <v>412525.12</v>
      </c>
    </row>
    <row r="14" spans="8:8">
      <c r="A14" s="206" t="s">
        <v>21</v>
      </c>
      <c r="B14" s="4" t="s">
        <v>13</v>
      </c>
      <c r="C14" s="93">
        <v>163887.36</v>
      </c>
      <c r="D14" s="93">
        <f>23520*2</f>
        <v>47040.0</v>
      </c>
      <c r="E14" s="205">
        <f>D14+389005.12+389005.12</f>
        <v>825050.24</v>
      </c>
    </row>
    <row r="15" spans="8:8">
      <c r="A15" s="15" t="s">
        <v>22</v>
      </c>
      <c r="B15" s="16" t="s">
        <v>13</v>
      </c>
      <c r="C15" s="93">
        <v>163887.36</v>
      </c>
      <c r="D15" s="93">
        <v>23520.0</v>
      </c>
      <c r="E15" s="6">
        <f>D15+389005.12</f>
        <v>412525.12</v>
      </c>
    </row>
    <row r="16" spans="8:8">
      <c r="A16" s="206" t="s">
        <v>23</v>
      </c>
      <c r="B16" s="16" t="s">
        <v>13</v>
      </c>
      <c r="C16" s="93">
        <v>163887.36</v>
      </c>
      <c r="D16" s="93">
        <f>23520*2</f>
        <v>47040.0</v>
      </c>
      <c r="E16" s="205">
        <f>D16+389005.12+389005.12</f>
        <v>825050.24</v>
      </c>
    </row>
    <row r="17" spans="8:8">
      <c r="A17" s="3" t="s">
        <v>24</v>
      </c>
      <c r="B17" s="16" t="s">
        <v>13</v>
      </c>
      <c r="C17" s="93">
        <v>163887.36</v>
      </c>
      <c r="D17" s="93">
        <v>23520.0</v>
      </c>
      <c r="E17" s="6">
        <f t="shared" si="0" ref="E17:E26">D17+389005.12</f>
        <v>412525.12</v>
      </c>
    </row>
    <row r="18" spans="8:8">
      <c r="A18" s="3" t="s">
        <v>25</v>
      </c>
      <c r="B18" s="4" t="s">
        <v>13</v>
      </c>
      <c r="C18" s="93">
        <v>163887.36</v>
      </c>
      <c r="D18" s="93">
        <v>23520.0</v>
      </c>
      <c r="E18" s="6">
        <f t="shared" si="0"/>
        <v>412525.12</v>
      </c>
    </row>
    <row r="19" spans="8:8">
      <c r="A19" s="3" t="s">
        <v>26</v>
      </c>
      <c r="B19" s="4" t="s">
        <v>13</v>
      </c>
      <c r="C19" s="93">
        <v>163887.36</v>
      </c>
      <c r="D19" s="93">
        <v>23520.0</v>
      </c>
      <c r="E19" s="6">
        <f t="shared" si="0"/>
        <v>412525.12</v>
      </c>
    </row>
    <row r="20" spans="8:8">
      <c r="A20" s="3" t="s">
        <v>27</v>
      </c>
      <c r="B20" s="4" t="s">
        <v>13</v>
      </c>
      <c r="C20" s="93">
        <v>163887.36</v>
      </c>
      <c r="D20" s="93">
        <v>23520.0</v>
      </c>
      <c r="E20" s="6">
        <f t="shared" si="0"/>
        <v>412525.12</v>
      </c>
    </row>
    <row r="21" spans="8:8">
      <c r="A21" s="3" t="s">
        <v>28</v>
      </c>
      <c r="B21" s="4" t="s">
        <v>13</v>
      </c>
      <c r="C21" s="93">
        <v>163887.36</v>
      </c>
      <c r="D21" s="93">
        <v>23520.0</v>
      </c>
      <c r="E21" s="6">
        <f t="shared" si="0"/>
        <v>412525.12</v>
      </c>
    </row>
    <row r="22" spans="8:8">
      <c r="A22" s="3" t="s">
        <v>29</v>
      </c>
      <c r="B22" s="4" t="s">
        <v>13</v>
      </c>
      <c r="C22" s="93">
        <v>163887.36</v>
      </c>
      <c r="D22" s="93">
        <v>23520.0</v>
      </c>
      <c r="E22" s="6">
        <f t="shared" si="0"/>
        <v>412525.12</v>
      </c>
    </row>
    <row r="23" spans="8:8">
      <c r="A23" s="14" t="s">
        <v>338</v>
      </c>
      <c r="B23" s="4" t="s">
        <v>13</v>
      </c>
      <c r="C23" s="93">
        <v>163887.36</v>
      </c>
      <c r="D23" s="93">
        <v>23520.0</v>
      </c>
      <c r="E23" s="6">
        <f t="shared" si="0"/>
        <v>412525.12</v>
      </c>
    </row>
    <row r="24" spans="8:8">
      <c r="A24" s="3" t="s">
        <v>31</v>
      </c>
      <c r="B24" s="4" t="s">
        <v>13</v>
      </c>
      <c r="C24" s="93">
        <v>163887.36</v>
      </c>
      <c r="D24" s="93">
        <v>23520.0</v>
      </c>
      <c r="E24" s="6">
        <f t="shared" si="0"/>
        <v>412525.12</v>
      </c>
    </row>
    <row r="25" spans="8:8">
      <c r="A25" s="3" t="s">
        <v>32</v>
      </c>
      <c r="B25" s="4" t="s">
        <v>13</v>
      </c>
      <c r="C25" s="93">
        <v>163887.36</v>
      </c>
      <c r="D25" s="93">
        <v>23520.0</v>
      </c>
      <c r="E25" s="6">
        <f t="shared" si="0"/>
        <v>412525.12</v>
      </c>
    </row>
    <row r="26" spans="8:8">
      <c r="A26" s="3" t="s">
        <v>33</v>
      </c>
      <c r="B26" s="4" t="s">
        <v>13</v>
      </c>
      <c r="C26" s="93">
        <v>163887.36</v>
      </c>
      <c r="D26" s="93">
        <v>23520.0</v>
      </c>
      <c r="E26" s="6">
        <f t="shared" si="0"/>
        <v>412525.12</v>
      </c>
    </row>
    <row r="27" spans="8:8">
      <c r="A27" s="3" t="s">
        <v>34</v>
      </c>
      <c r="B27" s="4" t="s">
        <v>13</v>
      </c>
      <c r="C27" s="93">
        <v>138203.52000000002</v>
      </c>
      <c r="D27" s="93">
        <v>23520.0</v>
      </c>
      <c r="E27" s="6">
        <f t="shared" si="1" ref="E27:E33">D27+264255.04</f>
        <v>287775.04</v>
      </c>
    </row>
    <row r="28" spans="8:8">
      <c r="A28" s="14" t="s">
        <v>339</v>
      </c>
      <c r="B28" s="4" t="s">
        <v>13</v>
      </c>
      <c r="C28" s="93">
        <v>138203.52000000002</v>
      </c>
      <c r="D28" s="93">
        <v>23520.0</v>
      </c>
      <c r="E28" s="6">
        <f t="shared" si="1"/>
        <v>287775.04</v>
      </c>
    </row>
    <row r="29" spans="8:8">
      <c r="A29" s="3" t="s">
        <v>38</v>
      </c>
      <c r="B29" s="4" t="s">
        <v>13</v>
      </c>
      <c r="C29" s="93">
        <v>138203.52000000002</v>
      </c>
      <c r="D29" s="93">
        <v>23520.0</v>
      </c>
      <c r="E29" s="6">
        <f t="shared" si="1"/>
        <v>287775.04</v>
      </c>
    </row>
    <row r="30" spans="8:8">
      <c r="A30" s="15" t="s">
        <v>41</v>
      </c>
      <c r="B30" s="4" t="s">
        <v>13</v>
      </c>
      <c r="C30" s="93">
        <v>138203.52000000002</v>
      </c>
      <c r="D30" s="93">
        <v>23520.0</v>
      </c>
      <c r="E30" s="6">
        <f t="shared" si="1"/>
        <v>287775.04</v>
      </c>
    </row>
    <row r="31" spans="8:8" s="49" ht="15.0" customFormat="1">
      <c r="A31" s="14" t="s">
        <v>340</v>
      </c>
      <c r="B31" s="16" t="s">
        <v>13</v>
      </c>
      <c r="C31" s="93">
        <v>138203.52000000002</v>
      </c>
      <c r="D31" s="93">
        <v>23520.0</v>
      </c>
      <c r="E31" s="6">
        <f t="shared" si="1"/>
        <v>287775.04</v>
      </c>
    </row>
    <row r="32" spans="8:8">
      <c r="A32" s="3" t="s">
        <v>43</v>
      </c>
      <c r="B32" s="4" t="s">
        <v>13</v>
      </c>
      <c r="C32" s="93">
        <v>138203.52000000002</v>
      </c>
      <c r="D32" s="93">
        <v>23520.0</v>
      </c>
      <c r="E32" s="6">
        <f t="shared" si="1"/>
        <v>287775.04</v>
      </c>
    </row>
    <row r="33" spans="8:8">
      <c r="A33" s="14" t="s">
        <v>341</v>
      </c>
      <c r="B33" s="4" t="s">
        <v>13</v>
      </c>
      <c r="C33" s="93">
        <v>138203.52000000002</v>
      </c>
      <c r="D33" s="93">
        <v>23520.0</v>
      </c>
      <c r="E33" s="6">
        <f t="shared" si="1"/>
        <v>287775.04</v>
      </c>
    </row>
    <row r="34" spans="8:8">
      <c r="A34" s="3" t="s">
        <v>45</v>
      </c>
      <c r="B34" s="4" t="s">
        <v>13</v>
      </c>
      <c r="C34" s="93">
        <v>312486.72</v>
      </c>
      <c r="D34" s="93">
        <v>23520.0</v>
      </c>
      <c r="E34" s="6">
        <f>D34+544942.72</f>
        <v>568462.72</v>
      </c>
    </row>
    <row r="35" spans="8:8">
      <c r="A35" s="3" t="s">
        <v>46</v>
      </c>
      <c r="B35" s="4" t="s">
        <v>13</v>
      </c>
      <c r="C35" s="93">
        <v>312486.72</v>
      </c>
      <c r="D35" s="93">
        <v>23520.0</v>
      </c>
      <c r="E35" s="6">
        <f>D35+544942.72</f>
        <v>568462.72</v>
      </c>
    </row>
    <row r="36" spans="8:8">
      <c r="A36" s="3" t="s">
        <v>47</v>
      </c>
      <c r="B36" s="4" t="s">
        <v>13</v>
      </c>
      <c r="C36" s="93">
        <v>439682.88</v>
      </c>
      <c r="D36" s="93">
        <v>23520.0</v>
      </c>
      <c r="E36" s="6">
        <f>D36+672138.88</f>
        <v>695658.88</v>
      </c>
    </row>
    <row r="37" spans="8:8">
      <c r="A37" s="3" t="s">
        <v>48</v>
      </c>
      <c r="B37" s="4" t="s">
        <v>13</v>
      </c>
      <c r="C37" s="93">
        <v>138203.52000000002</v>
      </c>
      <c r="D37" s="93">
        <v>23520.0</v>
      </c>
      <c r="E37" s="6">
        <f>D37+370659.52</f>
        <v>394179.52</v>
      </c>
    </row>
    <row r="38" spans="8:8">
      <c r="A38" s="3" t="s">
        <v>49</v>
      </c>
      <c r="B38" s="4" t="s">
        <v>13</v>
      </c>
      <c r="C38" s="93">
        <v>138203.52000000002</v>
      </c>
      <c r="D38" s="93">
        <v>23520.0</v>
      </c>
      <c r="E38" s="6">
        <f t="shared" si="2" ref="E38:E44">D38+264255.04</f>
        <v>287775.04</v>
      </c>
    </row>
    <row r="39" spans="8:8">
      <c r="A39" s="18" t="s">
        <v>342</v>
      </c>
      <c r="B39" s="4" t="s">
        <v>13</v>
      </c>
      <c r="C39" s="93">
        <v>138203.52000000002</v>
      </c>
      <c r="D39" s="93">
        <v>23520.0</v>
      </c>
      <c r="E39" s="6">
        <f t="shared" si="2"/>
        <v>287775.04</v>
      </c>
    </row>
    <row r="40" spans="8:8" s="49" ht="15.0" customFormat="1">
      <c r="A40" s="3" t="s">
        <v>51</v>
      </c>
      <c r="B40" s="16" t="s">
        <v>13</v>
      </c>
      <c r="C40" s="93">
        <v>138203.52000000002</v>
      </c>
      <c r="D40" s="93">
        <v>23520.0</v>
      </c>
      <c r="E40" s="6">
        <f t="shared" si="2"/>
        <v>287775.04</v>
      </c>
    </row>
    <row r="41" spans="8:8">
      <c r="A41" s="3" t="s">
        <v>52</v>
      </c>
      <c r="B41" s="4" t="s">
        <v>13</v>
      </c>
      <c r="C41" s="93">
        <v>138203.52000000002</v>
      </c>
      <c r="D41" s="93">
        <v>23520.0</v>
      </c>
      <c r="E41" s="6">
        <f t="shared" si="2"/>
        <v>287775.04</v>
      </c>
    </row>
    <row r="42" spans="8:8">
      <c r="A42" s="14" t="s">
        <v>343</v>
      </c>
      <c r="B42" s="4" t="s">
        <v>13</v>
      </c>
      <c r="C42" s="93">
        <v>138203.52000000002</v>
      </c>
      <c r="D42" s="93">
        <v>23520.0</v>
      </c>
      <c r="E42" s="6">
        <f t="shared" si="2"/>
        <v>287775.04</v>
      </c>
    </row>
    <row r="43" spans="8:8">
      <c r="A43" s="3" t="s">
        <v>54</v>
      </c>
      <c r="B43" s="4" t="s">
        <v>13</v>
      </c>
      <c r="C43" s="93">
        <v>138203.52000000002</v>
      </c>
      <c r="D43" s="93">
        <v>23520.0</v>
      </c>
      <c r="E43" s="6">
        <f t="shared" si="2"/>
        <v>287775.04</v>
      </c>
    </row>
    <row r="44" spans="8:8">
      <c r="A44" s="15" t="s">
        <v>55</v>
      </c>
      <c r="B44" s="4" t="s">
        <v>13</v>
      </c>
      <c r="C44" s="93">
        <v>138203.52000000002</v>
      </c>
      <c r="D44" s="93">
        <v>23520.0</v>
      </c>
      <c r="E44" s="6">
        <f t="shared" si="2"/>
        <v>287775.04</v>
      </c>
    </row>
    <row r="45" spans="8:8" s="49" ht="15.0" customFormat="1">
      <c r="A45" s="3" t="s">
        <v>56</v>
      </c>
      <c r="B45" s="16" t="s">
        <v>13</v>
      </c>
      <c r="C45" s="93">
        <v>27518.4</v>
      </c>
      <c r="D45" s="93">
        <v>23520.0</v>
      </c>
      <c r="E45" s="17">
        <f>D45+278320</f>
        <v>301840.0</v>
      </c>
    </row>
    <row r="46" spans="8:8">
      <c r="A46" s="3" t="s">
        <v>57</v>
      </c>
      <c r="B46" s="4" t="s">
        <v>60</v>
      </c>
      <c r="C46" s="93">
        <v>0.01</v>
      </c>
      <c r="D46" s="93">
        <v>0.01</v>
      </c>
      <c r="E46" s="6">
        <v>269147.21</v>
      </c>
    </row>
    <row r="47" spans="8:8">
      <c r="A47" s="3" t="s">
        <v>58</v>
      </c>
      <c r="B47" s="4" t="s">
        <v>60</v>
      </c>
      <c r="C47" s="93">
        <v>0.01</v>
      </c>
      <c r="D47" s="93">
        <v>0.01</v>
      </c>
      <c r="E47" s="6">
        <v>269147.21</v>
      </c>
    </row>
    <row r="48" spans="8:8">
      <c r="A48" s="3" t="s">
        <v>59</v>
      </c>
      <c r="B48" s="4" t="s">
        <v>60</v>
      </c>
      <c r="C48" s="93">
        <v>0.01</v>
      </c>
      <c r="D48" s="93">
        <v>0.01</v>
      </c>
      <c r="E48" s="6">
        <v>269147.21</v>
      </c>
    </row>
    <row r="49" spans="8:8">
      <c r="A49" s="3" t="s">
        <v>61</v>
      </c>
      <c r="B49" s="4" t="s">
        <v>60</v>
      </c>
      <c r="C49" s="93">
        <v>45864.0</v>
      </c>
      <c r="D49" s="93">
        <v>45864.0</v>
      </c>
      <c r="E49" s="6">
        <v>480121.6</v>
      </c>
    </row>
    <row r="50" spans="8:8">
      <c r="A50" s="3" t="s">
        <v>62</v>
      </c>
      <c r="B50" s="4" t="s">
        <v>60</v>
      </c>
      <c r="C50" s="93">
        <v>0.01</v>
      </c>
      <c r="D50" s="93">
        <v>0.01</v>
      </c>
      <c r="E50" s="6">
        <v>269147.21</v>
      </c>
    </row>
    <row r="51" spans="8:8">
      <c r="A51" s="3" t="s">
        <v>63</v>
      </c>
      <c r="B51" s="4" t="s">
        <v>60</v>
      </c>
      <c r="C51" s="93">
        <v>0.01</v>
      </c>
      <c r="D51" s="93">
        <v>0.01</v>
      </c>
      <c r="E51" s="6">
        <v>269147.21</v>
      </c>
    </row>
    <row r="52" spans="8:8">
      <c r="A52" s="3" t="s">
        <v>64</v>
      </c>
      <c r="B52" s="4" t="s">
        <v>65</v>
      </c>
      <c r="C52" s="93">
        <v>0.01</v>
      </c>
      <c r="D52" s="93">
        <v>0.01</v>
      </c>
      <c r="E52" s="6">
        <v>211052.81</v>
      </c>
    </row>
    <row r="53" spans="8:8">
      <c r="A53" s="3" t="s">
        <v>66</v>
      </c>
      <c r="B53" s="4" t="s">
        <v>65</v>
      </c>
      <c r="C53" s="93">
        <v>0.01</v>
      </c>
      <c r="D53" s="93">
        <v>0.01</v>
      </c>
      <c r="E53" s="6">
        <v>221448.65</v>
      </c>
    </row>
    <row r="54" spans="8:8">
      <c r="A54" s="3" t="s">
        <v>67</v>
      </c>
      <c r="B54" s="4" t="s">
        <v>65</v>
      </c>
      <c r="C54" s="93">
        <v>0.01</v>
      </c>
      <c r="D54" s="93">
        <v>0.01</v>
      </c>
      <c r="E54" s="6">
        <v>211052.81</v>
      </c>
    </row>
    <row r="55" spans="8:8">
      <c r="A55" s="3" t="s">
        <v>68</v>
      </c>
      <c r="B55" s="4" t="s">
        <v>65</v>
      </c>
      <c r="C55" s="93">
        <v>0.01</v>
      </c>
      <c r="D55" s="93">
        <v>0.01</v>
      </c>
      <c r="E55" s="6">
        <v>221448.65</v>
      </c>
    </row>
    <row r="56" spans="8:8">
      <c r="A56" s="3" t="s">
        <v>69</v>
      </c>
      <c r="B56" s="4" t="s">
        <v>65</v>
      </c>
      <c r="C56" s="93">
        <v>0.01</v>
      </c>
      <c r="D56" s="93">
        <v>0.01</v>
      </c>
      <c r="E56" s="6">
        <v>259362.89</v>
      </c>
    </row>
    <row r="57" spans="8:8">
      <c r="A57" s="3" t="s">
        <v>70</v>
      </c>
      <c r="B57" s="4" t="s">
        <v>65</v>
      </c>
      <c r="C57" s="93">
        <v>0.01</v>
      </c>
      <c r="D57" s="93">
        <v>0.01</v>
      </c>
      <c r="E57" s="6">
        <v>211052.81</v>
      </c>
    </row>
    <row r="58" spans="8:8">
      <c r="A58" s="15" t="s">
        <v>71</v>
      </c>
      <c r="B58" s="16" t="s">
        <v>65</v>
      </c>
      <c r="C58" s="93">
        <v>0.01</v>
      </c>
      <c r="D58" s="93">
        <v>0.01</v>
      </c>
      <c r="E58" s="6">
        <v>239794.25</v>
      </c>
    </row>
    <row r="59" spans="8:8">
      <c r="A59" s="15" t="s">
        <v>72</v>
      </c>
      <c r="B59" s="16" t="s">
        <v>65</v>
      </c>
      <c r="C59" s="93">
        <v>0.01</v>
      </c>
      <c r="D59" s="93">
        <v>0.01</v>
      </c>
      <c r="E59" s="6">
        <v>221448.65</v>
      </c>
    </row>
    <row r="60" spans="8:8">
      <c r="A60" s="3" t="s">
        <v>73</v>
      </c>
      <c r="B60" s="4" t="s">
        <v>65</v>
      </c>
      <c r="C60" s="93">
        <v>0.01</v>
      </c>
      <c r="D60" s="93">
        <v>0.01</v>
      </c>
      <c r="E60" s="6">
        <v>211052.81</v>
      </c>
    </row>
    <row r="61" spans="8:8">
      <c r="A61" s="3" t="s">
        <v>74</v>
      </c>
      <c r="B61" s="4" t="s">
        <v>65</v>
      </c>
      <c r="C61" s="93">
        <v>0.01</v>
      </c>
      <c r="D61" s="93">
        <v>0.01</v>
      </c>
      <c r="E61" s="6">
        <v>221448.65</v>
      </c>
    </row>
    <row r="62" spans="8:8">
      <c r="A62" s="3" t="s">
        <v>75</v>
      </c>
      <c r="B62" s="4" t="s">
        <v>65</v>
      </c>
      <c r="C62" s="93">
        <v>0.01</v>
      </c>
      <c r="D62" s="93">
        <v>0.01</v>
      </c>
      <c r="E62" s="6">
        <v>315011.21</v>
      </c>
    </row>
    <row r="63" spans="8:8">
      <c r="A63" s="3" t="s">
        <v>76</v>
      </c>
      <c r="B63" s="4" t="s">
        <v>65</v>
      </c>
      <c r="C63" s="93">
        <v>0.01</v>
      </c>
      <c r="D63" s="93">
        <v>0.01</v>
      </c>
      <c r="E63" s="6">
        <v>211052.81</v>
      </c>
    </row>
    <row r="64" spans="8:8">
      <c r="A64" s="3" t="s">
        <v>77</v>
      </c>
      <c r="B64" s="4" t="s">
        <v>65</v>
      </c>
      <c r="C64" s="93">
        <v>0.01</v>
      </c>
      <c r="D64" s="93">
        <v>0.01</v>
      </c>
      <c r="E64" s="6">
        <v>221448.65</v>
      </c>
    </row>
    <row r="65" spans="8:8">
      <c r="A65" s="3" t="s">
        <v>78</v>
      </c>
      <c r="B65" s="4" t="s">
        <v>65</v>
      </c>
      <c r="C65" s="93">
        <v>0.01</v>
      </c>
      <c r="D65" s="93">
        <v>0.01</v>
      </c>
      <c r="E65" s="6">
        <v>239794.25</v>
      </c>
    </row>
    <row r="66" spans="8:8">
      <c r="A66" s="3" t="s">
        <v>79</v>
      </c>
      <c r="B66" s="4" t="s">
        <v>65</v>
      </c>
      <c r="C66" s="93">
        <v>0.01</v>
      </c>
      <c r="D66" s="93">
        <v>0.01</v>
      </c>
      <c r="E66" s="6">
        <v>259362.89</v>
      </c>
    </row>
    <row r="67" spans="8:8">
      <c r="A67" s="3" t="s">
        <v>80</v>
      </c>
      <c r="B67" s="4" t="s">
        <v>65</v>
      </c>
      <c r="C67" s="93">
        <v>0.01</v>
      </c>
      <c r="D67" s="93">
        <v>0.01</v>
      </c>
      <c r="E67" s="6">
        <v>211052.81</v>
      </c>
    </row>
    <row r="68" spans="8:8">
      <c r="A68" s="3" t="s">
        <v>81</v>
      </c>
      <c r="B68" s="4" t="s">
        <v>65</v>
      </c>
      <c r="C68" s="93">
        <v>0.01</v>
      </c>
      <c r="D68" s="93">
        <v>0.01</v>
      </c>
      <c r="E68" s="6">
        <v>221448.65</v>
      </c>
    </row>
    <row r="69" spans="8:8">
      <c r="A69" s="3" t="s">
        <v>82</v>
      </c>
      <c r="B69" s="4" t="s">
        <v>65</v>
      </c>
      <c r="C69" s="93">
        <v>0.01</v>
      </c>
      <c r="D69" s="93">
        <v>0.01</v>
      </c>
      <c r="E69" s="6">
        <v>373105.61</v>
      </c>
    </row>
    <row r="70" spans="8:8">
      <c r="A70" s="3" t="s">
        <v>83</v>
      </c>
      <c r="B70" s="4" t="s">
        <v>65</v>
      </c>
      <c r="C70" s="93">
        <v>0.01</v>
      </c>
      <c r="D70" s="93">
        <v>0.01</v>
      </c>
      <c r="E70" s="6">
        <v>393897.29</v>
      </c>
    </row>
    <row r="71" spans="8:8">
      <c r="A71" s="3" t="s">
        <v>84</v>
      </c>
      <c r="B71" s="4" t="s">
        <v>65</v>
      </c>
      <c r="C71" s="93">
        <v>0.01</v>
      </c>
      <c r="D71" s="93">
        <v>0.01</v>
      </c>
      <c r="E71" s="6">
        <v>221448.65</v>
      </c>
    </row>
    <row r="72" spans="8:8">
      <c r="A72" s="3" t="s">
        <v>85</v>
      </c>
      <c r="B72" s="4" t="s">
        <v>65</v>
      </c>
      <c r="C72" s="93">
        <v>0.01</v>
      </c>
      <c r="D72" s="93">
        <v>0.01</v>
      </c>
      <c r="E72" s="6">
        <v>393897.29</v>
      </c>
    </row>
    <row r="73" spans="8:8">
      <c r="A73" s="15" t="s">
        <v>86</v>
      </c>
      <c r="B73" s="16" t="s">
        <v>65</v>
      </c>
      <c r="C73" s="93">
        <v>0.01</v>
      </c>
      <c r="D73" s="93">
        <v>0.01</v>
      </c>
      <c r="E73" s="6">
        <v>221448.65</v>
      </c>
    </row>
    <row r="74" spans="8:8" s="49" ht="15.0" customFormat="1">
      <c r="A74" s="3" t="s">
        <v>87</v>
      </c>
      <c r="B74" s="4" t="s">
        <v>65</v>
      </c>
      <c r="C74" s="93">
        <v>0.01</v>
      </c>
      <c r="D74" s="93">
        <v>0.01</v>
      </c>
      <c r="E74" s="6">
        <v>239794.25</v>
      </c>
    </row>
    <row r="75" spans="8:8">
      <c r="A75" s="3" t="s">
        <v>88</v>
      </c>
      <c r="B75" s="4" t="s">
        <v>65</v>
      </c>
      <c r="C75" s="93">
        <v>0.01</v>
      </c>
      <c r="D75" s="93">
        <v>0.01</v>
      </c>
      <c r="E75" s="6">
        <v>259362.89</v>
      </c>
    </row>
    <row r="76" spans="8:8">
      <c r="A76" s="3" t="s">
        <v>89</v>
      </c>
      <c r="B76" s="4" t="s">
        <v>65</v>
      </c>
      <c r="C76" s="93">
        <v>0.01</v>
      </c>
      <c r="D76" s="93">
        <v>0.01</v>
      </c>
      <c r="E76" s="6">
        <v>287492.81</v>
      </c>
    </row>
    <row r="77" spans="8:8">
      <c r="A77" s="3" t="s">
        <v>90</v>
      </c>
      <c r="B77" s="4" t="s">
        <v>65</v>
      </c>
      <c r="C77" s="93">
        <v>0.01</v>
      </c>
      <c r="D77" s="93">
        <v>0.01</v>
      </c>
      <c r="E77" s="6">
        <v>305226.89</v>
      </c>
    </row>
    <row r="78" spans="8:8">
      <c r="A78" s="3" t="s">
        <v>91</v>
      </c>
      <c r="B78" s="4" t="s">
        <v>65</v>
      </c>
      <c r="C78" s="93">
        <v>0.01</v>
      </c>
      <c r="D78" s="93">
        <v>0.01</v>
      </c>
      <c r="E78" s="6">
        <v>320514.89</v>
      </c>
    </row>
    <row r="79" spans="8:8">
      <c r="A79" s="3" t="s">
        <v>92</v>
      </c>
      <c r="B79" s="4" t="s">
        <v>65</v>
      </c>
      <c r="C79" s="93">
        <v>0.01</v>
      </c>
      <c r="D79" s="93">
        <v>0.01</v>
      </c>
      <c r="E79" s="6">
        <v>211052.81</v>
      </c>
    </row>
    <row r="80" spans="8:8">
      <c r="A80" s="3" t="s">
        <v>93</v>
      </c>
      <c r="B80" s="4" t="s">
        <v>65</v>
      </c>
      <c r="C80" s="93">
        <v>0.01</v>
      </c>
      <c r="D80" s="93">
        <v>0.01</v>
      </c>
      <c r="E80" s="6">
        <v>221448.65</v>
      </c>
    </row>
    <row r="81" spans="8:8">
      <c r="A81" s="3" t="s">
        <v>94</v>
      </c>
      <c r="B81" s="4" t="s">
        <v>65</v>
      </c>
      <c r="C81" s="93">
        <v>0.01</v>
      </c>
      <c r="D81" s="93">
        <v>0.01</v>
      </c>
      <c r="E81" s="6">
        <v>259362.89</v>
      </c>
    </row>
    <row r="82" spans="8:8">
      <c r="A82" s="3" t="s">
        <v>95</v>
      </c>
      <c r="B82" s="4" t="s">
        <v>65</v>
      </c>
      <c r="C82" s="93">
        <v>0.01</v>
      </c>
      <c r="D82" s="93">
        <v>0.01</v>
      </c>
      <c r="E82" s="6">
        <v>221448.65</v>
      </c>
    </row>
    <row r="83" spans="8:8">
      <c r="A83" s="3" t="s">
        <v>96</v>
      </c>
      <c r="B83" s="4" t="s">
        <v>65</v>
      </c>
      <c r="C83" s="93">
        <v>0.01</v>
      </c>
      <c r="D83" s="93">
        <v>0.01</v>
      </c>
      <c r="E83" s="6">
        <v>259362.89</v>
      </c>
    </row>
    <row r="84" spans="8:8">
      <c r="A84" s="3" t="s">
        <v>97</v>
      </c>
      <c r="B84" s="4" t="s">
        <v>65</v>
      </c>
      <c r="C84" s="93">
        <v>0.01</v>
      </c>
      <c r="D84" s="93">
        <v>0.01</v>
      </c>
      <c r="E84" s="6">
        <v>211052.81</v>
      </c>
    </row>
    <row r="85" spans="8:8">
      <c r="A85" s="15" t="s">
        <v>98</v>
      </c>
      <c r="B85" s="16" t="s">
        <v>65</v>
      </c>
      <c r="C85" s="93">
        <v>0.01</v>
      </c>
      <c r="D85" s="93">
        <v>0.01</v>
      </c>
      <c r="E85" s="6">
        <v>221448.65</v>
      </c>
    </row>
    <row r="86" spans="8:8" s="49" ht="15.0" customFormat="1">
      <c r="A86" s="3" t="s">
        <v>99</v>
      </c>
      <c r="B86" s="4" t="s">
        <v>65</v>
      </c>
      <c r="C86" s="93">
        <v>0.01</v>
      </c>
      <c r="D86" s="93">
        <v>0.01</v>
      </c>
      <c r="E86" s="6">
        <v>259362.89</v>
      </c>
    </row>
    <row r="87" spans="8:8">
      <c r="A87" s="3" t="s">
        <v>100</v>
      </c>
      <c r="B87" s="4" t="s">
        <v>65</v>
      </c>
      <c r="C87" s="93">
        <v>0.01</v>
      </c>
      <c r="D87" s="93">
        <v>0.01</v>
      </c>
      <c r="E87" s="6">
        <v>305226.89</v>
      </c>
    </row>
    <row r="88" spans="8:8">
      <c r="A88" s="3" t="s">
        <v>101</v>
      </c>
      <c r="B88" s="4" t="s">
        <v>65</v>
      </c>
      <c r="C88" s="93">
        <v>0.01</v>
      </c>
      <c r="D88" s="93">
        <v>0.01</v>
      </c>
      <c r="E88" s="6">
        <v>320514.89</v>
      </c>
    </row>
    <row r="89" spans="8:8">
      <c r="A89" s="3" t="s">
        <v>102</v>
      </c>
      <c r="B89" s="4" t="s">
        <v>65</v>
      </c>
      <c r="C89" s="93">
        <v>0.01</v>
      </c>
      <c r="D89" s="93">
        <v>0.01</v>
      </c>
      <c r="E89" s="6">
        <v>219614.09</v>
      </c>
    </row>
    <row r="90" spans="8:8">
      <c r="A90" s="3" t="s">
        <v>103</v>
      </c>
      <c r="B90" s="4" t="s">
        <v>65</v>
      </c>
      <c r="C90" s="93">
        <v>0.01</v>
      </c>
      <c r="D90" s="93">
        <v>0.01</v>
      </c>
      <c r="E90" s="6">
        <v>211052.81</v>
      </c>
    </row>
    <row r="91" spans="8:8">
      <c r="A91" s="15" t="s">
        <v>104</v>
      </c>
      <c r="B91" s="16" t="s">
        <v>65</v>
      </c>
      <c r="C91" s="93">
        <v>0.01</v>
      </c>
      <c r="D91" s="93">
        <v>0.01</v>
      </c>
      <c r="E91" s="6">
        <v>221448.65</v>
      </c>
    </row>
    <row r="92" spans="8:8" s="49" ht="15.0" customFormat="1">
      <c r="A92" s="3" t="s">
        <v>105</v>
      </c>
      <c r="B92" s="4" t="s">
        <v>65</v>
      </c>
      <c r="C92" s="93">
        <v>0.01</v>
      </c>
      <c r="D92" s="93">
        <v>0.01</v>
      </c>
      <c r="E92" s="17">
        <v>239794.25</v>
      </c>
    </row>
    <row r="93" spans="8:8">
      <c r="A93" s="3" t="s">
        <v>108</v>
      </c>
      <c r="B93" s="4" t="s">
        <v>65</v>
      </c>
      <c r="C93" s="93">
        <v>0.01</v>
      </c>
      <c r="D93" s="93">
        <v>0.01</v>
      </c>
      <c r="E93" s="6">
        <v>221448.65</v>
      </c>
    </row>
    <row r="94" spans="8:8">
      <c r="A94" s="3" t="s">
        <v>109</v>
      </c>
      <c r="B94" s="4" t="s">
        <v>65</v>
      </c>
      <c r="C94" s="93">
        <v>0.01</v>
      </c>
      <c r="D94" s="93">
        <v>0.01</v>
      </c>
      <c r="E94" s="6">
        <v>239794.25</v>
      </c>
    </row>
    <row r="95" spans="8:8">
      <c r="A95" s="3" t="s">
        <v>110</v>
      </c>
      <c r="B95" s="4" t="s">
        <v>65</v>
      </c>
      <c r="C95" s="93">
        <v>91728.0</v>
      </c>
      <c r="D95" s="93">
        <v>91728.0</v>
      </c>
      <c r="E95" s="6">
        <v>299111.68</v>
      </c>
    </row>
    <row r="96" spans="8:8">
      <c r="A96" s="3" t="s">
        <v>111</v>
      </c>
      <c r="B96" s="4" t="s">
        <v>65</v>
      </c>
      <c r="C96" s="93">
        <v>0.01</v>
      </c>
      <c r="D96" s="93">
        <v>0.01</v>
      </c>
      <c r="E96" s="6">
        <v>211052.81</v>
      </c>
    </row>
    <row r="97" spans="8:8">
      <c r="A97" s="3" t="s">
        <v>112</v>
      </c>
      <c r="B97" s="4" t="s">
        <v>65</v>
      </c>
      <c r="C97" s="93">
        <v>0.01</v>
      </c>
      <c r="D97" s="93">
        <v>0.01</v>
      </c>
      <c r="E97" s="6">
        <v>221448.65</v>
      </c>
    </row>
    <row r="98" spans="8:8">
      <c r="A98" s="3" t="s">
        <v>113</v>
      </c>
      <c r="B98" s="4" t="s">
        <v>65</v>
      </c>
      <c r="C98" s="93">
        <v>0.01</v>
      </c>
      <c r="D98" s="93">
        <v>0.01</v>
      </c>
      <c r="E98" s="6">
        <v>239794.25</v>
      </c>
    </row>
    <row r="99" spans="8:8">
      <c r="A99" s="3" t="s">
        <v>114</v>
      </c>
      <c r="B99" s="4" t="s">
        <v>65</v>
      </c>
      <c r="C99" s="93">
        <v>0.01</v>
      </c>
      <c r="D99" s="93">
        <v>0.01</v>
      </c>
      <c r="E99" s="6">
        <v>211052.81</v>
      </c>
    </row>
    <row r="100" spans="8:8">
      <c r="A100" s="3" t="s">
        <v>115</v>
      </c>
      <c r="B100" s="4" t="s">
        <v>65</v>
      </c>
      <c r="C100" s="93">
        <v>0.01</v>
      </c>
      <c r="D100" s="93">
        <v>0.01</v>
      </c>
      <c r="E100" s="6">
        <v>221448.65</v>
      </c>
    </row>
    <row r="101" spans="8:8">
      <c r="A101" s="3" t="s">
        <v>116</v>
      </c>
      <c r="B101" s="4" t="s">
        <v>65</v>
      </c>
      <c r="C101" s="93">
        <v>0.01</v>
      </c>
      <c r="D101" s="93">
        <v>0.01</v>
      </c>
      <c r="E101" s="6">
        <v>239794.25</v>
      </c>
    </row>
    <row r="102" spans="8:8">
      <c r="A102" s="3" t="s">
        <v>117</v>
      </c>
      <c r="B102" s="4" t="s">
        <v>65</v>
      </c>
      <c r="C102" s="93">
        <v>0.01</v>
      </c>
      <c r="D102" s="93">
        <v>0.01</v>
      </c>
      <c r="E102" s="6">
        <v>221448.65</v>
      </c>
    </row>
    <row r="103" spans="8:8">
      <c r="A103" s="3" t="s">
        <v>118</v>
      </c>
      <c r="B103" s="4" t="s">
        <v>65</v>
      </c>
      <c r="C103" s="93">
        <v>0.01</v>
      </c>
      <c r="D103" s="93">
        <v>0.01</v>
      </c>
      <c r="E103" s="6">
        <v>211052.81</v>
      </c>
    </row>
    <row r="104" spans="8:8">
      <c r="A104" s="3" t="s">
        <v>119</v>
      </c>
      <c r="B104" s="4" t="s">
        <v>65</v>
      </c>
      <c r="C104" s="93">
        <v>0.01</v>
      </c>
      <c r="D104" s="93">
        <v>0.01</v>
      </c>
      <c r="E104" s="6">
        <v>221448.65</v>
      </c>
    </row>
    <row r="105" spans="8:8">
      <c r="A105" s="3" t="s">
        <v>120</v>
      </c>
      <c r="B105" s="4" t="s">
        <v>65</v>
      </c>
      <c r="C105" s="93">
        <v>0.01</v>
      </c>
      <c r="D105" s="93">
        <v>0.01</v>
      </c>
      <c r="E105" s="6">
        <v>373105.61</v>
      </c>
    </row>
    <row r="106" spans="8:8">
      <c r="A106" s="3" t="s">
        <v>121</v>
      </c>
      <c r="B106" s="4" t="s">
        <v>65</v>
      </c>
      <c r="C106" s="93">
        <v>0.01</v>
      </c>
      <c r="D106" s="93">
        <v>0.01</v>
      </c>
      <c r="E106" s="6">
        <v>393897.29</v>
      </c>
    </row>
    <row r="107" spans="8:8">
      <c r="A107" s="3" t="s">
        <v>122</v>
      </c>
      <c r="B107" s="4" t="s">
        <v>65</v>
      </c>
      <c r="C107" s="93">
        <v>0.01</v>
      </c>
      <c r="D107" s="93">
        <v>0.01</v>
      </c>
      <c r="E107" s="6">
        <v>259362.89</v>
      </c>
    </row>
    <row r="108" spans="8:8">
      <c r="A108" s="3" t="s">
        <v>123</v>
      </c>
      <c r="B108" s="4" t="s">
        <v>65</v>
      </c>
      <c r="C108" s="93">
        <v>0.01</v>
      </c>
      <c r="D108" s="93">
        <v>0.01</v>
      </c>
      <c r="E108" s="6">
        <v>221448.65</v>
      </c>
    </row>
    <row r="109" spans="8:8">
      <c r="A109" s="3" t="s">
        <v>124</v>
      </c>
      <c r="B109" s="4" t="s">
        <v>65</v>
      </c>
      <c r="C109" s="93">
        <v>0.01</v>
      </c>
      <c r="D109" s="93">
        <v>0.01</v>
      </c>
      <c r="E109" s="6">
        <v>259362.89</v>
      </c>
    </row>
    <row r="110" spans="8:8">
      <c r="A110" s="3" t="s">
        <v>125</v>
      </c>
      <c r="B110" s="4" t="s">
        <v>65</v>
      </c>
      <c r="C110" s="93">
        <v>0.01</v>
      </c>
      <c r="D110" s="93">
        <v>0.01</v>
      </c>
      <c r="E110" s="6">
        <v>259362.89</v>
      </c>
    </row>
    <row r="111" spans="8:8">
      <c r="A111" s="3" t="s">
        <v>126</v>
      </c>
      <c r="B111" s="4" t="s">
        <v>65</v>
      </c>
      <c r="C111" s="93">
        <v>0.01</v>
      </c>
      <c r="D111" s="93">
        <v>0.01</v>
      </c>
      <c r="E111" s="6">
        <v>287492.81</v>
      </c>
    </row>
    <row r="112" spans="8:8">
      <c r="A112" s="3" t="s">
        <v>127</v>
      </c>
      <c r="B112" s="4" t="s">
        <v>65</v>
      </c>
      <c r="C112" s="93">
        <v>0.01</v>
      </c>
      <c r="D112" s="93">
        <v>0.01</v>
      </c>
      <c r="E112" s="6">
        <v>211052.81</v>
      </c>
    </row>
    <row r="113" spans="8:8">
      <c r="A113" s="3" t="s">
        <v>128</v>
      </c>
      <c r="B113" s="4" t="s">
        <v>65</v>
      </c>
      <c r="C113" s="93">
        <v>0.01</v>
      </c>
      <c r="D113" s="93">
        <v>0.01</v>
      </c>
      <c r="E113" s="6">
        <v>221448.65</v>
      </c>
    </row>
    <row r="114" spans="8:8">
      <c r="A114" s="3" t="s">
        <v>129</v>
      </c>
      <c r="B114" s="4" t="s">
        <v>65</v>
      </c>
      <c r="C114" s="93">
        <v>0.01</v>
      </c>
      <c r="D114" s="93">
        <v>0.01</v>
      </c>
      <c r="E114" s="6">
        <v>430588.49</v>
      </c>
    </row>
    <row r="115" spans="8:8">
      <c r="A115" s="3" t="s">
        <v>130</v>
      </c>
      <c r="B115" s="4" t="s">
        <v>65</v>
      </c>
      <c r="C115" s="93">
        <v>0.01</v>
      </c>
      <c r="D115" s="93">
        <v>0.01</v>
      </c>
      <c r="E115" s="6">
        <v>469725.77</v>
      </c>
    </row>
    <row r="116" spans="8:8">
      <c r="A116" s="3" t="s">
        <v>131</v>
      </c>
      <c r="B116" s="4" t="s">
        <v>65</v>
      </c>
      <c r="C116" s="93">
        <v>0.01</v>
      </c>
      <c r="D116" s="93">
        <v>0.01</v>
      </c>
      <c r="E116" s="6">
        <v>525985.61</v>
      </c>
    </row>
    <row r="117" spans="8:8">
      <c r="A117" s="3" t="s">
        <v>132</v>
      </c>
      <c r="B117" s="4" t="s">
        <v>65</v>
      </c>
      <c r="C117" s="93">
        <v>0.01</v>
      </c>
      <c r="D117" s="93">
        <v>0.01</v>
      </c>
      <c r="E117" s="6">
        <v>211052.81</v>
      </c>
    </row>
    <row r="118" spans="8:8">
      <c r="A118" s="3" t="s">
        <v>133</v>
      </c>
      <c r="B118" s="4" t="s">
        <v>65</v>
      </c>
      <c r="C118" s="93">
        <v>0.01</v>
      </c>
      <c r="D118" s="93">
        <v>0.01</v>
      </c>
      <c r="E118" s="6">
        <v>221448.65</v>
      </c>
    </row>
    <row r="119" spans="8:8">
      <c r="A119" s="3" t="s">
        <v>134</v>
      </c>
      <c r="B119" s="4" t="s">
        <v>65</v>
      </c>
      <c r="C119" s="93">
        <v>0.01</v>
      </c>
      <c r="D119" s="93">
        <v>0.01</v>
      </c>
      <c r="E119" s="6">
        <v>239794.25</v>
      </c>
    </row>
    <row r="120" spans="8:8">
      <c r="A120" s="3" t="s">
        <v>135</v>
      </c>
      <c r="B120" s="4" t="s">
        <v>65</v>
      </c>
      <c r="C120" s="93">
        <v>0.01</v>
      </c>
      <c r="D120" s="93">
        <v>0.01</v>
      </c>
      <c r="E120" s="6">
        <v>211052.81</v>
      </c>
    </row>
    <row r="121" spans="8:8">
      <c r="A121" s="3" t="s">
        <v>136</v>
      </c>
      <c r="B121" s="4" t="s">
        <v>65</v>
      </c>
      <c r="C121" s="93">
        <v>0.01</v>
      </c>
      <c r="D121" s="93">
        <v>0.01</v>
      </c>
      <c r="E121" s="6">
        <v>221448.65</v>
      </c>
    </row>
    <row r="122" spans="8:8">
      <c r="A122" s="3" t="s">
        <v>137</v>
      </c>
      <c r="B122" s="4" t="s">
        <v>65</v>
      </c>
      <c r="C122" s="93">
        <v>0.01</v>
      </c>
      <c r="D122" s="93">
        <v>0.01</v>
      </c>
      <c r="E122" s="6">
        <v>373105.61</v>
      </c>
    </row>
    <row r="123" spans="8:8">
      <c r="A123" s="3" t="s">
        <v>138</v>
      </c>
      <c r="B123" s="4" t="s">
        <v>65</v>
      </c>
      <c r="C123" s="93">
        <v>0.01</v>
      </c>
      <c r="D123" s="93">
        <v>0.01</v>
      </c>
      <c r="E123" s="6">
        <v>393897.29</v>
      </c>
    </row>
    <row r="124" spans="8:8">
      <c r="A124" s="3" t="s">
        <v>139</v>
      </c>
      <c r="B124" s="4" t="s">
        <v>65</v>
      </c>
      <c r="C124" s="93">
        <v>0.01</v>
      </c>
      <c r="D124" s="93">
        <v>0.01</v>
      </c>
      <c r="E124" s="6">
        <v>211052.81</v>
      </c>
    </row>
    <row r="125" spans="8:8">
      <c r="A125" s="3" t="s">
        <v>140</v>
      </c>
      <c r="B125" s="4" t="s">
        <v>65</v>
      </c>
      <c r="C125" s="93">
        <v>0.01</v>
      </c>
      <c r="D125" s="93">
        <v>0.01</v>
      </c>
      <c r="E125" s="6">
        <v>221448.65</v>
      </c>
    </row>
    <row r="126" spans="8:8">
      <c r="A126" s="3" t="s">
        <v>141</v>
      </c>
      <c r="B126" s="4" t="s">
        <v>65</v>
      </c>
      <c r="C126" s="93">
        <v>0.01</v>
      </c>
      <c r="D126" s="93">
        <v>0.01</v>
      </c>
      <c r="E126" s="6">
        <v>239794.25</v>
      </c>
    </row>
    <row r="127" spans="8:8">
      <c r="A127" s="3" t="s">
        <v>142</v>
      </c>
      <c r="B127" s="4" t="s">
        <v>65</v>
      </c>
      <c r="C127" s="93">
        <v>0.01</v>
      </c>
      <c r="D127" s="93">
        <v>0.01</v>
      </c>
      <c r="E127" s="6">
        <v>373105.61</v>
      </c>
    </row>
    <row r="128" spans="8:8">
      <c r="A128" s="3" t="s">
        <v>143</v>
      </c>
      <c r="B128" s="4" t="s">
        <v>65</v>
      </c>
      <c r="C128" s="93">
        <v>0.01</v>
      </c>
      <c r="D128" s="93">
        <v>0.01</v>
      </c>
      <c r="E128" s="6">
        <v>393897.29</v>
      </c>
    </row>
    <row r="129" spans="8:8">
      <c r="A129" s="3" t="s">
        <v>144</v>
      </c>
      <c r="B129" s="4" t="s">
        <v>65</v>
      </c>
      <c r="C129" s="93">
        <v>0.01</v>
      </c>
      <c r="D129" s="93">
        <v>0.01</v>
      </c>
      <c r="E129" s="6">
        <v>430588.49</v>
      </c>
    </row>
    <row r="130" spans="8:8">
      <c r="A130" s="3" t="s">
        <v>145</v>
      </c>
      <c r="B130" s="4" t="s">
        <v>65</v>
      </c>
      <c r="C130" s="93">
        <v>0.01</v>
      </c>
      <c r="D130" s="93">
        <v>0.01</v>
      </c>
      <c r="E130" s="6">
        <v>211052.81</v>
      </c>
    </row>
    <row r="131" spans="8:8">
      <c r="A131" s="3" t="s">
        <v>146</v>
      </c>
      <c r="B131" s="4" t="s">
        <v>65</v>
      </c>
      <c r="C131" s="93">
        <v>0.01</v>
      </c>
      <c r="D131" s="93">
        <v>0.01</v>
      </c>
      <c r="E131" s="6">
        <v>221448.65</v>
      </c>
    </row>
    <row r="132" spans="8:8">
      <c r="A132" s="3" t="s">
        <v>147</v>
      </c>
      <c r="B132" s="4" t="s">
        <v>65</v>
      </c>
      <c r="C132" s="93">
        <v>0.01</v>
      </c>
      <c r="D132" s="93">
        <v>0.01</v>
      </c>
      <c r="E132" s="6">
        <v>239794.25</v>
      </c>
    </row>
    <row r="133" spans="8:8">
      <c r="A133" s="3" t="s">
        <v>148</v>
      </c>
      <c r="B133" s="4" t="s">
        <v>65</v>
      </c>
      <c r="C133" s="93">
        <v>0.01</v>
      </c>
      <c r="D133" s="93">
        <v>0.01</v>
      </c>
      <c r="E133" s="6">
        <v>221448.65</v>
      </c>
    </row>
    <row r="134" spans="8:8">
      <c r="A134" s="3" t="s">
        <v>149</v>
      </c>
      <c r="B134" s="4" t="s">
        <v>65</v>
      </c>
      <c r="C134" s="93">
        <v>0.01</v>
      </c>
      <c r="D134" s="93">
        <v>0.01</v>
      </c>
      <c r="E134" s="6">
        <v>239794.25</v>
      </c>
    </row>
    <row r="135" spans="8:8">
      <c r="A135" s="3" t="s">
        <v>150</v>
      </c>
      <c r="B135" s="4" t="s">
        <v>65</v>
      </c>
      <c r="C135" s="93">
        <v>0.01</v>
      </c>
      <c r="D135" s="93">
        <v>0.01</v>
      </c>
      <c r="E135" s="6">
        <v>305226.89</v>
      </c>
    </row>
    <row r="136" spans="8:8">
      <c r="A136" s="3" t="s">
        <v>151</v>
      </c>
      <c r="B136" s="4" t="s">
        <v>65</v>
      </c>
      <c r="C136" s="93">
        <v>0.01</v>
      </c>
      <c r="D136" s="93">
        <v>0.01</v>
      </c>
      <c r="E136" s="6">
        <v>393897.29</v>
      </c>
    </row>
    <row r="137" spans="8:8">
      <c r="A137" s="3" t="s">
        <v>152</v>
      </c>
      <c r="B137" s="4" t="s">
        <v>65</v>
      </c>
      <c r="C137" s="93">
        <v>0.01</v>
      </c>
      <c r="D137" s="93">
        <v>0.01</v>
      </c>
      <c r="E137" s="6">
        <v>430588.49</v>
      </c>
    </row>
    <row r="138" spans="8:8">
      <c r="A138" s="3" t="s">
        <v>153</v>
      </c>
      <c r="B138" s="4" t="s">
        <v>65</v>
      </c>
      <c r="C138" s="93">
        <v>0.01</v>
      </c>
      <c r="D138" s="93">
        <v>0.01</v>
      </c>
      <c r="E138" s="6">
        <v>843976.01</v>
      </c>
    </row>
    <row r="139" spans="8:8">
      <c r="A139" s="3" t="s">
        <v>154</v>
      </c>
      <c r="B139" s="4" t="s">
        <v>65</v>
      </c>
      <c r="C139" s="93">
        <v>0.01</v>
      </c>
      <c r="D139" s="93">
        <v>0.01</v>
      </c>
      <c r="E139" s="6">
        <v>201880.01</v>
      </c>
    </row>
    <row r="140" spans="8:8">
      <c r="A140" s="3" t="s">
        <v>155</v>
      </c>
      <c r="B140" s="4" t="s">
        <v>65</v>
      </c>
      <c r="C140" s="93">
        <v>0.01</v>
      </c>
      <c r="D140" s="93">
        <v>0.01</v>
      </c>
      <c r="E140" s="6">
        <v>211052.81</v>
      </c>
    </row>
    <row r="141" spans="8:8">
      <c r="A141" s="3" t="s">
        <v>156</v>
      </c>
      <c r="B141" s="4" t="s">
        <v>65</v>
      </c>
      <c r="C141" s="93">
        <v>0.01</v>
      </c>
      <c r="D141" s="93">
        <v>0.01</v>
      </c>
      <c r="E141" s="6">
        <v>221448.65</v>
      </c>
    </row>
    <row r="142" spans="8:8">
      <c r="A142" s="3" t="s">
        <v>157</v>
      </c>
      <c r="B142" s="4" t="s">
        <v>65</v>
      </c>
      <c r="C142" s="93">
        <v>0.01</v>
      </c>
      <c r="D142" s="93">
        <v>0.01</v>
      </c>
      <c r="E142" s="6">
        <v>211052.81</v>
      </c>
    </row>
    <row r="143" spans="8:8">
      <c r="A143" s="3" t="s">
        <v>158</v>
      </c>
      <c r="B143" s="4" t="s">
        <v>65</v>
      </c>
      <c r="C143" s="93">
        <v>0.01</v>
      </c>
      <c r="D143" s="93">
        <v>0.01</v>
      </c>
      <c r="E143" s="6">
        <v>221448.65</v>
      </c>
    </row>
    <row r="144" spans="8:8">
      <c r="A144" s="3" t="s">
        <v>159</v>
      </c>
      <c r="B144" s="4" t="s">
        <v>65</v>
      </c>
      <c r="C144" s="93">
        <v>0.01</v>
      </c>
      <c r="D144" s="93">
        <v>0.01</v>
      </c>
      <c r="E144" s="6">
        <v>239794.25</v>
      </c>
    </row>
    <row r="145" spans="8:8">
      <c r="A145" s="3" t="s">
        <v>160</v>
      </c>
      <c r="B145" s="4" t="s">
        <v>65</v>
      </c>
      <c r="C145" s="93">
        <v>0.01</v>
      </c>
      <c r="D145" s="93">
        <v>0.01</v>
      </c>
      <c r="E145" s="6">
        <v>221448.65</v>
      </c>
    </row>
    <row r="146" spans="8:8">
      <c r="A146" s="3" t="s">
        <v>161</v>
      </c>
      <c r="B146" s="4" t="s">
        <v>65</v>
      </c>
      <c r="C146" s="93">
        <v>0.01</v>
      </c>
      <c r="D146" s="93">
        <v>0.01</v>
      </c>
      <c r="E146" s="6">
        <v>239794.25</v>
      </c>
    </row>
    <row r="147" spans="8:8">
      <c r="A147" s="3" t="s">
        <v>162</v>
      </c>
      <c r="B147" s="4" t="s">
        <v>65</v>
      </c>
      <c r="C147" s="93">
        <v>0.01</v>
      </c>
      <c r="D147" s="93">
        <v>0.01</v>
      </c>
      <c r="E147" s="6">
        <v>393897.29</v>
      </c>
    </row>
    <row r="148" spans="8:8">
      <c r="A148" s="3" t="s">
        <v>163</v>
      </c>
      <c r="B148" s="4" t="s">
        <v>65</v>
      </c>
      <c r="C148" s="93">
        <v>0.01</v>
      </c>
      <c r="D148" s="93">
        <v>0.01</v>
      </c>
      <c r="E148" s="6">
        <v>430588.49</v>
      </c>
    </row>
    <row r="149" spans="8:8">
      <c r="A149" s="3" t="s">
        <v>164</v>
      </c>
      <c r="B149" s="4" t="s">
        <v>65</v>
      </c>
      <c r="C149" s="93">
        <v>0.01</v>
      </c>
      <c r="D149" s="93">
        <v>0.01</v>
      </c>
      <c r="E149" s="6">
        <v>198210.89</v>
      </c>
    </row>
    <row r="150" spans="8:8">
      <c r="A150" s="3" t="s">
        <v>165</v>
      </c>
      <c r="B150" s="4" t="s">
        <v>65</v>
      </c>
      <c r="C150" s="93">
        <v>0.01</v>
      </c>
      <c r="D150" s="93">
        <v>0.01</v>
      </c>
      <c r="E150" s="6">
        <v>216556.49</v>
      </c>
    </row>
    <row r="151" spans="8:8">
      <c r="A151" s="3" t="s">
        <v>166</v>
      </c>
      <c r="B151" s="4" t="s">
        <v>65</v>
      </c>
      <c r="C151" s="93">
        <v>0.01</v>
      </c>
      <c r="D151" s="93">
        <v>0.01</v>
      </c>
      <c r="E151" s="6">
        <v>211052.81</v>
      </c>
    </row>
    <row r="152" spans="8:8">
      <c r="A152" s="3" t="s">
        <v>167</v>
      </c>
      <c r="B152" s="4" t="s">
        <v>65</v>
      </c>
      <c r="C152" s="93">
        <v>0.01</v>
      </c>
      <c r="D152" s="93">
        <v>0.01</v>
      </c>
      <c r="E152" s="6">
        <v>221448.65</v>
      </c>
    </row>
    <row r="153" spans="8:8">
      <c r="A153" s="3" t="s">
        <v>168</v>
      </c>
      <c r="B153" s="4" t="s">
        <v>65</v>
      </c>
      <c r="C153" s="93">
        <v>0.01</v>
      </c>
      <c r="D153" s="93">
        <v>0.01</v>
      </c>
      <c r="E153" s="6">
        <v>373105.61</v>
      </c>
    </row>
    <row r="154" spans="8:8">
      <c r="A154" s="3" t="s">
        <v>169</v>
      </c>
      <c r="B154" s="4" t="s">
        <v>65</v>
      </c>
      <c r="C154" s="93">
        <v>0.01</v>
      </c>
      <c r="D154" s="93">
        <v>0.01</v>
      </c>
      <c r="E154" s="6">
        <v>393897.29</v>
      </c>
    </row>
    <row r="155" spans="8:8">
      <c r="A155" s="3" t="s">
        <v>170</v>
      </c>
      <c r="B155" s="4" t="s">
        <v>65</v>
      </c>
      <c r="C155" s="93">
        <v>0.01</v>
      </c>
      <c r="D155" s="93">
        <v>0.01</v>
      </c>
      <c r="E155" s="6">
        <v>211052.81</v>
      </c>
    </row>
    <row r="156" spans="8:8">
      <c r="A156" s="3" t="s">
        <v>171</v>
      </c>
      <c r="B156" s="4" t="s">
        <v>65</v>
      </c>
      <c r="C156" s="93">
        <v>0.01</v>
      </c>
      <c r="D156" s="93">
        <v>0.01</v>
      </c>
      <c r="E156" s="6">
        <v>221448.65</v>
      </c>
    </row>
    <row r="157" spans="8:8">
      <c r="A157" s="3" t="s">
        <v>172</v>
      </c>
      <c r="B157" s="4" t="s">
        <v>65</v>
      </c>
      <c r="C157" s="93">
        <v>0.01</v>
      </c>
      <c r="D157" s="93">
        <v>0.01</v>
      </c>
      <c r="E157" s="6">
        <v>239794.25</v>
      </c>
    </row>
    <row r="158" spans="8:8">
      <c r="A158" s="3" t="s">
        <v>173</v>
      </c>
      <c r="B158" s="4" t="s">
        <v>65</v>
      </c>
      <c r="C158" s="93">
        <v>0.01</v>
      </c>
      <c r="D158" s="93">
        <v>0.01</v>
      </c>
      <c r="E158" s="6">
        <v>373105.61</v>
      </c>
    </row>
    <row r="159" spans="8:8">
      <c r="A159" s="3" t="s">
        <v>174</v>
      </c>
      <c r="B159" s="4" t="s">
        <v>65</v>
      </c>
      <c r="C159" s="93">
        <v>0.01</v>
      </c>
      <c r="D159" s="93">
        <v>0.01</v>
      </c>
      <c r="E159" s="6">
        <v>393897.29</v>
      </c>
    </row>
    <row r="160" spans="8:8">
      <c r="A160" s="3" t="s">
        <v>175</v>
      </c>
      <c r="B160" s="4" t="s">
        <v>65</v>
      </c>
      <c r="C160" s="93">
        <v>0.01</v>
      </c>
      <c r="D160" s="93">
        <v>0.01</v>
      </c>
      <c r="E160" s="6">
        <v>430588.49</v>
      </c>
    </row>
    <row r="161" spans="8:8">
      <c r="A161" s="3" t="s">
        <v>176</v>
      </c>
      <c r="B161" s="4" t="s">
        <v>65</v>
      </c>
      <c r="C161" s="93">
        <v>0.01</v>
      </c>
      <c r="D161" s="93">
        <v>0.01</v>
      </c>
      <c r="E161" s="6">
        <v>200045.45</v>
      </c>
    </row>
    <row r="162" spans="8:8">
      <c r="A162" s="3" t="s">
        <v>177</v>
      </c>
      <c r="B162" s="4" t="s">
        <v>65</v>
      </c>
      <c r="C162" s="93">
        <v>0.01</v>
      </c>
      <c r="D162" s="93">
        <v>0.01</v>
      </c>
      <c r="E162" s="6">
        <v>239794.25</v>
      </c>
    </row>
    <row r="163" spans="8:8">
      <c r="A163" s="3" t="s">
        <v>178</v>
      </c>
      <c r="B163" s="4" t="s">
        <v>65</v>
      </c>
      <c r="C163" s="93">
        <v>110073.6</v>
      </c>
      <c r="D163" s="93">
        <v>110073.6</v>
      </c>
      <c r="E163" s="6">
        <v>3025267.84</v>
      </c>
    </row>
    <row r="164" spans="8:8">
      <c r="A164" s="3" t="s">
        <v>179</v>
      </c>
      <c r="B164" s="4" t="s">
        <v>65</v>
      </c>
      <c r="C164" s="93">
        <v>0.01</v>
      </c>
      <c r="D164" s="93">
        <v>0.01</v>
      </c>
      <c r="E164" s="6">
        <v>416523.53</v>
      </c>
    </row>
    <row r="165" spans="8:8">
      <c r="A165" s="3" t="s">
        <v>180</v>
      </c>
      <c r="B165" s="4" t="s">
        <v>65</v>
      </c>
      <c r="C165" s="93">
        <v>0.01</v>
      </c>
      <c r="D165" s="93">
        <v>0.01</v>
      </c>
      <c r="E165" s="6">
        <v>221448.65</v>
      </c>
    </row>
    <row r="166" spans="8:8">
      <c r="A166" s="3" t="s">
        <v>181</v>
      </c>
      <c r="B166" s="4" t="s">
        <v>65</v>
      </c>
      <c r="C166" s="93">
        <v>0.01</v>
      </c>
      <c r="D166" s="93">
        <v>0.01</v>
      </c>
      <c r="E166" s="6">
        <v>393897.29</v>
      </c>
    </row>
    <row r="167" spans="8:8">
      <c r="A167" s="3" t="s">
        <v>182</v>
      </c>
      <c r="B167" s="4" t="s">
        <v>65</v>
      </c>
      <c r="C167" s="93">
        <v>0.01</v>
      </c>
      <c r="D167" s="93">
        <v>0.01</v>
      </c>
      <c r="E167" s="6">
        <v>211052.81</v>
      </c>
    </row>
    <row r="168" spans="8:8">
      <c r="A168" s="3" t="s">
        <v>183</v>
      </c>
      <c r="B168" s="4" t="s">
        <v>65</v>
      </c>
      <c r="C168" s="93">
        <v>0.01</v>
      </c>
      <c r="D168" s="93">
        <v>0.01</v>
      </c>
      <c r="E168" s="6">
        <v>221448.65</v>
      </c>
    </row>
    <row r="169" spans="8:8">
      <c r="A169" s="3" t="s">
        <v>184</v>
      </c>
      <c r="B169" s="4" t="s">
        <v>65</v>
      </c>
      <c r="C169" s="93">
        <v>0.01</v>
      </c>
      <c r="D169" s="93">
        <v>0.01</v>
      </c>
      <c r="E169" s="6">
        <v>239794.25</v>
      </c>
    </row>
    <row r="170" spans="8:8">
      <c r="A170" s="3" t="s">
        <v>185</v>
      </c>
      <c r="B170" s="4" t="s">
        <v>65</v>
      </c>
      <c r="C170" s="93">
        <v>0.01</v>
      </c>
      <c r="D170" s="93">
        <v>0.01</v>
      </c>
      <c r="E170" s="6">
        <v>373105.61</v>
      </c>
    </row>
    <row r="171" spans="8:8">
      <c r="A171" s="3" t="s">
        <v>186</v>
      </c>
      <c r="B171" s="4" t="s">
        <v>65</v>
      </c>
      <c r="C171" s="93">
        <v>0.01</v>
      </c>
      <c r="D171" s="93">
        <v>0.01</v>
      </c>
      <c r="E171" s="6">
        <v>393897.29</v>
      </c>
    </row>
    <row r="172" spans="8:8">
      <c r="A172" s="3" t="s">
        <v>187</v>
      </c>
      <c r="B172" s="4" t="s">
        <v>65</v>
      </c>
      <c r="C172" s="93">
        <v>0.01</v>
      </c>
      <c r="D172" s="93">
        <v>0.01</v>
      </c>
      <c r="E172" s="6">
        <v>430588.49</v>
      </c>
    </row>
    <row r="173" spans="8:8">
      <c r="A173" s="15" t="s">
        <v>188</v>
      </c>
      <c r="B173" s="4" t="s">
        <v>65</v>
      </c>
      <c r="C173" s="93">
        <v>0.01</v>
      </c>
      <c r="D173" s="93">
        <v>0.01</v>
      </c>
      <c r="E173" s="6">
        <v>211052.81</v>
      </c>
    </row>
    <row r="174" spans="8:8">
      <c r="A174" s="3" t="s">
        <v>189</v>
      </c>
      <c r="B174" s="4" t="s">
        <v>65</v>
      </c>
      <c r="C174" s="93">
        <v>0.01</v>
      </c>
      <c r="D174" s="93">
        <v>0.01</v>
      </c>
      <c r="E174" s="6">
        <v>221448.65</v>
      </c>
    </row>
    <row r="175" spans="8:8">
      <c r="A175" s="3" t="s">
        <v>190</v>
      </c>
      <c r="B175" s="16" t="s">
        <v>65</v>
      </c>
      <c r="C175" s="93">
        <v>0.01</v>
      </c>
      <c r="D175" s="93">
        <v>0.01</v>
      </c>
      <c r="E175" s="6">
        <v>211052.81</v>
      </c>
    </row>
    <row r="176" spans="8:8" s="49" ht="15.0" customFormat="1">
      <c r="A176" s="3" t="s">
        <v>191</v>
      </c>
      <c r="B176" s="4" t="s">
        <v>65</v>
      </c>
      <c r="C176" s="93">
        <v>0.01</v>
      </c>
      <c r="D176" s="93">
        <v>0.01</v>
      </c>
      <c r="E176" s="6">
        <v>221448.65</v>
      </c>
    </row>
    <row r="177" spans="8:8">
      <c r="A177" s="3" t="s">
        <v>192</v>
      </c>
      <c r="B177" s="4" t="s">
        <v>65</v>
      </c>
      <c r="C177" s="93">
        <v>0.01</v>
      </c>
      <c r="D177" s="93">
        <v>0.01</v>
      </c>
      <c r="E177" s="6">
        <v>239794.25</v>
      </c>
    </row>
    <row r="178" spans="8:8">
      <c r="A178" s="3" t="s">
        <v>193</v>
      </c>
      <c r="B178" s="4" t="s">
        <v>65</v>
      </c>
      <c r="C178" s="93">
        <v>0.01</v>
      </c>
      <c r="D178" s="93">
        <v>0.01</v>
      </c>
      <c r="E178" s="6">
        <v>211052.81</v>
      </c>
    </row>
    <row r="179" spans="8:8">
      <c r="A179" s="3" t="s">
        <v>194</v>
      </c>
      <c r="B179" s="4" t="s">
        <v>65</v>
      </c>
      <c r="C179" s="93">
        <v>0.01</v>
      </c>
      <c r="D179" s="93">
        <v>0.01</v>
      </c>
      <c r="E179" s="6">
        <v>221448.65</v>
      </c>
    </row>
    <row r="180" spans="8:8">
      <c r="A180" s="3" t="s">
        <v>197</v>
      </c>
      <c r="B180" s="4" t="s">
        <v>65</v>
      </c>
      <c r="C180" s="93">
        <v>0.01</v>
      </c>
      <c r="D180" s="93">
        <v>0.01</v>
      </c>
      <c r="E180" s="6">
        <v>723506.57</v>
      </c>
    </row>
    <row r="181" spans="8:8">
      <c r="A181" s="3" t="s">
        <v>198</v>
      </c>
      <c r="B181" s="4" t="s">
        <v>65</v>
      </c>
      <c r="C181" s="93">
        <v>0.01</v>
      </c>
      <c r="D181" s="93">
        <v>0.01</v>
      </c>
      <c r="E181" s="6">
        <v>6765324.17</v>
      </c>
    </row>
    <row r="182" spans="8:8">
      <c r="A182" s="3" t="s">
        <v>199</v>
      </c>
      <c r="B182" s="4" t="s">
        <v>196</v>
      </c>
      <c r="C182" s="93">
        <v>0.01</v>
      </c>
      <c r="D182" s="93">
        <v>0.01</v>
      </c>
      <c r="E182" s="6">
        <v>722283.53</v>
      </c>
    </row>
    <row r="183" spans="8:8">
      <c r="A183" s="14" t="s">
        <v>344</v>
      </c>
      <c r="B183" s="4" t="s">
        <v>196</v>
      </c>
      <c r="C183" s="93"/>
      <c r="D183" s="93"/>
      <c r="E183" s="205">
        <v>1542567.06</v>
      </c>
    </row>
    <row r="184" spans="8:8">
      <c r="A184" s="3" t="s">
        <v>201</v>
      </c>
      <c r="B184" s="4" t="s">
        <v>196</v>
      </c>
      <c r="C184" s="93">
        <v>0.01</v>
      </c>
      <c r="D184" s="93">
        <v>0.01</v>
      </c>
      <c r="E184" s="6">
        <v>722283.53</v>
      </c>
    </row>
    <row r="185" spans="8:8">
      <c r="A185" s="3" t="s">
        <v>202</v>
      </c>
      <c r="B185" s="16" t="s">
        <v>196</v>
      </c>
      <c r="C185" s="93">
        <v>0.01</v>
      </c>
      <c r="D185" s="93">
        <v>0.01</v>
      </c>
      <c r="E185" s="6">
        <v>722283.53</v>
      </c>
    </row>
    <row r="186" spans="8:8">
      <c r="A186" s="3" t="s">
        <v>203</v>
      </c>
      <c r="B186" s="4" t="s">
        <v>196</v>
      </c>
      <c r="C186" s="93">
        <v>0.01</v>
      </c>
      <c r="D186" s="93">
        <v>0.01</v>
      </c>
      <c r="E186" s="6">
        <v>722283.53</v>
      </c>
    </row>
    <row r="187" spans="8:8">
      <c r="A187" s="3" t="s">
        <v>204</v>
      </c>
      <c r="B187" s="4" t="s">
        <v>196</v>
      </c>
      <c r="C187" s="93">
        <v>0.01</v>
      </c>
      <c r="D187" s="93">
        <v>0.01</v>
      </c>
      <c r="E187" s="6">
        <v>722283.53</v>
      </c>
    </row>
    <row r="188" spans="8:8">
      <c r="A188" s="3" t="s">
        <v>206</v>
      </c>
      <c r="B188" s="4" t="s">
        <v>196</v>
      </c>
      <c r="C188" s="93">
        <v>0.01</v>
      </c>
      <c r="D188" s="93">
        <v>0.01</v>
      </c>
      <c r="E188" s="6">
        <v>722283.53</v>
      </c>
    </row>
    <row r="189" spans="8:8">
      <c r="A189" s="3" t="s">
        <v>207</v>
      </c>
      <c r="B189" s="4" t="s">
        <v>196</v>
      </c>
      <c r="C189" s="93">
        <v>0.01</v>
      </c>
      <c r="D189" s="93">
        <v>0.01</v>
      </c>
      <c r="E189" s="6">
        <v>722283.53</v>
      </c>
    </row>
    <row r="190" spans="8:8">
      <c r="A190" s="3" t="s">
        <v>208</v>
      </c>
      <c r="B190" s="4" t="s">
        <v>196</v>
      </c>
      <c r="C190" s="93">
        <v>0.01</v>
      </c>
      <c r="D190" s="93">
        <v>0.01</v>
      </c>
      <c r="E190" s="6">
        <v>722283.53</v>
      </c>
    </row>
    <row r="191" spans="8:8">
      <c r="A191" s="3" t="s">
        <v>209</v>
      </c>
      <c r="B191" s="4" t="s">
        <v>196</v>
      </c>
      <c r="C191" s="93">
        <v>0.01</v>
      </c>
      <c r="D191" s="93">
        <v>0.01</v>
      </c>
      <c r="E191" s="6">
        <v>722283.53</v>
      </c>
    </row>
    <row r="192" spans="8:8">
      <c r="A192" s="3" t="s">
        <v>210</v>
      </c>
      <c r="B192" s="4" t="s">
        <v>196</v>
      </c>
      <c r="C192" s="93">
        <v>0.01</v>
      </c>
      <c r="D192" s="93">
        <v>0.01</v>
      </c>
      <c r="E192" s="6">
        <v>722283.53</v>
      </c>
    </row>
    <row r="193" spans="8:8">
      <c r="A193" s="3" t="s">
        <v>211</v>
      </c>
      <c r="B193" s="4" t="s">
        <v>196</v>
      </c>
      <c r="C193" s="93">
        <v>0.01</v>
      </c>
      <c r="D193" s="93">
        <v>0.01</v>
      </c>
      <c r="E193" s="6">
        <v>722283.53</v>
      </c>
    </row>
    <row r="194" spans="8:8">
      <c r="A194" s="3" t="s">
        <v>212</v>
      </c>
      <c r="B194" s="4" t="s">
        <v>196</v>
      </c>
      <c r="C194" s="93">
        <v>0.01</v>
      </c>
      <c r="D194" s="93">
        <v>0.01</v>
      </c>
      <c r="E194" s="6">
        <v>722283.53</v>
      </c>
    </row>
    <row r="195" spans="8:8">
      <c r="A195" s="3" t="s">
        <v>214</v>
      </c>
      <c r="B195" s="4" t="s">
        <v>196</v>
      </c>
      <c r="C195" s="93">
        <v>0.01</v>
      </c>
      <c r="D195" s="93">
        <v>0.01</v>
      </c>
      <c r="E195" s="6">
        <v>722283.53</v>
      </c>
    </row>
    <row r="196" spans="8:8">
      <c r="A196" s="3" t="s">
        <v>215</v>
      </c>
      <c r="B196" s="4" t="s">
        <v>196</v>
      </c>
      <c r="C196" s="93">
        <v>0.01</v>
      </c>
      <c r="D196" s="93">
        <v>0.01</v>
      </c>
      <c r="E196" s="6">
        <v>722283.53</v>
      </c>
    </row>
    <row r="197" spans="8:8">
      <c r="A197" s="3" t="s">
        <v>216</v>
      </c>
      <c r="B197" s="4" t="s">
        <v>196</v>
      </c>
      <c r="C197" s="93">
        <v>0.01</v>
      </c>
      <c r="D197" s="93">
        <v>0.01</v>
      </c>
      <c r="E197" s="6">
        <v>722283.53</v>
      </c>
    </row>
    <row r="198" spans="8:8">
      <c r="A198" s="3" t="s">
        <v>217</v>
      </c>
      <c r="B198" s="4" t="s">
        <v>196</v>
      </c>
      <c r="C198" s="93">
        <v>0.01</v>
      </c>
      <c r="D198" s="93">
        <v>0.01</v>
      </c>
      <c r="E198" s="6">
        <v>722283.53</v>
      </c>
    </row>
    <row r="199" spans="8:8">
      <c r="A199" s="3" t="s">
        <v>218</v>
      </c>
      <c r="B199" s="4" t="s">
        <v>196</v>
      </c>
      <c r="C199" s="93">
        <v>0.01</v>
      </c>
      <c r="D199" s="93">
        <v>0.01</v>
      </c>
      <c r="E199" s="6">
        <v>722283.53</v>
      </c>
    </row>
    <row r="200" spans="8:8">
      <c r="A200" s="14" t="s">
        <v>219</v>
      </c>
      <c r="B200" s="4" t="s">
        <v>196</v>
      </c>
      <c r="C200" s="93">
        <v>0.01</v>
      </c>
      <c r="D200" s="93">
        <v>0.01</v>
      </c>
      <c r="E200" s="6">
        <v>722283.53</v>
      </c>
    </row>
    <row r="201" spans="8:8">
      <c r="A201" s="3" t="s">
        <v>220</v>
      </c>
      <c r="B201" s="4" t="s">
        <v>196</v>
      </c>
      <c r="C201" s="93">
        <v>0.01</v>
      </c>
      <c r="D201" s="93">
        <v>0.01</v>
      </c>
      <c r="E201" s="6">
        <v>722283.53</v>
      </c>
    </row>
    <row r="202" spans="8:8">
      <c r="A202" s="18" t="s">
        <v>345</v>
      </c>
      <c r="B202" s="4" t="s">
        <v>196</v>
      </c>
      <c r="C202" s="93">
        <v>0.01</v>
      </c>
      <c r="D202" s="93">
        <v>0.01</v>
      </c>
      <c r="E202" s="205">
        <v>820283.53</v>
      </c>
    </row>
    <row r="203" spans="8:8">
      <c r="A203" s="3" t="s">
        <v>223</v>
      </c>
      <c r="B203" s="4" t="s">
        <v>196</v>
      </c>
      <c r="C203" s="93">
        <v>0.01</v>
      </c>
      <c r="D203" s="93">
        <v>0.01</v>
      </c>
      <c r="E203" s="6">
        <v>722283.53</v>
      </c>
    </row>
    <row r="204" spans="8:8">
      <c r="A204" s="3" t="s">
        <v>224</v>
      </c>
      <c r="B204" s="4" t="s">
        <v>196</v>
      </c>
      <c r="C204" s="93">
        <v>0.01</v>
      </c>
      <c r="D204" s="93">
        <v>0.01</v>
      </c>
      <c r="E204" s="6">
        <v>722283.53</v>
      </c>
    </row>
    <row r="205" spans="8:8">
      <c r="A205" s="3" t="s">
        <v>225</v>
      </c>
      <c r="B205" s="4" t="s">
        <v>196</v>
      </c>
      <c r="C205" s="93">
        <v>0.01</v>
      </c>
      <c r="D205" s="93">
        <v>0.01</v>
      </c>
      <c r="E205" s="6">
        <v>722283.53</v>
      </c>
    </row>
    <row r="206" spans="8:8">
      <c r="A206" s="3" t="s">
        <v>226</v>
      </c>
      <c r="B206" s="4" t="s">
        <v>196</v>
      </c>
      <c r="C206" s="93">
        <v>0.01</v>
      </c>
      <c r="D206" s="93">
        <v>0.01</v>
      </c>
      <c r="E206" s="6">
        <v>933869.45</v>
      </c>
    </row>
    <row r="207" spans="8:8">
      <c r="A207" s="3" t="s">
        <v>228</v>
      </c>
      <c r="B207" s="4" t="s">
        <v>196</v>
      </c>
      <c r="C207" s="93">
        <v>0.01</v>
      </c>
      <c r="D207" s="93">
        <v>0.01</v>
      </c>
      <c r="E207" s="6">
        <v>722283.53</v>
      </c>
    </row>
    <row r="208" spans="8:8">
      <c r="A208" s="3" t="s">
        <v>229</v>
      </c>
      <c r="B208" s="4" t="s">
        <v>196</v>
      </c>
      <c r="C208" s="93">
        <v>0.01</v>
      </c>
      <c r="D208" s="93">
        <v>0.01</v>
      </c>
      <c r="E208" s="6">
        <v>722283.53</v>
      </c>
    </row>
    <row r="209" spans="8:8">
      <c r="A209" s="3" t="s">
        <v>230</v>
      </c>
      <c r="B209" s="4" t="s">
        <v>196</v>
      </c>
      <c r="C209" s="93">
        <v>0.01</v>
      </c>
      <c r="D209" s="93">
        <v>0.01</v>
      </c>
      <c r="E209" s="6">
        <v>722283.53</v>
      </c>
    </row>
    <row r="210" spans="8:8">
      <c r="A210" s="3" t="s">
        <v>231</v>
      </c>
      <c r="B210" s="4" t="s">
        <v>196</v>
      </c>
      <c r="C210" s="93">
        <v>0.01</v>
      </c>
      <c r="D210" s="93">
        <v>0.01</v>
      </c>
      <c r="E210" s="6">
        <v>722283.53</v>
      </c>
    </row>
    <row r="211" spans="8:8">
      <c r="A211" s="3" t="s">
        <v>232</v>
      </c>
      <c r="B211" s="4" t="s">
        <v>196</v>
      </c>
      <c r="C211" s="93">
        <v>0.01</v>
      </c>
      <c r="D211" s="93">
        <v>0.01</v>
      </c>
      <c r="E211" s="6">
        <v>722283.53</v>
      </c>
    </row>
    <row r="212" spans="8:8">
      <c r="A212" s="3" t="s">
        <v>233</v>
      </c>
      <c r="B212" s="4" t="s">
        <v>196</v>
      </c>
      <c r="C212" s="93">
        <v>0.01</v>
      </c>
      <c r="D212" s="93">
        <v>0.01</v>
      </c>
      <c r="E212" s="6">
        <v>722283.53</v>
      </c>
    </row>
    <row r="213" spans="8:8">
      <c r="A213" s="3" t="s">
        <v>234</v>
      </c>
      <c r="B213" s="4" t="s">
        <v>196</v>
      </c>
      <c r="C213" s="93">
        <v>0.01</v>
      </c>
      <c r="D213" s="93">
        <v>0.01</v>
      </c>
      <c r="E213" s="6">
        <v>722283.53</v>
      </c>
    </row>
    <row r="214" spans="8:8">
      <c r="A214" s="3" t="s">
        <v>235</v>
      </c>
      <c r="B214" s="4" t="s">
        <v>196</v>
      </c>
      <c r="C214" s="93">
        <v>0.01</v>
      </c>
      <c r="D214" s="93">
        <v>0.01</v>
      </c>
      <c r="E214" s="6">
        <v>722283.53</v>
      </c>
    </row>
    <row r="215" spans="8:8">
      <c r="A215" s="3" t="s">
        <v>236</v>
      </c>
      <c r="B215" s="4" t="s">
        <v>196</v>
      </c>
      <c r="C215" s="93">
        <v>0.01</v>
      </c>
      <c r="D215" s="93">
        <v>0.01</v>
      </c>
      <c r="E215" s="6">
        <v>722283.53</v>
      </c>
    </row>
    <row r="216" spans="8:8">
      <c r="A216" s="3" t="s">
        <v>237</v>
      </c>
      <c r="B216" s="4" t="s">
        <v>196</v>
      </c>
      <c r="C216" s="93">
        <v>0.01</v>
      </c>
      <c r="D216" s="93">
        <v>0.01</v>
      </c>
      <c r="E216" s="6">
        <v>722283.53</v>
      </c>
    </row>
    <row r="217" spans="8:8">
      <c r="A217" s="3" t="s">
        <v>238</v>
      </c>
      <c r="B217" s="4" t="s">
        <v>196</v>
      </c>
      <c r="C217" s="93">
        <v>0.01</v>
      </c>
      <c r="D217" s="93">
        <v>0.01</v>
      </c>
      <c r="E217" s="6">
        <v>722283.53</v>
      </c>
    </row>
    <row r="218" spans="8:8">
      <c r="A218" s="3" t="s">
        <v>239</v>
      </c>
      <c r="B218" s="4" t="s">
        <v>196</v>
      </c>
      <c r="C218" s="93">
        <v>0.01</v>
      </c>
      <c r="D218" s="93">
        <v>0.01</v>
      </c>
      <c r="E218" s="6">
        <v>722283.53</v>
      </c>
    </row>
    <row r="219" spans="8:8">
      <c r="A219" s="3" t="s">
        <v>240</v>
      </c>
      <c r="B219" s="4" t="s">
        <v>196</v>
      </c>
      <c r="C219" s="93">
        <v>0.01</v>
      </c>
      <c r="D219" s="93">
        <v>0.01</v>
      </c>
      <c r="E219" s="6">
        <v>722283.53</v>
      </c>
    </row>
    <row r="220" spans="8:8">
      <c r="A220" s="3" t="s">
        <v>241</v>
      </c>
      <c r="B220" s="16" t="s">
        <v>196</v>
      </c>
      <c r="C220" s="93">
        <v>0.01</v>
      </c>
      <c r="D220" s="93">
        <v>0.01</v>
      </c>
      <c r="E220" s="6">
        <v>722283.53</v>
      </c>
    </row>
    <row r="221" spans="8:8">
      <c r="A221" s="3" t="s">
        <v>242</v>
      </c>
      <c r="B221" s="4" t="s">
        <v>196</v>
      </c>
      <c r="C221" s="93">
        <v>0.01</v>
      </c>
      <c r="D221" s="93">
        <v>0.01</v>
      </c>
      <c r="E221" s="6">
        <v>722283.53</v>
      </c>
    </row>
    <row r="222" spans="8:8">
      <c r="A222" s="3" t="s">
        <v>243</v>
      </c>
      <c r="B222" s="4" t="s">
        <v>196</v>
      </c>
      <c r="C222" s="93">
        <v>0.01</v>
      </c>
      <c r="D222" s="93">
        <v>0.01</v>
      </c>
      <c r="E222" s="6">
        <v>722283.53</v>
      </c>
      <c r="F222" s="49"/>
    </row>
    <row r="223" spans="8:8" s="49" ht="15.0" customFormat="1">
      <c r="A223" s="3" t="s">
        <v>244</v>
      </c>
      <c r="B223" s="4" t="s">
        <v>196</v>
      </c>
      <c r="C223" s="93">
        <v>0.01</v>
      </c>
      <c r="D223" s="93">
        <v>0.01</v>
      </c>
      <c r="E223" s="6">
        <v>722283.53</v>
      </c>
      <c r="F223" s="39"/>
    </row>
    <row r="224" spans="8:8">
      <c r="A224" s="3" t="s">
        <v>246</v>
      </c>
      <c r="B224" s="4" t="s">
        <v>196</v>
      </c>
      <c r="C224" s="93">
        <v>0.01</v>
      </c>
      <c r="D224" s="93">
        <v>0.01</v>
      </c>
      <c r="E224" s="6">
        <v>722283.53</v>
      </c>
    </row>
    <row r="225" spans="8:8">
      <c r="A225" s="3" t="s">
        <v>247</v>
      </c>
      <c r="B225" s="4" t="s">
        <v>196</v>
      </c>
      <c r="C225" s="93">
        <v>0.01</v>
      </c>
      <c r="D225" s="93">
        <v>0.01</v>
      </c>
      <c r="E225" s="6">
        <v>722283.53</v>
      </c>
    </row>
    <row r="226" spans="8:8">
      <c r="A226" s="3" t="s">
        <v>248</v>
      </c>
      <c r="B226" s="4" t="s">
        <v>196</v>
      </c>
      <c r="C226" s="93">
        <v>0.01</v>
      </c>
      <c r="D226" s="93">
        <v>0.01</v>
      </c>
      <c r="E226" s="6">
        <v>722283.53</v>
      </c>
    </row>
    <row r="227" spans="8:8">
      <c r="A227" s="3" t="s">
        <v>249</v>
      </c>
      <c r="B227" s="4" t="s">
        <v>196</v>
      </c>
      <c r="C227" s="93">
        <v>0.01</v>
      </c>
      <c r="D227" s="93">
        <v>0.01</v>
      </c>
      <c r="E227" s="6">
        <v>722283.53</v>
      </c>
    </row>
    <row r="228" spans="8:8">
      <c r="A228" s="3" t="s">
        <v>250</v>
      </c>
      <c r="B228" s="4" t="s">
        <v>196</v>
      </c>
      <c r="C228" s="93">
        <v>0.01</v>
      </c>
      <c r="D228" s="93">
        <v>0.01</v>
      </c>
      <c r="E228" s="6">
        <v>722283.53</v>
      </c>
    </row>
    <row r="229" spans="8:8">
      <c r="A229" s="3" t="s">
        <v>251</v>
      </c>
      <c r="B229" s="4" t="s">
        <v>196</v>
      </c>
      <c r="C229" s="93">
        <v>0.01</v>
      </c>
      <c r="D229" s="93">
        <v>0.01</v>
      </c>
      <c r="E229" s="6">
        <v>722283.53</v>
      </c>
    </row>
    <row r="230" spans="8:8">
      <c r="A230" s="3" t="s">
        <v>252</v>
      </c>
      <c r="B230" s="4" t="s">
        <v>196</v>
      </c>
      <c r="C230" s="93">
        <v>0.01</v>
      </c>
      <c r="D230" s="93">
        <v>0.01</v>
      </c>
      <c r="E230" s="6">
        <v>722283.53</v>
      </c>
    </row>
    <row r="231" spans="8:8">
      <c r="A231" s="14" t="s">
        <v>346</v>
      </c>
      <c r="B231" s="4" t="s">
        <v>196</v>
      </c>
      <c r="C231" s="93">
        <v>0.01</v>
      </c>
      <c r="D231" s="93">
        <v>0.01</v>
      </c>
      <c r="E231" s="6">
        <v>722283.53</v>
      </c>
    </row>
    <row r="232" spans="8:8">
      <c r="A232" s="3" t="s">
        <v>254</v>
      </c>
      <c r="B232" s="4" t="s">
        <v>196</v>
      </c>
      <c r="C232" s="93">
        <v>0.01</v>
      </c>
      <c r="D232" s="93">
        <v>0.01</v>
      </c>
      <c r="E232" s="6">
        <v>722283.53</v>
      </c>
    </row>
    <row r="233" spans="8:8">
      <c r="A233" s="3" t="s">
        <v>255</v>
      </c>
      <c r="B233" s="4" t="s">
        <v>196</v>
      </c>
      <c r="C233" s="93">
        <v>0.01</v>
      </c>
      <c r="D233" s="93">
        <v>0.01</v>
      </c>
      <c r="E233" s="6">
        <v>722283.53</v>
      </c>
    </row>
    <row r="234" spans="8:8">
      <c r="A234" s="3" t="s">
        <v>256</v>
      </c>
      <c r="B234" s="4" t="s">
        <v>196</v>
      </c>
      <c r="C234" s="93">
        <v>0.01</v>
      </c>
      <c r="D234" s="93">
        <v>0.01</v>
      </c>
      <c r="E234" s="6">
        <v>722283.53</v>
      </c>
    </row>
    <row r="235" spans="8:8">
      <c r="A235" s="3" t="s">
        <v>257</v>
      </c>
      <c r="B235" s="4" t="s">
        <v>196</v>
      </c>
      <c r="C235" s="93">
        <v>0.01</v>
      </c>
      <c r="D235" s="93">
        <v>0.01</v>
      </c>
      <c r="E235" s="6">
        <v>722283.53</v>
      </c>
    </row>
    <row r="236" spans="8:8">
      <c r="A236" s="3" t="s">
        <v>258</v>
      </c>
      <c r="B236" s="4" t="s">
        <v>196</v>
      </c>
      <c r="C236" s="93">
        <v>0.01</v>
      </c>
      <c r="D236" s="93">
        <v>0.01</v>
      </c>
      <c r="E236" s="6">
        <v>722283.53</v>
      </c>
    </row>
    <row r="237" spans="8:8">
      <c r="A237" s="3" t="s">
        <v>259</v>
      </c>
      <c r="B237" s="4" t="s">
        <v>196</v>
      </c>
      <c r="C237" s="93">
        <v>0.01</v>
      </c>
      <c r="D237" s="93">
        <v>0.01</v>
      </c>
      <c r="E237" s="6">
        <v>722283.53</v>
      </c>
    </row>
    <row r="238" spans="8:8">
      <c r="A238" s="3" t="s">
        <v>260</v>
      </c>
      <c r="B238" s="4" t="s">
        <v>196</v>
      </c>
      <c r="C238" s="93">
        <v>0.01</v>
      </c>
      <c r="D238" s="93">
        <v>0.01</v>
      </c>
      <c r="E238" s="6">
        <v>722283.53</v>
      </c>
    </row>
    <row r="239" spans="8:8">
      <c r="A239" s="3" t="s">
        <v>262</v>
      </c>
      <c r="B239" s="4" t="s">
        <v>196</v>
      </c>
      <c r="C239" s="93">
        <v>0.01</v>
      </c>
      <c r="D239" s="93">
        <v>0.01</v>
      </c>
      <c r="E239" s="6">
        <v>722283.53</v>
      </c>
    </row>
    <row r="240" spans="8:8">
      <c r="A240" s="3" t="s">
        <v>265</v>
      </c>
      <c r="B240" s="4" t="s">
        <v>196</v>
      </c>
      <c r="C240" s="93">
        <v>0.01</v>
      </c>
      <c r="D240" s="93">
        <v>0.01</v>
      </c>
      <c r="E240" s="6">
        <v>722283.53</v>
      </c>
    </row>
    <row r="241" spans="8:8">
      <c r="A241" s="3" t="s">
        <v>266</v>
      </c>
      <c r="B241" s="4" t="s">
        <v>196</v>
      </c>
      <c r="C241" s="93">
        <v>0.01</v>
      </c>
      <c r="D241" s="93">
        <v>0.01</v>
      </c>
      <c r="E241" s="6">
        <v>722283.53</v>
      </c>
    </row>
    <row r="242" spans="8:8">
      <c r="A242" s="3" t="s">
        <v>267</v>
      </c>
      <c r="B242" s="4" t="s">
        <v>196</v>
      </c>
      <c r="C242" s="93">
        <v>0.01</v>
      </c>
      <c r="D242" s="93">
        <v>0.01</v>
      </c>
      <c r="E242" s="6">
        <v>722283.53</v>
      </c>
    </row>
    <row r="243" spans="8:8">
      <c r="A243" s="3" t="s">
        <v>268</v>
      </c>
      <c r="B243" s="4" t="s">
        <v>196</v>
      </c>
      <c r="C243" s="93">
        <v>0.01</v>
      </c>
      <c r="D243" s="93">
        <v>0.01</v>
      </c>
      <c r="E243" s="6">
        <v>722283.53</v>
      </c>
    </row>
    <row r="244" spans="8:8">
      <c r="A244" s="3" t="s">
        <v>269</v>
      </c>
      <c r="B244" s="4" t="s">
        <v>196</v>
      </c>
      <c r="C244" s="93">
        <v>0.01</v>
      </c>
      <c r="D244" s="93">
        <v>0.01</v>
      </c>
      <c r="E244" s="6">
        <v>722283.53</v>
      </c>
    </row>
    <row r="245" spans="8:8">
      <c r="A245" s="3" t="s">
        <v>270</v>
      </c>
      <c r="B245" s="4" t="s">
        <v>196</v>
      </c>
      <c r="C245" s="93">
        <v>0.01</v>
      </c>
      <c r="D245" s="93">
        <v>0.01</v>
      </c>
      <c r="E245" s="6">
        <v>722283.53</v>
      </c>
    </row>
    <row r="246" spans="8:8">
      <c r="A246" s="3" t="s">
        <v>271</v>
      </c>
      <c r="B246" s="4" t="s">
        <v>196</v>
      </c>
      <c r="C246" s="93">
        <v>0.01</v>
      </c>
      <c r="D246" s="93">
        <v>0.01</v>
      </c>
      <c r="E246" s="6">
        <v>722283.53</v>
      </c>
    </row>
    <row r="247" spans="8:8">
      <c r="A247" s="3" t="s">
        <v>272</v>
      </c>
      <c r="B247" s="4" t="s">
        <v>196</v>
      </c>
      <c r="C247" s="93">
        <v>0.01</v>
      </c>
      <c r="D247" s="93">
        <v>0.01</v>
      </c>
      <c r="E247" s="6">
        <v>722283.53</v>
      </c>
    </row>
    <row r="248" spans="8:8">
      <c r="A248" s="3" t="s">
        <v>273</v>
      </c>
      <c r="B248" s="4" t="s">
        <v>196</v>
      </c>
      <c r="C248" s="93">
        <v>0.01</v>
      </c>
      <c r="D248" s="93">
        <v>0.01</v>
      </c>
      <c r="E248" s="6">
        <v>722283.53</v>
      </c>
    </row>
    <row r="249" spans="8:8">
      <c r="A249" s="3" t="s">
        <v>274</v>
      </c>
      <c r="B249" s="4" t="s">
        <v>196</v>
      </c>
      <c r="C249" s="93">
        <v>0.01</v>
      </c>
      <c r="D249" s="93">
        <v>0.01</v>
      </c>
      <c r="E249" s="6">
        <v>722283.53</v>
      </c>
    </row>
    <row r="250" spans="8:8">
      <c r="A250" s="3" t="s">
        <v>275</v>
      </c>
      <c r="B250" s="4" t="s">
        <v>196</v>
      </c>
      <c r="C250" s="93">
        <v>0.01</v>
      </c>
      <c r="D250" s="93">
        <v>0.01</v>
      </c>
      <c r="E250" s="6">
        <v>722283.53</v>
      </c>
    </row>
    <row r="251" spans="8:8">
      <c r="A251" s="3" t="s">
        <v>276</v>
      </c>
      <c r="B251" s="4" t="s">
        <v>196</v>
      </c>
      <c r="C251" s="93">
        <v>0.01</v>
      </c>
      <c r="D251" s="93">
        <v>0.01</v>
      </c>
      <c r="E251" s="6">
        <v>722283.53</v>
      </c>
    </row>
    <row r="252" spans="8:8">
      <c r="A252" s="18" t="s">
        <v>277</v>
      </c>
      <c r="B252" s="4" t="s">
        <v>196</v>
      </c>
      <c r="C252" s="93">
        <v>0.01</v>
      </c>
      <c r="D252" s="93">
        <v>0.01</v>
      </c>
      <c r="E252" s="6">
        <v>722283.53</v>
      </c>
    </row>
    <row r="253" spans="8:8">
      <c r="A253" s="18" t="s">
        <v>347</v>
      </c>
      <c r="B253" s="4" t="s">
        <v>196</v>
      </c>
      <c r="C253" s="93"/>
      <c r="D253" s="93"/>
      <c r="E253" s="205">
        <v>2264850.59</v>
      </c>
    </row>
    <row r="254" spans="8:8">
      <c r="A254" s="3" t="s">
        <v>280</v>
      </c>
      <c r="B254" s="4" t="s">
        <v>196</v>
      </c>
      <c r="C254" s="93">
        <v>170614.08000000002</v>
      </c>
      <c r="D254" s="93">
        <v>170614.08000000002</v>
      </c>
      <c r="E254" s="6">
        <v>722895.01</v>
      </c>
    </row>
    <row r="255" spans="8:8">
      <c r="A255" s="207" t="s">
        <v>281</v>
      </c>
      <c r="B255" s="208" t="s">
        <v>282</v>
      </c>
      <c r="C255" s="209">
        <v>500000.0</v>
      </c>
      <c r="D255" s="209">
        <v>500000.0</v>
      </c>
      <c r="E255" s="210">
        <v>500000.0</v>
      </c>
    </row>
    <row r="256" spans="8:8">
      <c r="A256" s="207" t="s">
        <v>283</v>
      </c>
      <c r="B256" s="208" t="s">
        <v>282</v>
      </c>
      <c r="C256" s="209">
        <v>756.0</v>
      </c>
      <c r="D256" s="209">
        <v>756.0</v>
      </c>
      <c r="E256" s="210">
        <v>756.0</v>
      </c>
    </row>
    <row r="257" spans="8:8">
      <c r="A257" s="207" t="s">
        <v>284</v>
      </c>
      <c r="B257" s="208" t="s">
        <v>285</v>
      </c>
      <c r="C257" s="211">
        <v>5880.0</v>
      </c>
      <c r="D257" s="211">
        <v>5880.0</v>
      </c>
      <c r="E257" s="210">
        <v>5880.0</v>
      </c>
    </row>
    <row r="258" spans="8:8">
      <c r="A258" s="207" t="s">
        <v>286</v>
      </c>
      <c r="B258" s="208" t="s">
        <v>285</v>
      </c>
      <c r="C258" s="211">
        <v>9800.0</v>
      </c>
      <c r="D258" s="211">
        <v>9800.0</v>
      </c>
      <c r="E258" s="210">
        <v>9800.0</v>
      </c>
    </row>
    <row r="259" spans="8:8">
      <c r="A259" s="207" t="s">
        <v>4</v>
      </c>
      <c r="B259" s="208" t="s">
        <v>285</v>
      </c>
      <c r="C259" s="211">
        <v>19600.0</v>
      </c>
      <c r="D259" s="211">
        <v>19600.0</v>
      </c>
      <c r="E259" s="210">
        <v>19600.0</v>
      </c>
    </row>
    <row r="260" spans="8:8">
      <c r="A260" s="207" t="s">
        <v>287</v>
      </c>
      <c r="B260" s="208" t="s">
        <v>285</v>
      </c>
      <c r="C260" s="211">
        <v>58800.0</v>
      </c>
      <c r="D260" s="211">
        <v>58800.0</v>
      </c>
      <c r="E260" s="210">
        <v>58800.0</v>
      </c>
    </row>
    <row r="261" spans="8:8">
      <c r="A261" s="207" t="s">
        <v>319</v>
      </c>
      <c r="B261" s="208" t="s">
        <v>285</v>
      </c>
      <c r="C261" s="211">
        <v>23520.0</v>
      </c>
      <c r="D261" s="211">
        <v>23520.0</v>
      </c>
      <c r="E261" s="210">
        <v>23520.0</v>
      </c>
    </row>
    <row r="262" spans="8:8">
      <c r="A262" s="207" t="s">
        <v>5</v>
      </c>
      <c r="B262" s="208" t="s">
        <v>285</v>
      </c>
      <c r="C262" s="211">
        <v>29400.0</v>
      </c>
      <c r="D262" s="211">
        <v>29400.0</v>
      </c>
      <c r="E262" s="210">
        <v>29400.0</v>
      </c>
    </row>
    <row r="263" spans="8:8">
      <c r="A263" s="207" t="s">
        <v>288</v>
      </c>
      <c r="B263" s="208" t="s">
        <v>285</v>
      </c>
      <c r="C263" s="211">
        <v>98000.0</v>
      </c>
      <c r="D263" s="211">
        <v>98000.0</v>
      </c>
      <c r="E263" s="210">
        <v>98000.0</v>
      </c>
    </row>
    <row r="264" spans="8:8">
      <c r="A264" s="207" t="s">
        <v>291</v>
      </c>
      <c r="B264" s="208" t="s">
        <v>290</v>
      </c>
      <c r="C264" s="209">
        <v>431733.12000000005</v>
      </c>
      <c r="D264" s="209">
        <v>431733.12000000005</v>
      </c>
      <c r="E264" s="210">
        <v>912466.24</v>
      </c>
    </row>
    <row r="265" spans="8:8">
      <c r="B265" s="189"/>
    </row>
    <row r="266" spans="8:8">
      <c r="B266" s="71"/>
    </row>
    <row r="267" spans="8:8">
      <c r="B267" s="71"/>
    </row>
    <row r="279" spans="8:8">
      <c r="F279" s="49"/>
    </row>
    <row r="280" spans="8:8" s="49" ht="15.0" customFormat="1">
      <c r="A280" s="38"/>
      <c r="B280" s="39"/>
      <c r="C280" s="161"/>
      <c r="D280" s="39"/>
      <c r="E280" s="39"/>
    </row>
    <row r="288" spans="8:8" s="49" ht="15.0" customFormat="1">
      <c r="A288" s="38"/>
      <c r="B288" s="39"/>
      <c r="C288" s="161"/>
      <c r="D288" s="39"/>
      <c r="E288" s="39"/>
    </row>
    <row r="291" spans="8:8" s="49" ht="15.0" customFormat="1">
      <c r="A291" s="38"/>
      <c r="B291" s="39"/>
      <c r="C291" s="161"/>
      <c r="D291" s="39"/>
      <c r="E291" s="39"/>
    </row>
    <row r="292" spans="8:8" s="49" ht="15.0" customFormat="1">
      <c r="A292" s="38"/>
      <c r="B292" s="39"/>
      <c r="C292" s="161"/>
      <c r="D292" s="39"/>
      <c r="E292" s="39"/>
    </row>
    <row r="293" spans="8:8">
      <c r="F293" s="71"/>
    </row>
    <row r="294" spans="8:8">
      <c r="F294" s="71"/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:O292"/>
  <sheetViews>
    <sheetView workbookViewId="0" topLeftCell="A7">
      <selection activeCell="I26" sqref="I26"/>
    </sheetView>
  </sheetViews>
  <sheetFormatPr defaultRowHeight="15.0" defaultColWidth="10"/>
  <cols>
    <col min="1" max="1" customWidth="1" width="62.285156" style="38"/>
    <col min="2" max="2" customWidth="1" width="13.7109375" style="39"/>
    <col min="3" max="3" customWidth="1" width="12.425781" style="40"/>
    <col min="4" max="4" customWidth="1" width="15.285156" style="40"/>
    <col min="5" max="5" customWidth="1" width="12.855469" style="163"/>
    <col min="6" max="6" customWidth="1" width="18.140625" style="163"/>
    <col min="7" max="7" customWidth="1" width="12.5703125" style="161"/>
    <col min="8" max="8" customWidth="0" width="11.425781" style="212"/>
    <col min="9" max="9" customWidth="1" bestFit="1" width="12.5703125" style="39"/>
    <col min="10" max="16384" customWidth="0" width="11.425781" style="39"/>
  </cols>
  <sheetData>
    <row r="1" spans="8:8" ht="15.75">
      <c r="A1" s="213" t="s">
        <v>348</v>
      </c>
      <c r="B1" s="213" t="s">
        <v>1</v>
      </c>
      <c r="C1" s="214" t="s">
        <v>2</v>
      </c>
      <c r="D1" s="214" t="s">
        <v>3</v>
      </c>
      <c r="E1" s="215" t="s">
        <v>4</v>
      </c>
      <c r="F1" s="215" t="s">
        <v>5</v>
      </c>
      <c r="G1" s="214" t="s">
        <v>294</v>
      </c>
    </row>
    <row r="2" spans="8:8" ht="15.75">
      <c r="A2" s="10" t="s">
        <v>7</v>
      </c>
      <c r="B2" s="11" t="s">
        <v>8</v>
      </c>
      <c r="C2" s="118">
        <v>0.01</v>
      </c>
      <c r="D2" s="118">
        <v>216478.08000000002</v>
      </c>
      <c r="E2" s="168">
        <v>19600.0</v>
      </c>
      <c r="F2" s="168">
        <v>29400.0</v>
      </c>
      <c r="G2" s="13">
        <v>265478.09</v>
      </c>
    </row>
    <row r="3" spans="8:8">
      <c r="A3" s="3" t="s">
        <v>9</v>
      </c>
      <c r="B3" s="4" t="s">
        <v>8</v>
      </c>
      <c r="C3" s="93">
        <v>0.01</v>
      </c>
      <c r="D3" s="93">
        <v>216478.08000000002</v>
      </c>
      <c r="E3" s="17">
        <v>19600.0</v>
      </c>
      <c r="F3" s="17">
        <v>29400.0</v>
      </c>
      <c r="G3" s="6">
        <v>265478.09</v>
      </c>
    </row>
    <row r="4" spans="8:8">
      <c r="A4" s="3" t="s">
        <v>10</v>
      </c>
      <c r="B4" s="4" t="s">
        <v>8</v>
      </c>
      <c r="C4" s="93">
        <v>0.01</v>
      </c>
      <c r="D4" s="93">
        <v>216478.08000000002</v>
      </c>
      <c r="E4" s="17">
        <v>19600.0</v>
      </c>
      <c r="F4" s="17">
        <v>29400.0</v>
      </c>
      <c r="G4" s="6">
        <v>265478.09</v>
      </c>
    </row>
    <row r="5" spans="8:8">
      <c r="A5" s="3" t="s">
        <v>11</v>
      </c>
      <c r="B5" s="4" t="s">
        <v>8</v>
      </c>
      <c r="C5" s="62">
        <v>0.01</v>
      </c>
      <c r="D5" s="93">
        <v>432956.17400000006</v>
      </c>
      <c r="E5" s="17">
        <v>19600.0</v>
      </c>
      <c r="F5" s="17">
        <v>29400.0</v>
      </c>
      <c r="G5" s="6">
        <v>481956.18</v>
      </c>
    </row>
    <row r="6" spans="8:8">
      <c r="A6" s="3" t="s">
        <v>12</v>
      </c>
      <c r="B6" s="4" t="s">
        <v>13</v>
      </c>
      <c r="C6" s="93">
        <v>138203.52000000002</v>
      </c>
      <c r="D6" s="93">
        <v>77051.52</v>
      </c>
      <c r="E6" s="17">
        <v>19600.0</v>
      </c>
      <c r="F6" s="17">
        <v>29400.0</v>
      </c>
      <c r="G6" s="6">
        <v>287775.04</v>
      </c>
      <c r="H6" s="216">
        <v>23520.0</v>
      </c>
      <c r="I6" s="71"/>
      <c r="J6" s="71"/>
      <c r="K6" s="71"/>
      <c r="L6" s="71"/>
      <c r="M6" s="71"/>
      <c r="N6" s="71"/>
    </row>
    <row r="7" spans="8:8">
      <c r="A7" s="204" t="s">
        <v>320</v>
      </c>
      <c r="B7" s="4" t="s">
        <v>13</v>
      </c>
      <c r="C7" s="93"/>
      <c r="D7" s="93">
        <v>77051.52</v>
      </c>
      <c r="E7" s="17">
        <v>19600.0</v>
      </c>
      <c r="F7" s="17">
        <v>29400.0</v>
      </c>
      <c r="G7" s="205">
        <v>587310.08</v>
      </c>
      <c r="H7" s="216">
        <v>23520.0</v>
      </c>
      <c r="I7" s="71"/>
      <c r="J7" s="71"/>
      <c r="K7" s="71"/>
      <c r="L7" s="71"/>
      <c r="M7" s="71"/>
      <c r="N7" s="71"/>
    </row>
    <row r="8" spans="8:8">
      <c r="A8" s="3" t="s">
        <v>15</v>
      </c>
      <c r="B8" s="4" t="s">
        <v>13</v>
      </c>
      <c r="C8" s="93">
        <v>138203.52000000002</v>
      </c>
      <c r="D8" s="93">
        <v>77051.52</v>
      </c>
      <c r="E8" s="17">
        <v>19600.0</v>
      </c>
      <c r="F8" s="17">
        <v>29400.0</v>
      </c>
      <c r="G8" s="6">
        <v>293655.04</v>
      </c>
      <c r="H8" s="216">
        <v>23520.0</v>
      </c>
      <c r="I8" s="71"/>
      <c r="J8" s="71"/>
      <c r="K8" s="71"/>
      <c r="L8" s="71"/>
      <c r="M8" s="71"/>
      <c r="N8" s="71"/>
    </row>
    <row r="9" spans="8:8">
      <c r="A9" s="3" t="s">
        <v>16</v>
      </c>
      <c r="B9" s="4" t="s">
        <v>13</v>
      </c>
      <c r="C9" s="93">
        <v>138203.52000000002</v>
      </c>
      <c r="D9" s="93">
        <v>176117.76</v>
      </c>
      <c r="E9" s="17">
        <v>19600.0</v>
      </c>
      <c r="F9" s="17">
        <v>29400.0</v>
      </c>
      <c r="G9" s="6">
        <v>293655.04</v>
      </c>
      <c r="H9" s="216">
        <v>23520.0</v>
      </c>
      <c r="I9" s="71"/>
      <c r="J9" s="71"/>
      <c r="K9" s="71"/>
      <c r="L9" s="71"/>
      <c r="M9" s="71"/>
      <c r="N9" s="71"/>
    </row>
    <row r="10" spans="8:8">
      <c r="A10" s="3" t="s">
        <v>17</v>
      </c>
      <c r="B10" s="4" t="s">
        <v>13</v>
      </c>
      <c r="C10" s="93">
        <v>481266.24</v>
      </c>
      <c r="D10" s="93">
        <v>176117.76</v>
      </c>
      <c r="E10" s="17">
        <v>19600.0</v>
      </c>
      <c r="F10" s="17">
        <v>29400.0</v>
      </c>
      <c r="G10" s="6">
        <v>735784.0</v>
      </c>
      <c r="H10" s="216">
        <v>23520.0</v>
      </c>
      <c r="I10" s="71"/>
      <c r="J10" s="71"/>
      <c r="K10" s="71"/>
      <c r="L10" s="71"/>
      <c r="M10" s="71"/>
      <c r="N10" s="71"/>
    </row>
    <row r="11" spans="8:8">
      <c r="A11" s="3" t="s">
        <v>18</v>
      </c>
      <c r="B11" s="4" t="s">
        <v>13</v>
      </c>
      <c r="C11" s="93">
        <v>163887.36</v>
      </c>
      <c r="D11" s="93">
        <v>176117.76</v>
      </c>
      <c r="E11" s="17">
        <v>19600.0</v>
      </c>
      <c r="F11" s="17">
        <v>29400.0</v>
      </c>
      <c r="G11" s="6">
        <v>418405.12</v>
      </c>
      <c r="H11" s="216">
        <v>23520.0</v>
      </c>
      <c r="I11" s="71"/>
      <c r="J11" s="71"/>
      <c r="K11" s="71"/>
      <c r="L11" s="71"/>
      <c r="M11" s="71"/>
      <c r="N11" s="71"/>
    </row>
    <row r="12" spans="8:8">
      <c r="A12" s="3" t="s">
        <v>19</v>
      </c>
      <c r="B12" s="4" t="s">
        <v>13</v>
      </c>
      <c r="C12" s="93">
        <v>163887.36</v>
      </c>
      <c r="D12" s="93">
        <v>176117.76</v>
      </c>
      <c r="E12" s="17">
        <v>19600.0</v>
      </c>
      <c r="F12" s="17">
        <v>29400.0</v>
      </c>
      <c r="G12" s="6">
        <v>418405.12</v>
      </c>
      <c r="H12" s="216">
        <v>23520.0</v>
      </c>
      <c r="I12" s="71"/>
      <c r="J12" s="71"/>
      <c r="K12" s="71"/>
      <c r="L12" s="71"/>
      <c r="M12" s="71"/>
      <c r="N12" s="71"/>
    </row>
    <row r="13" spans="8:8">
      <c r="A13" s="3" t="s">
        <v>20</v>
      </c>
      <c r="B13" s="4" t="s">
        <v>13</v>
      </c>
      <c r="C13" s="93">
        <v>163887.36</v>
      </c>
      <c r="D13" s="93">
        <v>176117.76</v>
      </c>
      <c r="E13" s="17">
        <v>19600.0</v>
      </c>
      <c r="F13" s="17">
        <v>29400.0</v>
      </c>
      <c r="G13" s="6">
        <v>418405.12</v>
      </c>
      <c r="H13" s="216">
        <v>23520.0</v>
      </c>
    </row>
    <row r="14" spans="8:8">
      <c r="A14" s="206" t="s">
        <v>21</v>
      </c>
      <c r="B14" s="4" t="s">
        <v>13</v>
      </c>
      <c r="C14" s="93">
        <v>163887.36</v>
      </c>
      <c r="D14" s="93">
        <v>176117.76</v>
      </c>
      <c r="E14" s="17">
        <v>19600.0</v>
      </c>
      <c r="F14" s="17">
        <v>29400.0</v>
      </c>
      <c r="G14" s="205">
        <v>836810.24</v>
      </c>
      <c r="H14" s="216">
        <v>23520.0</v>
      </c>
    </row>
    <row r="15" spans="8:8">
      <c r="A15" s="15" t="s">
        <v>22</v>
      </c>
      <c r="B15" s="16" t="s">
        <v>13</v>
      </c>
      <c r="C15" s="93">
        <v>163887.36</v>
      </c>
      <c r="D15" s="93">
        <v>176117.76</v>
      </c>
      <c r="E15" s="17">
        <v>19600.0</v>
      </c>
      <c r="F15" s="17">
        <v>29400.0</v>
      </c>
      <c r="G15" s="6">
        <v>418405.12</v>
      </c>
      <c r="H15" s="216">
        <v>23520.0</v>
      </c>
    </row>
    <row r="16" spans="8:8">
      <c r="A16" s="206" t="s">
        <v>23</v>
      </c>
      <c r="B16" s="16" t="s">
        <v>13</v>
      </c>
      <c r="C16" s="93">
        <v>163887.36</v>
      </c>
      <c r="D16" s="93">
        <v>176117.76</v>
      </c>
      <c r="E16" s="17">
        <v>19600.0</v>
      </c>
      <c r="F16" s="17">
        <v>29400.0</v>
      </c>
      <c r="G16" s="205">
        <v>836810.24</v>
      </c>
      <c r="H16" s="216">
        <v>23520.0</v>
      </c>
    </row>
    <row r="17" spans="8:8">
      <c r="A17" s="3" t="s">
        <v>24</v>
      </c>
      <c r="B17" s="16" t="s">
        <v>13</v>
      </c>
      <c r="C17" s="93">
        <v>163887.36</v>
      </c>
      <c r="D17" s="93">
        <v>176117.76</v>
      </c>
      <c r="E17" s="17">
        <v>19600.0</v>
      </c>
      <c r="F17" s="17">
        <v>29400.0</v>
      </c>
      <c r="G17" s="6">
        <v>418405.12</v>
      </c>
      <c r="H17" s="216">
        <v>23520.0</v>
      </c>
    </row>
    <row r="18" spans="8:8">
      <c r="A18" s="3" t="s">
        <v>25</v>
      </c>
      <c r="B18" s="4" t="s">
        <v>13</v>
      </c>
      <c r="C18" s="93">
        <v>163887.36</v>
      </c>
      <c r="D18" s="93">
        <v>176117.76</v>
      </c>
      <c r="E18" s="17">
        <v>19600.0</v>
      </c>
      <c r="F18" s="17">
        <v>29400.0</v>
      </c>
      <c r="G18" s="6">
        <v>418405.12</v>
      </c>
      <c r="H18" s="216">
        <v>23520.0</v>
      </c>
    </row>
    <row r="19" spans="8:8">
      <c r="A19" s="3" t="s">
        <v>26</v>
      </c>
      <c r="B19" s="4" t="s">
        <v>13</v>
      </c>
      <c r="C19" s="93">
        <v>163887.36</v>
      </c>
      <c r="D19" s="93">
        <v>176117.76</v>
      </c>
      <c r="E19" s="17">
        <v>19600.0</v>
      </c>
      <c r="F19" s="17">
        <v>29400.0</v>
      </c>
      <c r="G19" s="6">
        <v>418405.12</v>
      </c>
      <c r="H19" s="216">
        <v>23520.0</v>
      </c>
    </row>
    <row r="20" spans="8:8">
      <c r="A20" s="3" t="s">
        <v>27</v>
      </c>
      <c r="B20" s="4" t="s">
        <v>13</v>
      </c>
      <c r="C20" s="93">
        <v>163887.36</v>
      </c>
      <c r="D20" s="93">
        <v>176117.76</v>
      </c>
      <c r="E20" s="17">
        <v>19600.0</v>
      </c>
      <c r="F20" s="17">
        <v>29400.0</v>
      </c>
      <c r="G20" s="6">
        <v>418405.12</v>
      </c>
      <c r="H20" s="216">
        <v>23520.0</v>
      </c>
    </row>
    <row r="21" spans="8:8">
      <c r="A21" s="3" t="s">
        <v>28</v>
      </c>
      <c r="B21" s="4" t="s">
        <v>13</v>
      </c>
      <c r="C21" s="93">
        <v>163887.36</v>
      </c>
      <c r="D21" s="93">
        <v>176117.76</v>
      </c>
      <c r="E21" s="17">
        <v>19600.0</v>
      </c>
      <c r="F21" s="17">
        <v>29400.0</v>
      </c>
      <c r="G21" s="6">
        <v>418405.12</v>
      </c>
      <c r="H21" s="216">
        <v>23520.0</v>
      </c>
    </row>
    <row r="22" spans="8:8">
      <c r="A22" s="3" t="s">
        <v>29</v>
      </c>
      <c r="B22" s="4" t="s">
        <v>13</v>
      </c>
      <c r="C22" s="93">
        <v>163887.36</v>
      </c>
      <c r="D22" s="93">
        <v>176117.76</v>
      </c>
      <c r="E22" s="17">
        <v>19600.0</v>
      </c>
      <c r="F22" s="17">
        <v>29400.0</v>
      </c>
      <c r="G22" s="6">
        <v>418405.12</v>
      </c>
      <c r="H22" s="216">
        <v>23520.0</v>
      </c>
    </row>
    <row r="23" spans="8:8">
      <c r="A23" s="14" t="s">
        <v>338</v>
      </c>
      <c r="B23" s="4" t="s">
        <v>13</v>
      </c>
      <c r="C23" s="93">
        <v>163887.36</v>
      </c>
      <c r="D23" s="93">
        <v>176117.76</v>
      </c>
      <c r="E23" s="17">
        <v>19600.0</v>
      </c>
      <c r="F23" s="17">
        <v>29400.0</v>
      </c>
      <c r="G23" s="6">
        <v>418405.12</v>
      </c>
      <c r="H23" s="216">
        <v>23520.0</v>
      </c>
    </row>
    <row r="24" spans="8:8">
      <c r="A24" s="3" t="s">
        <v>31</v>
      </c>
      <c r="B24" s="4" t="s">
        <v>13</v>
      </c>
      <c r="C24" s="93">
        <v>163887.36</v>
      </c>
      <c r="D24" s="93">
        <v>176117.76</v>
      </c>
      <c r="E24" s="17">
        <v>19600.0</v>
      </c>
      <c r="F24" s="17">
        <v>29400.0</v>
      </c>
      <c r="G24" s="6">
        <v>418405.12</v>
      </c>
      <c r="H24" s="216">
        <v>23520.0</v>
      </c>
    </row>
    <row r="25" spans="8:8">
      <c r="A25" s="3" t="s">
        <v>32</v>
      </c>
      <c r="B25" s="4" t="s">
        <v>13</v>
      </c>
      <c r="C25" s="93">
        <v>163887.36</v>
      </c>
      <c r="D25" s="93">
        <v>176117.76</v>
      </c>
      <c r="E25" s="17">
        <v>19600.0</v>
      </c>
      <c r="F25" s="17">
        <v>29400.0</v>
      </c>
      <c r="G25" s="6">
        <v>418405.12</v>
      </c>
      <c r="H25" s="216">
        <v>23520.0</v>
      </c>
    </row>
    <row r="26" spans="8:8">
      <c r="A26" s="3" t="s">
        <v>33</v>
      </c>
      <c r="B26" s="4" t="s">
        <v>13</v>
      </c>
      <c r="C26" s="93">
        <v>163887.36</v>
      </c>
      <c r="D26" s="93">
        <v>77051.52</v>
      </c>
      <c r="E26" s="17">
        <v>19600.0</v>
      </c>
      <c r="F26" s="17">
        <v>29400.0</v>
      </c>
      <c r="G26" s="6">
        <v>418405.12</v>
      </c>
      <c r="H26" s="216">
        <v>23520.0</v>
      </c>
    </row>
    <row r="27" spans="8:8">
      <c r="A27" s="3" t="s">
        <v>34</v>
      </c>
      <c r="B27" s="4" t="s">
        <v>13</v>
      </c>
      <c r="C27" s="93">
        <v>138203.52000000002</v>
      </c>
      <c r="D27" s="93">
        <v>77051.52</v>
      </c>
      <c r="E27" s="17">
        <v>19600.0</v>
      </c>
      <c r="F27" s="17">
        <v>29400.0</v>
      </c>
      <c r="G27" s="6">
        <v>293655.04</v>
      </c>
      <c r="H27" s="216">
        <v>23520.0</v>
      </c>
    </row>
    <row r="28" spans="8:8">
      <c r="A28" s="14" t="s">
        <v>339</v>
      </c>
      <c r="B28" s="4" t="s">
        <v>13</v>
      </c>
      <c r="C28" s="93">
        <v>138203.52000000002</v>
      </c>
      <c r="D28" s="93">
        <v>77051.52</v>
      </c>
      <c r="E28" s="17">
        <v>19600.0</v>
      </c>
      <c r="F28" s="17">
        <v>29400.0</v>
      </c>
      <c r="G28" s="6">
        <v>293655.04</v>
      </c>
      <c r="H28" s="216">
        <v>23520.0</v>
      </c>
    </row>
    <row r="29" spans="8:8">
      <c r="A29" s="3" t="s">
        <v>38</v>
      </c>
      <c r="B29" s="4" t="s">
        <v>13</v>
      </c>
      <c r="C29" s="93">
        <v>138203.52000000002</v>
      </c>
      <c r="D29" s="93">
        <v>77051.52</v>
      </c>
      <c r="E29" s="17">
        <v>19600.0</v>
      </c>
      <c r="F29" s="17">
        <v>29400.0</v>
      </c>
      <c r="G29" s="6">
        <v>293655.04</v>
      </c>
      <c r="H29" s="216">
        <v>23520.0</v>
      </c>
    </row>
    <row r="30" spans="8:8">
      <c r="A30" s="15" t="s">
        <v>41</v>
      </c>
      <c r="B30" s="4" t="s">
        <v>13</v>
      </c>
      <c r="C30" s="93">
        <v>138203.52000000002</v>
      </c>
      <c r="D30" s="93">
        <v>77051.52</v>
      </c>
      <c r="E30" s="17">
        <v>19600.0</v>
      </c>
      <c r="F30" s="17">
        <v>29400.0</v>
      </c>
      <c r="G30" s="6">
        <v>293655.04</v>
      </c>
      <c r="H30" s="216">
        <v>23520.0</v>
      </c>
    </row>
    <row r="31" spans="8:8" s="49" ht="15.0" customFormat="1">
      <c r="A31" s="14" t="s">
        <v>340</v>
      </c>
      <c r="B31" s="16" t="s">
        <v>13</v>
      </c>
      <c r="C31" s="93">
        <v>138203.52000000002</v>
      </c>
      <c r="D31" s="93">
        <v>77051.52</v>
      </c>
      <c r="E31" s="17">
        <v>19600.0</v>
      </c>
      <c r="F31" s="17">
        <v>29400.0</v>
      </c>
      <c r="G31" s="6">
        <v>293655.04</v>
      </c>
      <c r="H31" s="216">
        <v>23520.0</v>
      </c>
    </row>
    <row r="32" spans="8:8">
      <c r="A32" s="3" t="s">
        <v>43</v>
      </c>
      <c r="B32" s="4" t="s">
        <v>13</v>
      </c>
      <c r="C32" s="93">
        <v>138203.52000000002</v>
      </c>
      <c r="D32" s="93">
        <v>77051.52</v>
      </c>
      <c r="E32" s="17">
        <v>19600.0</v>
      </c>
      <c r="F32" s="17">
        <v>29400.0</v>
      </c>
      <c r="G32" s="6">
        <v>293655.04</v>
      </c>
      <c r="H32" s="216">
        <v>23520.0</v>
      </c>
    </row>
    <row r="33" spans="8:8">
      <c r="A33" s="14" t="s">
        <v>341</v>
      </c>
      <c r="B33" s="4" t="s">
        <v>13</v>
      </c>
      <c r="C33" s="93">
        <v>138203.52000000002</v>
      </c>
      <c r="D33" s="93">
        <v>77051.52</v>
      </c>
      <c r="E33" s="17">
        <v>19600.0</v>
      </c>
      <c r="F33" s="17">
        <v>29400.0</v>
      </c>
      <c r="G33" s="6">
        <v>293655.04</v>
      </c>
      <c r="H33" s="216">
        <v>23520.0</v>
      </c>
    </row>
    <row r="34" spans="8:8">
      <c r="A34" s="3" t="s">
        <v>45</v>
      </c>
      <c r="B34" s="4" t="s">
        <v>13</v>
      </c>
      <c r="C34" s="93">
        <v>312486.72</v>
      </c>
      <c r="D34" s="93">
        <v>77051.52</v>
      </c>
      <c r="E34" s="17">
        <v>19600.0</v>
      </c>
      <c r="F34" s="17">
        <v>29400.0</v>
      </c>
      <c r="G34" s="6">
        <v>574342.72</v>
      </c>
      <c r="H34" s="216">
        <v>23520.0</v>
      </c>
    </row>
    <row r="35" spans="8:8">
      <c r="A35" s="3" t="s">
        <v>46</v>
      </c>
      <c r="B35" s="4" t="s">
        <v>13</v>
      </c>
      <c r="C35" s="93">
        <v>312486.72</v>
      </c>
      <c r="D35" s="93">
        <v>77051.52</v>
      </c>
      <c r="E35" s="17">
        <v>19600.0</v>
      </c>
      <c r="F35" s="17">
        <v>29400.0</v>
      </c>
      <c r="G35" s="6">
        <v>574342.72</v>
      </c>
      <c r="H35" s="216">
        <v>23520.0</v>
      </c>
    </row>
    <row r="36" spans="8:8">
      <c r="A36" s="3" t="s">
        <v>47</v>
      </c>
      <c r="B36" s="4" t="s">
        <v>13</v>
      </c>
      <c r="C36" s="93">
        <v>439682.88</v>
      </c>
      <c r="D36" s="93">
        <v>77051.52</v>
      </c>
      <c r="E36" s="17">
        <v>19600.0</v>
      </c>
      <c r="F36" s="17">
        <v>29400.0</v>
      </c>
      <c r="G36" s="6">
        <v>701538.88</v>
      </c>
      <c r="H36" s="216">
        <v>23520.0</v>
      </c>
    </row>
    <row r="37" spans="8:8">
      <c r="A37" s="3" t="s">
        <v>48</v>
      </c>
      <c r="B37" s="4" t="s">
        <v>13</v>
      </c>
      <c r="C37" s="93">
        <v>138203.52000000002</v>
      </c>
      <c r="D37" s="93">
        <v>183456.0</v>
      </c>
      <c r="E37" s="17">
        <v>19600.0</v>
      </c>
      <c r="F37" s="17">
        <v>29400.0</v>
      </c>
      <c r="G37" s="6">
        <v>400059.52</v>
      </c>
      <c r="H37" s="216">
        <v>23520.0</v>
      </c>
    </row>
    <row r="38" spans="8:8">
      <c r="A38" s="3" t="s">
        <v>49</v>
      </c>
      <c r="B38" s="4" t="s">
        <v>13</v>
      </c>
      <c r="C38" s="93">
        <v>138203.52000000002</v>
      </c>
      <c r="D38" s="93">
        <v>183456.0</v>
      </c>
      <c r="E38" s="17">
        <v>19600.0</v>
      </c>
      <c r="F38" s="17">
        <v>29400.0</v>
      </c>
      <c r="G38" s="6">
        <v>293655.04</v>
      </c>
      <c r="H38" s="216">
        <v>23520.0</v>
      </c>
    </row>
    <row r="39" spans="8:8">
      <c r="A39" s="18" t="s">
        <v>342</v>
      </c>
      <c r="B39" s="4" t="s">
        <v>13</v>
      </c>
      <c r="C39" s="93">
        <v>138203.52000000002</v>
      </c>
      <c r="D39" s="93">
        <v>183456.0</v>
      </c>
      <c r="E39" s="17">
        <v>19600.0</v>
      </c>
      <c r="F39" s="17">
        <v>29400.0</v>
      </c>
      <c r="G39" s="6">
        <v>293655.04</v>
      </c>
      <c r="H39" s="216">
        <v>23520.0</v>
      </c>
    </row>
    <row r="40" spans="8:8" s="49" ht="15.0" customFormat="1">
      <c r="A40" s="3" t="s">
        <v>51</v>
      </c>
      <c r="B40" s="16" t="s">
        <v>13</v>
      </c>
      <c r="C40" s="93">
        <v>138203.52000000002</v>
      </c>
      <c r="D40" s="93">
        <v>183456.0</v>
      </c>
      <c r="E40" s="17">
        <v>19600.0</v>
      </c>
      <c r="F40" s="17">
        <v>29400.0</v>
      </c>
      <c r="G40" s="6">
        <v>293655.04</v>
      </c>
      <c r="H40" s="216">
        <v>23520.0</v>
      </c>
    </row>
    <row r="41" spans="8:8">
      <c r="A41" s="3" t="s">
        <v>52</v>
      </c>
      <c r="B41" s="4" t="s">
        <v>13</v>
      </c>
      <c r="C41" s="93">
        <v>138203.52000000002</v>
      </c>
      <c r="D41" s="93">
        <v>77051.52</v>
      </c>
      <c r="E41" s="17">
        <v>19600.0</v>
      </c>
      <c r="F41" s="17">
        <v>29400.0</v>
      </c>
      <c r="G41" s="6">
        <v>293655.04</v>
      </c>
      <c r="H41" s="216">
        <v>23520.0</v>
      </c>
    </row>
    <row r="42" spans="8:8">
      <c r="A42" s="14" t="s">
        <v>343</v>
      </c>
      <c r="B42" s="4" t="s">
        <v>13</v>
      </c>
      <c r="C42" s="93">
        <v>138203.52000000002</v>
      </c>
      <c r="D42" s="93">
        <v>77051.52</v>
      </c>
      <c r="E42" s="17">
        <v>19600.0</v>
      </c>
      <c r="F42" s="17">
        <v>29400.0</v>
      </c>
      <c r="G42" s="6">
        <v>293655.04</v>
      </c>
      <c r="H42" s="216">
        <v>23520.0</v>
      </c>
    </row>
    <row r="43" spans="8:8">
      <c r="A43" s="3" t="s">
        <v>54</v>
      </c>
      <c r="B43" s="4" t="s">
        <v>13</v>
      </c>
      <c r="C43" s="93">
        <v>138203.52000000002</v>
      </c>
      <c r="D43" s="93">
        <v>77051.52</v>
      </c>
      <c r="E43" s="17">
        <v>19600.0</v>
      </c>
      <c r="F43" s="17">
        <v>29400.0</v>
      </c>
      <c r="G43" s="6">
        <v>293655.04</v>
      </c>
      <c r="H43" s="216">
        <v>23520.0</v>
      </c>
    </row>
    <row r="44" spans="8:8">
      <c r="A44" s="15" t="s">
        <v>55</v>
      </c>
      <c r="B44" s="4" t="s">
        <v>13</v>
      </c>
      <c r="C44" s="93">
        <v>138203.52000000002</v>
      </c>
      <c r="D44" s="93">
        <v>77051.52</v>
      </c>
      <c r="E44" s="17">
        <v>19600.0</v>
      </c>
      <c r="F44" s="17">
        <v>29400.0</v>
      </c>
      <c r="G44" s="6">
        <v>293655.04</v>
      </c>
      <c r="H44" s="216">
        <v>23520.0</v>
      </c>
    </row>
    <row r="45" spans="8:8" s="49" ht="15.0" customFormat="1">
      <c r="A45" s="3" t="s">
        <v>56</v>
      </c>
      <c r="B45" s="16" t="s">
        <v>13</v>
      </c>
      <c r="C45" s="93">
        <v>27518.4</v>
      </c>
      <c r="D45" s="93">
        <v>77051.52</v>
      </c>
      <c r="E45" s="17">
        <v>19600.0</v>
      </c>
      <c r="F45" s="17">
        <v>29400.0</v>
      </c>
      <c r="G45" s="17">
        <v>307720.0</v>
      </c>
      <c r="H45" s="216">
        <v>23520.0</v>
      </c>
    </row>
    <row r="46" spans="8:8">
      <c r="A46" s="3" t="s">
        <v>57</v>
      </c>
      <c r="B46" s="4" t="s">
        <v>60</v>
      </c>
      <c r="C46" s="93">
        <v>0.01</v>
      </c>
      <c r="D46" s="93">
        <v>77051.52</v>
      </c>
      <c r="E46" s="17">
        <v>19600.0</v>
      </c>
      <c r="F46" s="17">
        <v>29400.0</v>
      </c>
      <c r="G46" s="6">
        <v>269147.21</v>
      </c>
    </row>
    <row r="47" spans="8:8">
      <c r="A47" s="3" t="s">
        <v>58</v>
      </c>
      <c r="B47" s="4" t="s">
        <v>60</v>
      </c>
      <c r="C47" s="93">
        <v>0.01</v>
      </c>
      <c r="D47" s="93">
        <v>77051.52</v>
      </c>
      <c r="E47" s="17">
        <v>19600.0</v>
      </c>
      <c r="F47" s="17">
        <v>29400.0</v>
      </c>
      <c r="G47" s="6">
        <v>269147.21</v>
      </c>
    </row>
    <row r="48" spans="8:8">
      <c r="A48" s="3" t="s">
        <v>59</v>
      </c>
      <c r="B48" s="4" t="s">
        <v>60</v>
      </c>
      <c r="C48" s="93">
        <v>0.01</v>
      </c>
      <c r="D48" s="93">
        <v>201801.6</v>
      </c>
      <c r="E48" s="17">
        <v>19600.0</v>
      </c>
      <c r="F48" s="17">
        <v>29400.0</v>
      </c>
      <c r="G48" s="6">
        <v>269147.21</v>
      </c>
    </row>
    <row r="49" spans="8:8">
      <c r="A49" s="3" t="s">
        <v>61</v>
      </c>
      <c r="B49" s="4" t="s">
        <v>60</v>
      </c>
      <c r="C49" s="93">
        <v>45864.0</v>
      </c>
      <c r="D49" s="93">
        <v>220147.2</v>
      </c>
      <c r="E49" s="17">
        <v>19600.0</v>
      </c>
      <c r="F49" s="17">
        <v>29400.0</v>
      </c>
      <c r="G49" s="6">
        <v>480121.6</v>
      </c>
    </row>
    <row r="50" spans="8:8">
      <c r="A50" s="3" t="s">
        <v>62</v>
      </c>
      <c r="B50" s="4" t="s">
        <v>60</v>
      </c>
      <c r="C50" s="93">
        <v>0.01</v>
      </c>
      <c r="D50" s="93">
        <v>220147.2</v>
      </c>
      <c r="E50" s="17">
        <v>19600.0</v>
      </c>
      <c r="F50" s="17">
        <v>29400.0</v>
      </c>
      <c r="G50" s="6">
        <v>269147.21</v>
      </c>
    </row>
    <row r="51" spans="8:8">
      <c r="A51" s="3" t="s">
        <v>63</v>
      </c>
      <c r="B51" s="4" t="s">
        <v>60</v>
      </c>
      <c r="C51" s="93">
        <v>0.01</v>
      </c>
      <c r="D51" s="93">
        <v>220147.2</v>
      </c>
      <c r="E51" s="17">
        <v>19600.0</v>
      </c>
      <c r="F51" s="17">
        <v>29400.0</v>
      </c>
      <c r="G51" s="6">
        <v>269147.21</v>
      </c>
    </row>
    <row r="52" spans="8:8">
      <c r="A52" s="3" t="s">
        <v>64</v>
      </c>
      <c r="B52" s="4" t="s">
        <v>65</v>
      </c>
      <c r="C52" s="93">
        <v>0.01</v>
      </c>
      <c r="D52" s="93">
        <v>385257.6</v>
      </c>
      <c r="E52" s="17">
        <v>19600.0</v>
      </c>
      <c r="F52" s="17">
        <v>29400.0</v>
      </c>
      <c r="G52" s="6">
        <v>211052.81</v>
      </c>
    </row>
    <row r="53" spans="8:8">
      <c r="A53" s="3" t="s">
        <v>66</v>
      </c>
      <c r="B53" s="4" t="s">
        <v>65</v>
      </c>
      <c r="C53" s="93">
        <v>0.01</v>
      </c>
      <c r="D53" s="93">
        <v>220147.2</v>
      </c>
      <c r="E53" s="17">
        <v>19600.0</v>
      </c>
      <c r="F53" s="17">
        <v>29400.0</v>
      </c>
      <c r="G53" s="6">
        <v>221448.65</v>
      </c>
    </row>
    <row r="54" spans="8:8">
      <c r="A54" s="3" t="s">
        <v>67</v>
      </c>
      <c r="B54" s="4" t="s">
        <v>65</v>
      </c>
      <c r="C54" s="93">
        <v>0.01</v>
      </c>
      <c r="D54" s="93">
        <v>220147.2</v>
      </c>
      <c r="E54" s="17">
        <v>19600.0</v>
      </c>
      <c r="F54" s="17">
        <v>29400.0</v>
      </c>
      <c r="G54" s="6">
        <v>211052.81</v>
      </c>
    </row>
    <row r="55" spans="8:8">
      <c r="A55" s="3" t="s">
        <v>68</v>
      </c>
      <c r="B55" s="4" t="s">
        <v>65</v>
      </c>
      <c r="C55" s="93">
        <v>0.01</v>
      </c>
      <c r="D55" s="93">
        <v>162052.8</v>
      </c>
      <c r="E55" s="17">
        <v>19600.0</v>
      </c>
      <c r="F55" s="17">
        <v>29400.0</v>
      </c>
      <c r="G55" s="6">
        <v>221448.65</v>
      </c>
    </row>
    <row r="56" spans="8:8">
      <c r="A56" s="3" t="s">
        <v>69</v>
      </c>
      <c r="B56" s="4" t="s">
        <v>65</v>
      </c>
      <c r="C56" s="93">
        <v>0.01</v>
      </c>
      <c r="D56" s="93">
        <v>172448.64</v>
      </c>
      <c r="E56" s="17">
        <v>19600.0</v>
      </c>
      <c r="F56" s="17">
        <v>29400.0</v>
      </c>
      <c r="G56" s="6">
        <v>259362.89</v>
      </c>
    </row>
    <row r="57" spans="8:8">
      <c r="A57" s="3" t="s">
        <v>70</v>
      </c>
      <c r="B57" s="4" t="s">
        <v>65</v>
      </c>
      <c r="C57" s="93">
        <v>0.01</v>
      </c>
      <c r="D57" s="93">
        <v>162052.8</v>
      </c>
      <c r="E57" s="17">
        <v>19600.0</v>
      </c>
      <c r="F57" s="17">
        <v>29400.0</v>
      </c>
      <c r="G57" s="6">
        <v>211052.81</v>
      </c>
    </row>
    <row r="58" spans="8:8">
      <c r="A58" s="15" t="s">
        <v>71</v>
      </c>
      <c r="B58" s="16" t="s">
        <v>65</v>
      </c>
      <c r="C58" s="93">
        <v>0.01</v>
      </c>
      <c r="D58" s="93">
        <v>172448.64</v>
      </c>
      <c r="E58" s="17">
        <v>19600.0</v>
      </c>
      <c r="F58" s="17">
        <v>29400.0</v>
      </c>
      <c r="G58" s="6">
        <v>239794.25</v>
      </c>
    </row>
    <row r="59" spans="8:8">
      <c r="A59" s="15" t="s">
        <v>72</v>
      </c>
      <c r="B59" s="16" t="s">
        <v>65</v>
      </c>
      <c r="C59" s="93">
        <v>0.01</v>
      </c>
      <c r="D59" s="93">
        <v>210362.88</v>
      </c>
      <c r="E59" s="17">
        <v>19600.0</v>
      </c>
      <c r="F59" s="17">
        <v>29400.0</v>
      </c>
      <c r="G59" s="6">
        <v>221448.65</v>
      </c>
    </row>
    <row r="60" spans="8:8">
      <c r="A60" s="3" t="s">
        <v>73</v>
      </c>
      <c r="B60" s="4" t="s">
        <v>65</v>
      </c>
      <c r="C60" s="93">
        <v>0.01</v>
      </c>
      <c r="D60" s="93">
        <v>162052.8</v>
      </c>
      <c r="E60" s="17">
        <v>19600.0</v>
      </c>
      <c r="F60" s="17">
        <v>29400.0</v>
      </c>
      <c r="G60" s="6">
        <v>211052.81</v>
      </c>
    </row>
    <row r="61" spans="8:8">
      <c r="A61" s="3" t="s">
        <v>74</v>
      </c>
      <c r="B61" s="4" t="s">
        <v>65</v>
      </c>
      <c r="C61" s="93">
        <v>0.01</v>
      </c>
      <c r="D61" s="93">
        <v>190794.24000000002</v>
      </c>
      <c r="E61" s="17">
        <v>19600.0</v>
      </c>
      <c r="F61" s="17">
        <v>29400.0</v>
      </c>
      <c r="G61" s="6">
        <v>221448.65</v>
      </c>
    </row>
    <row r="62" spans="8:8">
      <c r="A62" s="3" t="s">
        <v>75</v>
      </c>
      <c r="B62" s="4" t="s">
        <v>65</v>
      </c>
      <c r="C62" s="93">
        <v>0.01</v>
      </c>
      <c r="D62" s="93">
        <v>172448.64</v>
      </c>
      <c r="E62" s="17">
        <v>19600.0</v>
      </c>
      <c r="F62" s="17">
        <v>29400.0</v>
      </c>
      <c r="G62" s="6">
        <v>315011.21</v>
      </c>
    </row>
    <row r="63" spans="8:8">
      <c r="A63" s="3" t="s">
        <v>76</v>
      </c>
      <c r="B63" s="4" t="s">
        <v>65</v>
      </c>
      <c r="C63" s="93">
        <v>0.01</v>
      </c>
      <c r="D63" s="93">
        <v>162052.8</v>
      </c>
      <c r="E63" s="17">
        <v>19600.0</v>
      </c>
      <c r="F63" s="17">
        <v>29400.0</v>
      </c>
      <c r="G63" s="6">
        <v>211052.81</v>
      </c>
    </row>
    <row r="64" spans="8:8">
      <c r="A64" s="3" t="s">
        <v>77</v>
      </c>
      <c r="B64" s="4" t="s">
        <v>65</v>
      </c>
      <c r="C64" s="93">
        <v>0.01</v>
      </c>
      <c r="D64" s="93">
        <v>172448.64</v>
      </c>
      <c r="E64" s="17">
        <v>19600.0</v>
      </c>
      <c r="F64" s="17">
        <v>29400.0</v>
      </c>
      <c r="G64" s="6">
        <v>221448.65</v>
      </c>
    </row>
    <row r="65" spans="8:8">
      <c r="A65" s="3" t="s">
        <v>78</v>
      </c>
      <c r="B65" s="4" t="s">
        <v>65</v>
      </c>
      <c r="C65" s="93">
        <v>0.01</v>
      </c>
      <c r="D65" s="93">
        <v>266011.2</v>
      </c>
      <c r="E65" s="17">
        <v>19600.0</v>
      </c>
      <c r="F65" s="17">
        <v>29400.0</v>
      </c>
      <c r="G65" s="6">
        <v>239794.25</v>
      </c>
    </row>
    <row r="66" spans="8:8">
      <c r="A66" s="3" t="s">
        <v>79</v>
      </c>
      <c r="B66" s="4" t="s">
        <v>65</v>
      </c>
      <c r="C66" s="93">
        <v>0.01</v>
      </c>
      <c r="D66" s="93">
        <v>162052.8</v>
      </c>
      <c r="E66" s="17">
        <v>19600.0</v>
      </c>
      <c r="F66" s="17">
        <v>29400.0</v>
      </c>
      <c r="G66" s="6">
        <v>259362.89</v>
      </c>
    </row>
    <row r="67" spans="8:8">
      <c r="A67" s="3" t="s">
        <v>80</v>
      </c>
      <c r="B67" s="4" t="s">
        <v>65</v>
      </c>
      <c r="C67" s="93">
        <v>0.01</v>
      </c>
      <c r="D67" s="93">
        <v>172448.64</v>
      </c>
      <c r="E67" s="17">
        <v>19600.0</v>
      </c>
      <c r="F67" s="17">
        <v>29400.0</v>
      </c>
      <c r="G67" s="6">
        <v>211052.81</v>
      </c>
    </row>
    <row r="68" spans="8:8">
      <c r="A68" s="3" t="s">
        <v>81</v>
      </c>
      <c r="B68" s="4" t="s">
        <v>65</v>
      </c>
      <c r="C68" s="93">
        <v>0.01</v>
      </c>
      <c r="D68" s="93">
        <v>190794.24000000002</v>
      </c>
      <c r="E68" s="17">
        <v>19600.0</v>
      </c>
      <c r="F68" s="17">
        <v>29400.0</v>
      </c>
      <c r="G68" s="6">
        <v>221448.65</v>
      </c>
    </row>
    <row r="69" spans="8:8">
      <c r="A69" s="3" t="s">
        <v>82</v>
      </c>
      <c r="B69" s="4" t="s">
        <v>65</v>
      </c>
      <c r="C69" s="93">
        <v>0.01</v>
      </c>
      <c r="D69" s="93">
        <v>210362.88</v>
      </c>
      <c r="E69" s="17">
        <v>19600.0</v>
      </c>
      <c r="F69" s="17">
        <v>29400.0</v>
      </c>
      <c r="G69" s="6">
        <v>373105.61</v>
      </c>
    </row>
    <row r="70" spans="8:8">
      <c r="A70" s="3" t="s">
        <v>83</v>
      </c>
      <c r="B70" s="4" t="s">
        <v>65</v>
      </c>
      <c r="C70" s="93">
        <v>0.01</v>
      </c>
      <c r="D70" s="93">
        <v>162052.8</v>
      </c>
      <c r="E70" s="17">
        <v>19600.0</v>
      </c>
      <c r="F70" s="17">
        <v>29400.0</v>
      </c>
      <c r="G70" s="6">
        <v>393897.29</v>
      </c>
    </row>
    <row r="71" spans="8:8">
      <c r="A71" s="3" t="s">
        <v>84</v>
      </c>
      <c r="B71" s="4" t="s">
        <v>65</v>
      </c>
      <c r="C71" s="93">
        <v>0.01</v>
      </c>
      <c r="D71" s="93">
        <v>172448.64</v>
      </c>
      <c r="E71" s="17">
        <v>19600.0</v>
      </c>
      <c r="F71" s="17">
        <v>29400.0</v>
      </c>
      <c r="G71" s="6">
        <v>221448.65</v>
      </c>
    </row>
    <row r="72" spans="8:8">
      <c r="A72" s="3" t="s">
        <v>85</v>
      </c>
      <c r="B72" s="4" t="s">
        <v>65</v>
      </c>
      <c r="C72" s="93">
        <v>0.01</v>
      </c>
      <c r="D72" s="93">
        <v>324105.6</v>
      </c>
      <c r="E72" s="17">
        <v>19600.0</v>
      </c>
      <c r="F72" s="17">
        <v>29400.0</v>
      </c>
      <c r="G72" s="6">
        <v>393897.29</v>
      </c>
    </row>
    <row r="73" spans="8:8">
      <c r="A73" s="15" t="s">
        <v>86</v>
      </c>
      <c r="B73" s="16" t="s">
        <v>65</v>
      </c>
      <c r="C73" s="93">
        <v>0.01</v>
      </c>
      <c r="D73" s="93">
        <v>344897.28</v>
      </c>
      <c r="E73" s="17">
        <v>19600.0</v>
      </c>
      <c r="F73" s="17">
        <v>29400.0</v>
      </c>
      <c r="G73" s="6">
        <v>221448.65</v>
      </c>
    </row>
    <row r="74" spans="8:8" s="49" ht="15.0" customFormat="1">
      <c r="A74" s="3" t="s">
        <v>87</v>
      </c>
      <c r="B74" s="4" t="s">
        <v>65</v>
      </c>
      <c r="C74" s="93">
        <v>0.01</v>
      </c>
      <c r="D74" s="93">
        <v>172448.64</v>
      </c>
      <c r="E74" s="17">
        <v>19600.0</v>
      </c>
      <c r="F74" s="17">
        <v>29400.0</v>
      </c>
      <c r="G74" s="6">
        <v>239794.25</v>
      </c>
      <c r="H74" s="217"/>
      <c r="I74" s="39"/>
    </row>
    <row r="75" spans="8:8">
      <c r="A75" s="3" t="s">
        <v>88</v>
      </c>
      <c r="B75" s="4" t="s">
        <v>65</v>
      </c>
      <c r="C75" s="93">
        <v>0.01</v>
      </c>
      <c r="D75" s="93">
        <v>344897.28</v>
      </c>
      <c r="E75" s="17">
        <v>19600.0</v>
      </c>
      <c r="F75" s="17">
        <v>29400.0</v>
      </c>
      <c r="G75" s="6">
        <v>259362.89</v>
      </c>
    </row>
    <row r="76" spans="8:8">
      <c r="A76" s="3" t="s">
        <v>89</v>
      </c>
      <c r="B76" s="4" t="s">
        <v>65</v>
      </c>
      <c r="C76" s="93">
        <v>0.01</v>
      </c>
      <c r="D76" s="93">
        <v>172448.64</v>
      </c>
      <c r="E76" s="17">
        <v>19600.0</v>
      </c>
      <c r="F76" s="17">
        <v>29400.0</v>
      </c>
      <c r="G76" s="6">
        <v>287492.81</v>
      </c>
    </row>
    <row r="77" spans="8:8">
      <c r="A77" s="3" t="s">
        <v>90</v>
      </c>
      <c r="B77" s="4" t="s">
        <v>65</v>
      </c>
      <c r="C77" s="93">
        <v>0.01</v>
      </c>
      <c r="D77" s="93">
        <v>190794.24000000002</v>
      </c>
      <c r="E77" s="17">
        <v>19600.0</v>
      </c>
      <c r="F77" s="17">
        <v>29400.0</v>
      </c>
      <c r="G77" s="6">
        <v>305226.89</v>
      </c>
    </row>
    <row r="78" spans="8:8">
      <c r="A78" s="3" t="s">
        <v>91</v>
      </c>
      <c r="B78" s="4" t="s">
        <v>65</v>
      </c>
      <c r="C78" s="93">
        <v>0.01</v>
      </c>
      <c r="D78" s="93">
        <v>210362.88</v>
      </c>
      <c r="E78" s="17">
        <v>19600.0</v>
      </c>
      <c r="F78" s="17">
        <v>29400.0</v>
      </c>
      <c r="G78" s="6">
        <v>320514.89</v>
      </c>
    </row>
    <row r="79" spans="8:8">
      <c r="A79" s="3" t="s">
        <v>92</v>
      </c>
      <c r="B79" s="4" t="s">
        <v>65</v>
      </c>
      <c r="C79" s="93">
        <v>0.01</v>
      </c>
      <c r="D79" s="93">
        <v>238492.8</v>
      </c>
      <c r="E79" s="17">
        <v>19600.0</v>
      </c>
      <c r="F79" s="17">
        <v>29400.0</v>
      </c>
      <c r="G79" s="6">
        <v>211052.81</v>
      </c>
    </row>
    <row r="80" spans="8:8">
      <c r="A80" s="3" t="s">
        <v>93</v>
      </c>
      <c r="B80" s="4" t="s">
        <v>65</v>
      </c>
      <c r="C80" s="93">
        <v>0.01</v>
      </c>
      <c r="D80" s="93">
        <v>256226.88</v>
      </c>
      <c r="E80" s="17">
        <v>19600.0</v>
      </c>
      <c r="F80" s="17">
        <v>29400.0</v>
      </c>
      <c r="G80" s="6">
        <v>221448.65</v>
      </c>
    </row>
    <row r="81" spans="8:8">
      <c r="A81" s="3" t="s">
        <v>94</v>
      </c>
      <c r="B81" s="4" t="s">
        <v>65</v>
      </c>
      <c r="C81" s="93">
        <v>0.01</v>
      </c>
      <c r="D81" s="93">
        <v>271514.88</v>
      </c>
      <c r="E81" s="17">
        <v>19600.0</v>
      </c>
      <c r="F81" s="17">
        <v>29400.0</v>
      </c>
      <c r="G81" s="6">
        <v>259362.89</v>
      </c>
    </row>
    <row r="82" spans="8:8">
      <c r="A82" s="3" t="s">
        <v>95</v>
      </c>
      <c r="B82" s="4" t="s">
        <v>65</v>
      </c>
      <c r="C82" s="93">
        <v>0.01</v>
      </c>
      <c r="D82" s="93">
        <v>162052.8</v>
      </c>
      <c r="E82" s="17">
        <v>19600.0</v>
      </c>
      <c r="F82" s="17">
        <v>29400.0</v>
      </c>
      <c r="G82" s="6">
        <v>221448.65</v>
      </c>
    </row>
    <row r="83" spans="8:8">
      <c r="A83" s="3" t="s">
        <v>96</v>
      </c>
      <c r="B83" s="4" t="s">
        <v>65</v>
      </c>
      <c r="C83" s="93">
        <v>0.01</v>
      </c>
      <c r="D83" s="93">
        <v>172448.64</v>
      </c>
      <c r="E83" s="17">
        <v>19600.0</v>
      </c>
      <c r="F83" s="17">
        <v>29400.0</v>
      </c>
      <c r="G83" s="6">
        <v>259362.89</v>
      </c>
    </row>
    <row r="84" spans="8:8">
      <c r="A84" s="3" t="s">
        <v>97</v>
      </c>
      <c r="B84" s="4" t="s">
        <v>65</v>
      </c>
      <c r="C84" s="93">
        <v>0.01</v>
      </c>
      <c r="D84" s="93">
        <v>210362.88</v>
      </c>
      <c r="E84" s="17">
        <v>19600.0</v>
      </c>
      <c r="F84" s="17">
        <v>29400.0</v>
      </c>
      <c r="G84" s="6">
        <v>211052.81</v>
      </c>
    </row>
    <row r="85" spans="8:8">
      <c r="A85" s="15" t="s">
        <v>98</v>
      </c>
      <c r="B85" s="16" t="s">
        <v>65</v>
      </c>
      <c r="C85" s="93">
        <v>0.01</v>
      </c>
      <c r="D85" s="93">
        <v>172448.64</v>
      </c>
      <c r="E85" s="17">
        <v>19600.0</v>
      </c>
      <c r="F85" s="17">
        <v>29400.0</v>
      </c>
      <c r="G85" s="6">
        <v>221448.65</v>
      </c>
    </row>
    <row r="86" spans="8:8" s="49" ht="15.0" customFormat="1">
      <c r="A86" s="3" t="s">
        <v>99</v>
      </c>
      <c r="B86" s="4" t="s">
        <v>65</v>
      </c>
      <c r="C86" s="93">
        <v>0.01</v>
      </c>
      <c r="D86" s="93">
        <v>210362.88</v>
      </c>
      <c r="E86" s="17">
        <v>19600.0</v>
      </c>
      <c r="F86" s="17">
        <v>29400.0</v>
      </c>
      <c r="G86" s="6">
        <v>259362.89</v>
      </c>
      <c r="H86" s="217"/>
    </row>
    <row r="87" spans="8:8">
      <c r="A87" s="3" t="s">
        <v>100</v>
      </c>
      <c r="B87" s="4" t="s">
        <v>65</v>
      </c>
      <c r="C87" s="93">
        <v>0.01</v>
      </c>
      <c r="D87" s="93">
        <v>162052.8</v>
      </c>
      <c r="E87" s="17">
        <v>19600.0</v>
      </c>
      <c r="F87" s="17">
        <v>29400.0</v>
      </c>
      <c r="G87" s="6">
        <v>305226.89</v>
      </c>
    </row>
    <row r="88" spans="8:8">
      <c r="A88" s="3" t="s">
        <v>101</v>
      </c>
      <c r="B88" s="4" t="s">
        <v>65</v>
      </c>
      <c r="C88" s="93">
        <v>0.01</v>
      </c>
      <c r="D88" s="93">
        <v>172448.64</v>
      </c>
      <c r="E88" s="17">
        <v>19600.0</v>
      </c>
      <c r="F88" s="17">
        <v>29400.0</v>
      </c>
      <c r="G88" s="6">
        <v>320514.89</v>
      </c>
    </row>
    <row r="89" spans="8:8">
      <c r="A89" s="3" t="s">
        <v>102</v>
      </c>
      <c r="B89" s="4" t="s">
        <v>65</v>
      </c>
      <c r="C89" s="93">
        <v>0.01</v>
      </c>
      <c r="D89" s="93">
        <v>210362.88</v>
      </c>
      <c r="E89" s="17">
        <v>19600.0</v>
      </c>
      <c r="F89" s="17">
        <v>29400.0</v>
      </c>
      <c r="G89" s="6">
        <v>219614.09</v>
      </c>
    </row>
    <row r="90" spans="8:8">
      <c r="A90" s="3" t="s">
        <v>103</v>
      </c>
      <c r="B90" s="4" t="s">
        <v>65</v>
      </c>
      <c r="C90" s="93">
        <v>0.01</v>
      </c>
      <c r="D90" s="93">
        <v>256226.88</v>
      </c>
      <c r="E90" s="17">
        <v>19600.0</v>
      </c>
      <c r="F90" s="17">
        <v>29400.0</v>
      </c>
      <c r="G90" s="6">
        <v>211052.81</v>
      </c>
    </row>
    <row r="91" spans="8:8">
      <c r="A91" s="15" t="s">
        <v>104</v>
      </c>
      <c r="B91" s="16" t="s">
        <v>65</v>
      </c>
      <c r="C91" s="93">
        <v>0.01</v>
      </c>
      <c r="D91" s="93">
        <v>271514.88</v>
      </c>
      <c r="E91" s="17">
        <v>19600.0</v>
      </c>
      <c r="F91" s="17">
        <v>29400.0</v>
      </c>
      <c r="G91" s="6">
        <v>221448.65</v>
      </c>
    </row>
    <row r="92" spans="8:8" s="49" ht="15.0" customFormat="1">
      <c r="A92" s="3" t="s">
        <v>105</v>
      </c>
      <c r="B92" s="4" t="s">
        <v>65</v>
      </c>
      <c r="C92" s="93">
        <v>0.01</v>
      </c>
      <c r="D92" s="93">
        <v>170614.08000000002</v>
      </c>
      <c r="E92" s="17">
        <v>19600.0</v>
      </c>
      <c r="F92" s="17">
        <v>29400.0</v>
      </c>
      <c r="G92" s="17">
        <v>239794.25</v>
      </c>
      <c r="H92" s="217"/>
    </row>
    <row r="93" spans="8:8">
      <c r="A93" s="3" t="s">
        <v>108</v>
      </c>
      <c r="B93" s="4" t="s">
        <v>65</v>
      </c>
      <c r="C93" s="93">
        <v>0.01</v>
      </c>
      <c r="D93" s="93">
        <v>162052.8</v>
      </c>
      <c r="E93" s="17">
        <v>19600.0</v>
      </c>
      <c r="F93" s="17">
        <v>29400.0</v>
      </c>
      <c r="G93" s="6">
        <v>221448.65</v>
      </c>
    </row>
    <row r="94" spans="8:8">
      <c r="A94" s="3" t="s">
        <v>109</v>
      </c>
      <c r="B94" s="4" t="s">
        <v>65</v>
      </c>
      <c r="C94" s="93">
        <v>0.01</v>
      </c>
      <c r="D94" s="93">
        <v>172448.64</v>
      </c>
      <c r="E94" s="17">
        <v>19600.0</v>
      </c>
      <c r="F94" s="17">
        <v>29400.0</v>
      </c>
      <c r="G94" s="6">
        <v>239794.25</v>
      </c>
    </row>
    <row r="95" spans="8:8">
      <c r="A95" s="3" t="s">
        <v>110</v>
      </c>
      <c r="B95" s="4" t="s">
        <v>65</v>
      </c>
      <c r="C95" s="93">
        <v>91728.0</v>
      </c>
      <c r="D95" s="93">
        <v>190794.24000000002</v>
      </c>
      <c r="E95" s="17">
        <v>19600.0</v>
      </c>
      <c r="F95" s="17">
        <v>29400.0</v>
      </c>
      <c r="G95" s="6">
        <v>299111.68</v>
      </c>
    </row>
    <row r="96" spans="8:8">
      <c r="A96" s="3" t="s">
        <v>111</v>
      </c>
      <c r="B96" s="4" t="s">
        <v>65</v>
      </c>
      <c r="C96" s="93">
        <v>0.01</v>
      </c>
      <c r="D96" s="93">
        <v>172448.64</v>
      </c>
      <c r="E96" s="17">
        <v>19600.0</v>
      </c>
      <c r="F96" s="17">
        <v>29400.0</v>
      </c>
      <c r="G96" s="6">
        <v>211052.81</v>
      </c>
    </row>
    <row r="97" spans="8:8">
      <c r="A97" s="3" t="s">
        <v>112</v>
      </c>
      <c r="B97" s="4" t="s">
        <v>65</v>
      </c>
      <c r="C97" s="93">
        <v>0.01</v>
      </c>
      <c r="D97" s="93">
        <v>190794.24000000002</v>
      </c>
      <c r="E97" s="17">
        <v>19600.0</v>
      </c>
      <c r="F97" s="17">
        <v>29400.0</v>
      </c>
      <c r="G97" s="6">
        <v>221448.65</v>
      </c>
    </row>
    <row r="98" spans="8:8">
      <c r="A98" s="3" t="s">
        <v>113</v>
      </c>
      <c r="B98" s="4" t="s">
        <v>65</v>
      </c>
      <c r="C98" s="93">
        <v>0.01</v>
      </c>
      <c r="D98" s="93">
        <v>158383.68</v>
      </c>
      <c r="E98" s="17">
        <v>19600.0</v>
      </c>
      <c r="F98" s="17">
        <v>29400.0</v>
      </c>
      <c r="G98" s="6">
        <v>239794.25</v>
      </c>
    </row>
    <row r="99" spans="8:8">
      <c r="A99" s="3" t="s">
        <v>114</v>
      </c>
      <c r="B99" s="4" t="s">
        <v>65</v>
      </c>
      <c r="C99" s="93">
        <v>0.01</v>
      </c>
      <c r="D99" s="93">
        <v>162052.8</v>
      </c>
      <c r="E99" s="17">
        <v>19600.0</v>
      </c>
      <c r="F99" s="17">
        <v>29400.0</v>
      </c>
      <c r="G99" s="6">
        <v>211052.81</v>
      </c>
    </row>
    <row r="100" spans="8:8">
      <c r="A100" s="3" t="s">
        <v>115</v>
      </c>
      <c r="B100" s="4" t="s">
        <v>65</v>
      </c>
      <c r="C100" s="93">
        <v>0.01</v>
      </c>
      <c r="D100" s="93">
        <v>172448.64</v>
      </c>
      <c r="E100" s="17">
        <v>19600.0</v>
      </c>
      <c r="F100" s="17">
        <v>29400.0</v>
      </c>
      <c r="G100" s="6">
        <v>221448.65</v>
      </c>
    </row>
    <row r="101" spans="8:8">
      <c r="A101" s="3" t="s">
        <v>116</v>
      </c>
      <c r="B101" s="4" t="s">
        <v>65</v>
      </c>
      <c r="C101" s="93">
        <v>0.01</v>
      </c>
      <c r="D101" s="93">
        <v>190794.24000000002</v>
      </c>
      <c r="E101" s="17">
        <v>19600.0</v>
      </c>
      <c r="F101" s="17">
        <v>29400.0</v>
      </c>
      <c r="G101" s="6">
        <v>239794.25</v>
      </c>
    </row>
    <row r="102" spans="8:8">
      <c r="A102" s="3" t="s">
        <v>117</v>
      </c>
      <c r="B102" s="4" t="s">
        <v>65</v>
      </c>
      <c r="C102" s="93">
        <v>0.01</v>
      </c>
      <c r="D102" s="93">
        <v>162052.8</v>
      </c>
      <c r="E102" s="17">
        <v>19600.0</v>
      </c>
      <c r="F102" s="17">
        <v>29400.0</v>
      </c>
      <c r="G102" s="6">
        <v>221448.65</v>
      </c>
    </row>
    <row r="103" spans="8:8">
      <c r="A103" s="3" t="s">
        <v>118</v>
      </c>
      <c r="B103" s="4" t="s">
        <v>65</v>
      </c>
      <c r="C103" s="93">
        <v>0.01</v>
      </c>
      <c r="D103" s="93">
        <v>172448.64</v>
      </c>
      <c r="E103" s="17">
        <v>19600.0</v>
      </c>
      <c r="F103" s="17">
        <v>29400.0</v>
      </c>
      <c r="G103" s="6">
        <v>211052.81</v>
      </c>
    </row>
    <row r="104" spans="8:8">
      <c r="A104" s="3" t="s">
        <v>119</v>
      </c>
      <c r="B104" s="4" t="s">
        <v>65</v>
      </c>
      <c r="C104" s="93">
        <v>0.01</v>
      </c>
      <c r="D104" s="93">
        <v>190794.24000000002</v>
      </c>
      <c r="E104" s="17">
        <v>19600.0</v>
      </c>
      <c r="F104" s="17">
        <v>29400.0</v>
      </c>
      <c r="G104" s="6">
        <v>221448.65</v>
      </c>
    </row>
    <row r="105" spans="8:8">
      <c r="A105" s="3" t="s">
        <v>120</v>
      </c>
      <c r="B105" s="4" t="s">
        <v>65</v>
      </c>
      <c r="C105" s="93">
        <v>0.01</v>
      </c>
      <c r="D105" s="93">
        <v>172448.64</v>
      </c>
      <c r="E105" s="17">
        <v>19600.0</v>
      </c>
      <c r="F105" s="17">
        <v>29400.0</v>
      </c>
      <c r="G105" s="6">
        <v>373105.61</v>
      </c>
    </row>
    <row r="106" spans="8:8">
      <c r="A106" s="3" t="s">
        <v>121</v>
      </c>
      <c r="B106" s="4" t="s">
        <v>65</v>
      </c>
      <c r="C106" s="93">
        <v>0.01</v>
      </c>
      <c r="D106" s="93">
        <v>162052.8</v>
      </c>
      <c r="E106" s="17">
        <v>19600.0</v>
      </c>
      <c r="F106" s="17">
        <v>29400.0</v>
      </c>
      <c r="G106" s="6">
        <v>393897.29</v>
      </c>
    </row>
    <row r="107" spans="8:8">
      <c r="A107" s="3" t="s">
        <v>122</v>
      </c>
      <c r="B107" s="164" t="s">
        <v>65</v>
      </c>
      <c r="C107" s="93">
        <v>0.01</v>
      </c>
      <c r="D107" s="93">
        <v>162052.8</v>
      </c>
      <c r="E107" s="165">
        <v>19600.0</v>
      </c>
      <c r="F107" s="17">
        <v>29400.0</v>
      </c>
      <c r="G107" s="6">
        <f t="shared" si="0" ref="G107:G111">SUM(C107:F107)</f>
        <v>211052.81</v>
      </c>
    </row>
    <row r="108" spans="8:8">
      <c r="A108" s="3" t="s">
        <v>123</v>
      </c>
      <c r="B108" s="164" t="s">
        <v>65</v>
      </c>
      <c r="C108" s="93">
        <v>0.01</v>
      </c>
      <c r="D108" s="93">
        <v>172448.64</v>
      </c>
      <c r="E108" s="165">
        <v>19600.0</v>
      </c>
      <c r="F108" s="17">
        <v>29400.0</v>
      </c>
      <c r="G108" s="6">
        <f t="shared" si="0"/>
        <v>221448.65000000002</v>
      </c>
    </row>
    <row r="109" spans="8:8">
      <c r="A109" s="3" t="s">
        <v>124</v>
      </c>
      <c r="B109" s="164" t="s">
        <v>65</v>
      </c>
      <c r="C109" s="93">
        <v>0.01</v>
      </c>
      <c r="D109" s="93">
        <v>190794.24000000002</v>
      </c>
      <c r="E109" s="165">
        <v>19600.0</v>
      </c>
      <c r="F109" s="17">
        <v>29400.0</v>
      </c>
      <c r="G109" s="6">
        <f t="shared" si="0"/>
        <v>239794.25000000003</v>
      </c>
    </row>
    <row r="110" spans="8:8">
      <c r="A110" s="3" t="s">
        <v>125</v>
      </c>
      <c r="B110" s="164" t="s">
        <v>65</v>
      </c>
      <c r="C110" s="93">
        <v>0.01</v>
      </c>
      <c r="D110" s="93">
        <v>210362.88</v>
      </c>
      <c r="E110" s="165">
        <v>19600.0</v>
      </c>
      <c r="F110" s="17">
        <v>29400.0</v>
      </c>
      <c r="G110" s="6">
        <f t="shared" si="0"/>
        <v>259362.89</v>
      </c>
    </row>
    <row r="111" spans="8:8">
      <c r="A111" s="3" t="s">
        <v>126</v>
      </c>
      <c r="B111" s="164" t="s">
        <v>65</v>
      </c>
      <c r="C111" s="93">
        <v>0.01</v>
      </c>
      <c r="D111" s="93">
        <v>238492.8</v>
      </c>
      <c r="E111" s="165">
        <v>19600.0</v>
      </c>
      <c r="F111" s="17">
        <v>29400.0</v>
      </c>
      <c r="G111" s="6">
        <f t="shared" si="0"/>
        <v>287492.81</v>
      </c>
    </row>
    <row r="112" spans="8:8">
      <c r="A112" s="3" t="s">
        <v>127</v>
      </c>
      <c r="B112" s="164" t="s">
        <v>65</v>
      </c>
      <c r="C112" s="93">
        <v>0.01</v>
      </c>
      <c r="D112" s="93">
        <v>324105.6</v>
      </c>
      <c r="E112" s="165">
        <v>19600.0</v>
      </c>
      <c r="F112" s="17">
        <v>29400.0</v>
      </c>
      <c r="G112" s="6">
        <f t="shared" si="1" ref="G112:G116">SUM(C112:F112)</f>
        <v>373105.61</v>
      </c>
    </row>
    <row r="113" spans="8:8">
      <c r="A113" s="3" t="s">
        <v>128</v>
      </c>
      <c r="B113" s="164" t="s">
        <v>65</v>
      </c>
      <c r="C113" s="93">
        <v>0.01</v>
      </c>
      <c r="D113" s="93">
        <v>344897.28</v>
      </c>
      <c r="E113" s="165">
        <v>19600.0</v>
      </c>
      <c r="F113" s="17">
        <v>29400.0</v>
      </c>
      <c r="G113" s="6">
        <f t="shared" si="1"/>
        <v>393897.29000000004</v>
      </c>
    </row>
    <row r="114" spans="8:8">
      <c r="A114" s="3" t="s">
        <v>129</v>
      </c>
      <c r="B114" s="164" t="s">
        <v>65</v>
      </c>
      <c r="C114" s="93">
        <v>0.01</v>
      </c>
      <c r="D114" s="93">
        <v>381588.48000000004</v>
      </c>
      <c r="E114" s="165">
        <v>19600.0</v>
      </c>
      <c r="F114" s="17">
        <v>29400.0</v>
      </c>
      <c r="G114" s="6">
        <f t="shared" si="1"/>
        <v>430588.49000000005</v>
      </c>
    </row>
    <row r="115" spans="8:8">
      <c r="A115" s="3" t="s">
        <v>130</v>
      </c>
      <c r="B115" s="164" t="s">
        <v>65</v>
      </c>
      <c r="C115" s="93">
        <v>0.01</v>
      </c>
      <c r="D115" s="93">
        <v>420725.76</v>
      </c>
      <c r="E115" s="165">
        <v>19600.0</v>
      </c>
      <c r="F115" s="17">
        <v>29400.0</v>
      </c>
      <c r="G115" s="6">
        <f t="shared" si="1"/>
        <v>469725.77</v>
      </c>
    </row>
    <row r="116" spans="8:8">
      <c r="A116" s="3" t="s">
        <v>131</v>
      </c>
      <c r="B116" s="164" t="s">
        <v>65</v>
      </c>
      <c r="C116" s="93">
        <v>0.01</v>
      </c>
      <c r="D116" s="93">
        <v>476985.6</v>
      </c>
      <c r="E116" s="165">
        <v>19600.0</v>
      </c>
      <c r="F116" s="17">
        <v>29400.0</v>
      </c>
      <c r="G116" s="6">
        <f t="shared" si="1"/>
        <v>525985.61</v>
      </c>
    </row>
    <row r="117" spans="8:8">
      <c r="A117" s="3" t="s">
        <v>132</v>
      </c>
      <c r="B117" s="4" t="s">
        <v>65</v>
      </c>
      <c r="C117" s="93">
        <v>0.01</v>
      </c>
      <c r="D117" s="93">
        <v>381588.48000000004</v>
      </c>
      <c r="E117" s="17">
        <v>19600.0</v>
      </c>
      <c r="F117" s="17">
        <v>29400.0</v>
      </c>
      <c r="G117" s="6">
        <v>211052.81</v>
      </c>
    </row>
    <row r="118" spans="8:8">
      <c r="A118" s="3" t="s">
        <v>133</v>
      </c>
      <c r="B118" s="4" t="s">
        <v>65</v>
      </c>
      <c r="C118" s="93">
        <v>0.01</v>
      </c>
      <c r="D118" s="93">
        <v>420725.76</v>
      </c>
      <c r="E118" s="17">
        <v>19600.0</v>
      </c>
      <c r="F118" s="17">
        <v>29400.0</v>
      </c>
      <c r="G118" s="6">
        <v>221448.65</v>
      </c>
    </row>
    <row r="119" spans="8:8">
      <c r="A119" s="3" t="s">
        <v>134</v>
      </c>
      <c r="B119" s="4" t="s">
        <v>65</v>
      </c>
      <c r="C119" s="93">
        <v>0.01</v>
      </c>
      <c r="D119" s="93">
        <v>476985.6</v>
      </c>
      <c r="E119" s="17">
        <v>19600.0</v>
      </c>
      <c r="F119" s="17">
        <v>29400.0</v>
      </c>
      <c r="G119" s="6">
        <v>239794.25</v>
      </c>
    </row>
    <row r="120" spans="8:8">
      <c r="A120" s="3" t="s">
        <v>135</v>
      </c>
      <c r="B120" s="4" t="s">
        <v>65</v>
      </c>
      <c r="C120" s="93">
        <v>0.01</v>
      </c>
      <c r="D120" s="93">
        <v>162052.8</v>
      </c>
      <c r="E120" s="17">
        <v>19600.0</v>
      </c>
      <c r="F120" s="17">
        <v>29400.0</v>
      </c>
      <c r="G120" s="6">
        <v>211052.81</v>
      </c>
    </row>
    <row r="121" spans="8:8">
      <c r="A121" s="3" t="s">
        <v>136</v>
      </c>
      <c r="B121" s="4" t="s">
        <v>65</v>
      </c>
      <c r="C121" s="93">
        <v>0.01</v>
      </c>
      <c r="D121" s="93">
        <v>172448.64</v>
      </c>
      <c r="E121" s="17">
        <v>19600.0</v>
      </c>
      <c r="F121" s="17">
        <v>29400.0</v>
      </c>
      <c r="G121" s="6">
        <v>221448.65</v>
      </c>
    </row>
    <row r="122" spans="8:8">
      <c r="A122" s="3" t="s">
        <v>137</v>
      </c>
      <c r="B122" s="4" t="s">
        <v>65</v>
      </c>
      <c r="C122" s="93">
        <v>0.01</v>
      </c>
      <c r="D122" s="93">
        <v>190794.24000000002</v>
      </c>
      <c r="E122" s="17">
        <v>19600.0</v>
      </c>
      <c r="F122" s="17">
        <v>29400.0</v>
      </c>
      <c r="G122" s="6">
        <v>373105.61</v>
      </c>
    </row>
    <row r="123" spans="8:8">
      <c r="A123" s="3" t="s">
        <v>138</v>
      </c>
      <c r="B123" s="4" t="s">
        <v>65</v>
      </c>
      <c r="C123" s="93">
        <v>0.01</v>
      </c>
      <c r="D123" s="93">
        <v>162052.8</v>
      </c>
      <c r="E123" s="17">
        <v>19600.0</v>
      </c>
      <c r="F123" s="17">
        <v>29400.0</v>
      </c>
      <c r="G123" s="6">
        <v>393897.29</v>
      </c>
    </row>
    <row r="124" spans="8:8">
      <c r="A124" s="3" t="s">
        <v>139</v>
      </c>
      <c r="B124" s="4" t="s">
        <v>65</v>
      </c>
      <c r="C124" s="93">
        <v>0.01</v>
      </c>
      <c r="D124" s="93">
        <v>172448.64</v>
      </c>
      <c r="E124" s="17">
        <v>19600.0</v>
      </c>
      <c r="F124" s="17">
        <v>29400.0</v>
      </c>
      <c r="G124" s="6">
        <v>211052.81</v>
      </c>
    </row>
    <row r="125" spans="8:8">
      <c r="A125" s="3" t="s">
        <v>140</v>
      </c>
      <c r="B125" s="4" t="s">
        <v>65</v>
      </c>
      <c r="C125" s="93">
        <v>0.01</v>
      </c>
      <c r="D125" s="93">
        <v>324105.6</v>
      </c>
      <c r="E125" s="17">
        <v>19600.0</v>
      </c>
      <c r="F125" s="17">
        <v>29400.0</v>
      </c>
      <c r="G125" s="6">
        <v>221448.65</v>
      </c>
    </row>
    <row r="126" spans="8:8">
      <c r="A126" s="3" t="s">
        <v>141</v>
      </c>
      <c r="B126" s="4" t="s">
        <v>65</v>
      </c>
      <c r="C126" s="93">
        <v>0.01</v>
      </c>
      <c r="D126" s="93">
        <v>344897.28</v>
      </c>
      <c r="E126" s="17">
        <v>19600.0</v>
      </c>
      <c r="F126" s="17">
        <v>29400.0</v>
      </c>
      <c r="G126" s="6">
        <v>239794.25</v>
      </c>
    </row>
    <row r="127" spans="8:8">
      <c r="A127" s="3" t="s">
        <v>142</v>
      </c>
      <c r="B127" s="4" t="s">
        <v>65</v>
      </c>
      <c r="C127" s="93">
        <v>0.01</v>
      </c>
      <c r="D127" s="93">
        <v>162052.8</v>
      </c>
      <c r="E127" s="17">
        <v>19600.0</v>
      </c>
      <c r="F127" s="17">
        <v>29400.0</v>
      </c>
      <c r="G127" s="6">
        <v>373105.61</v>
      </c>
    </row>
    <row r="128" spans="8:8">
      <c r="A128" s="3" t="s">
        <v>143</v>
      </c>
      <c r="B128" s="4" t="s">
        <v>65</v>
      </c>
      <c r="C128" s="93">
        <v>0.01</v>
      </c>
      <c r="D128" s="93">
        <v>172448.64</v>
      </c>
      <c r="E128" s="17">
        <v>19600.0</v>
      </c>
      <c r="F128" s="17">
        <v>29400.0</v>
      </c>
      <c r="G128" s="6">
        <v>393897.29</v>
      </c>
    </row>
    <row r="129" spans="8:8">
      <c r="A129" s="3" t="s">
        <v>144</v>
      </c>
      <c r="B129" s="4" t="s">
        <v>65</v>
      </c>
      <c r="C129" s="93">
        <v>0.01</v>
      </c>
      <c r="D129" s="93">
        <v>190794.24000000002</v>
      </c>
      <c r="E129" s="17">
        <v>19600.0</v>
      </c>
      <c r="F129" s="17">
        <v>29400.0</v>
      </c>
      <c r="G129" s="6">
        <v>430588.49</v>
      </c>
    </row>
    <row r="130" spans="8:8">
      <c r="A130" s="3" t="s">
        <v>145</v>
      </c>
      <c r="B130" s="4" t="s">
        <v>65</v>
      </c>
      <c r="C130" s="93">
        <v>0.01</v>
      </c>
      <c r="D130" s="93">
        <v>324105.6</v>
      </c>
      <c r="E130" s="17">
        <v>19600.0</v>
      </c>
      <c r="F130" s="17">
        <v>29400.0</v>
      </c>
      <c r="G130" s="6">
        <v>211052.81</v>
      </c>
    </row>
    <row r="131" spans="8:8">
      <c r="A131" s="3" t="s">
        <v>146</v>
      </c>
      <c r="B131" s="4" t="s">
        <v>65</v>
      </c>
      <c r="C131" s="93">
        <v>0.01</v>
      </c>
      <c r="D131" s="93">
        <v>344897.28</v>
      </c>
      <c r="E131" s="17">
        <v>19600.0</v>
      </c>
      <c r="F131" s="17">
        <v>29400.0</v>
      </c>
      <c r="G131" s="6">
        <v>221448.65</v>
      </c>
    </row>
    <row r="132" spans="8:8">
      <c r="A132" s="3" t="s">
        <v>147</v>
      </c>
      <c r="B132" s="4" t="s">
        <v>65</v>
      </c>
      <c r="C132" s="93">
        <v>0.01</v>
      </c>
      <c r="D132" s="93">
        <v>381588.48000000004</v>
      </c>
      <c r="E132" s="17">
        <v>19600.0</v>
      </c>
      <c r="F132" s="17">
        <v>29400.0</v>
      </c>
      <c r="G132" s="6">
        <v>239794.25</v>
      </c>
    </row>
    <row r="133" spans="8:8">
      <c r="A133" s="3" t="s">
        <v>148</v>
      </c>
      <c r="B133" s="4" t="s">
        <v>65</v>
      </c>
      <c r="C133" s="93">
        <v>0.01</v>
      </c>
      <c r="D133" s="93">
        <v>162052.8</v>
      </c>
      <c r="E133" s="17">
        <v>19600.0</v>
      </c>
      <c r="F133" s="17">
        <v>29400.0</v>
      </c>
      <c r="G133" s="6">
        <v>221448.65</v>
      </c>
    </row>
    <row r="134" spans="8:8">
      <c r="A134" s="3" t="s">
        <v>149</v>
      </c>
      <c r="B134" s="4" t="s">
        <v>65</v>
      </c>
      <c r="C134" s="93">
        <v>0.01</v>
      </c>
      <c r="D134" s="93">
        <v>172448.64</v>
      </c>
      <c r="E134" s="17">
        <v>19600.0</v>
      </c>
      <c r="F134" s="17">
        <v>29400.0</v>
      </c>
      <c r="G134" s="6">
        <v>239794.25</v>
      </c>
    </row>
    <row r="135" spans="8:8">
      <c r="A135" s="3" t="s">
        <v>150</v>
      </c>
      <c r="B135" s="4" t="s">
        <v>65</v>
      </c>
      <c r="C135" s="93">
        <v>0.01</v>
      </c>
      <c r="D135" s="93">
        <v>190794.24000000002</v>
      </c>
      <c r="E135" s="17">
        <v>19600.0</v>
      </c>
      <c r="F135" s="17">
        <v>29400.0</v>
      </c>
      <c r="G135" s="6">
        <v>305226.89</v>
      </c>
    </row>
    <row r="136" spans="8:8">
      <c r="A136" s="3" t="s">
        <v>151</v>
      </c>
      <c r="B136" s="4" t="s">
        <v>65</v>
      </c>
      <c r="C136" s="93">
        <v>0.01</v>
      </c>
      <c r="D136" s="93">
        <v>172448.64</v>
      </c>
      <c r="E136" s="17">
        <v>19600.0</v>
      </c>
      <c r="F136" s="17">
        <v>29400.0</v>
      </c>
      <c r="G136" s="6">
        <v>393897.29</v>
      </c>
    </row>
    <row r="137" spans="8:8">
      <c r="A137" s="3" t="s">
        <v>152</v>
      </c>
      <c r="B137" s="4" t="s">
        <v>65</v>
      </c>
      <c r="C137" s="93">
        <v>0.01</v>
      </c>
      <c r="D137" s="93">
        <v>190794.24000000002</v>
      </c>
      <c r="E137" s="17">
        <v>19600.0</v>
      </c>
      <c r="F137" s="17">
        <v>29400.0</v>
      </c>
      <c r="G137" s="6">
        <v>430588.49</v>
      </c>
    </row>
    <row r="138" spans="8:8">
      <c r="A138" s="3" t="s">
        <v>153</v>
      </c>
      <c r="B138" s="4" t="s">
        <v>65</v>
      </c>
      <c r="C138" s="93">
        <v>0.01</v>
      </c>
      <c r="D138" s="93">
        <v>256226.88</v>
      </c>
      <c r="E138" s="17">
        <v>19600.0</v>
      </c>
      <c r="F138" s="17">
        <v>29400.0</v>
      </c>
      <c r="G138" s="6">
        <v>843976.01</v>
      </c>
    </row>
    <row r="139" spans="8:8">
      <c r="A139" s="3" t="s">
        <v>154</v>
      </c>
      <c r="B139" s="4" t="s">
        <v>65</v>
      </c>
      <c r="C139" s="93">
        <v>0.01</v>
      </c>
      <c r="D139" s="93">
        <v>344897.28</v>
      </c>
      <c r="E139" s="17">
        <v>19600.0</v>
      </c>
      <c r="F139" s="17">
        <v>29400.0</v>
      </c>
      <c r="G139" s="6">
        <v>201880.01</v>
      </c>
    </row>
    <row r="140" spans="8:8">
      <c r="A140" s="3" t="s">
        <v>155</v>
      </c>
      <c r="B140" s="4" t="s">
        <v>65</v>
      </c>
      <c r="C140" s="93">
        <v>0.01</v>
      </c>
      <c r="D140" s="93">
        <v>381588.48000000004</v>
      </c>
      <c r="E140" s="17">
        <v>19600.0</v>
      </c>
      <c r="F140" s="17">
        <v>29400.0</v>
      </c>
      <c r="G140" s="6">
        <v>211052.81</v>
      </c>
    </row>
    <row r="141" spans="8:8">
      <c r="A141" s="3" t="s">
        <v>156</v>
      </c>
      <c r="B141" s="4" t="s">
        <v>65</v>
      </c>
      <c r="C141" s="93">
        <v>0.01</v>
      </c>
      <c r="D141" s="93">
        <v>794976.0</v>
      </c>
      <c r="E141" s="17">
        <v>19600.0</v>
      </c>
      <c r="F141" s="17">
        <v>29400.0</v>
      </c>
      <c r="G141" s="6">
        <v>221448.65</v>
      </c>
    </row>
    <row r="142" spans="8:8">
      <c r="A142" s="3" t="s">
        <v>157</v>
      </c>
      <c r="B142" s="4" t="s">
        <v>65</v>
      </c>
      <c r="C142" s="93">
        <v>0.01</v>
      </c>
      <c r="D142" s="93">
        <v>152880.0</v>
      </c>
      <c r="E142" s="17">
        <v>19600.0</v>
      </c>
      <c r="F142" s="17">
        <v>29400.0</v>
      </c>
      <c r="G142" s="6">
        <v>211052.81</v>
      </c>
    </row>
    <row r="143" spans="8:8">
      <c r="A143" s="3" t="s">
        <v>158</v>
      </c>
      <c r="B143" s="4" t="s">
        <v>65</v>
      </c>
      <c r="C143" s="93">
        <v>0.01</v>
      </c>
      <c r="D143" s="93">
        <v>162052.8</v>
      </c>
      <c r="E143" s="17">
        <v>19600.0</v>
      </c>
      <c r="F143" s="17">
        <v>29400.0</v>
      </c>
      <c r="G143" s="6">
        <v>221448.65</v>
      </c>
    </row>
    <row r="144" spans="8:8">
      <c r="A144" s="3" t="s">
        <v>159</v>
      </c>
      <c r="B144" s="4" t="s">
        <v>65</v>
      </c>
      <c r="C144" s="93">
        <v>0.01</v>
      </c>
      <c r="D144" s="93">
        <v>172448.64</v>
      </c>
      <c r="E144" s="17">
        <v>19600.0</v>
      </c>
      <c r="F144" s="17">
        <v>29400.0</v>
      </c>
      <c r="G144" s="6">
        <v>239794.25</v>
      </c>
    </row>
    <row r="145" spans="8:8">
      <c r="A145" s="3" t="s">
        <v>160</v>
      </c>
      <c r="B145" s="4" t="s">
        <v>65</v>
      </c>
      <c r="C145" s="93">
        <v>0.01</v>
      </c>
      <c r="D145" s="93">
        <v>162052.8</v>
      </c>
      <c r="E145" s="17">
        <v>19600.0</v>
      </c>
      <c r="F145" s="17">
        <v>29400.0</v>
      </c>
      <c r="G145" s="6">
        <v>221448.65</v>
      </c>
    </row>
    <row r="146" spans="8:8">
      <c r="A146" s="3" t="s">
        <v>161</v>
      </c>
      <c r="B146" s="4" t="s">
        <v>65</v>
      </c>
      <c r="C146" s="93">
        <v>0.01</v>
      </c>
      <c r="D146" s="93">
        <v>172448.64</v>
      </c>
      <c r="E146" s="17">
        <v>19600.0</v>
      </c>
      <c r="F146" s="17">
        <v>29400.0</v>
      </c>
      <c r="G146" s="6">
        <v>239794.25</v>
      </c>
    </row>
    <row r="147" spans="8:8">
      <c r="A147" s="3" t="s">
        <v>162</v>
      </c>
      <c r="B147" s="4" t="s">
        <v>65</v>
      </c>
      <c r="C147" s="93">
        <v>0.01</v>
      </c>
      <c r="D147" s="93">
        <v>190794.24000000002</v>
      </c>
      <c r="E147" s="17">
        <v>19600.0</v>
      </c>
      <c r="F147" s="17">
        <v>29400.0</v>
      </c>
      <c r="G147" s="6">
        <v>393897.29</v>
      </c>
    </row>
    <row r="148" spans="8:8">
      <c r="A148" s="3" t="s">
        <v>163</v>
      </c>
      <c r="B148" s="4" t="s">
        <v>65</v>
      </c>
      <c r="C148" s="93">
        <v>0.01</v>
      </c>
      <c r="D148" s="93">
        <v>172448.64</v>
      </c>
      <c r="E148" s="17">
        <v>19600.0</v>
      </c>
      <c r="F148" s="17">
        <v>29400.0</v>
      </c>
      <c r="G148" s="6">
        <v>430588.49</v>
      </c>
    </row>
    <row r="149" spans="8:8">
      <c r="A149" s="3" t="s">
        <v>164</v>
      </c>
      <c r="B149" s="4" t="s">
        <v>65</v>
      </c>
      <c r="C149" s="93">
        <v>0.01</v>
      </c>
      <c r="D149" s="93">
        <v>190794.24000000002</v>
      </c>
      <c r="E149" s="17">
        <v>19600.0</v>
      </c>
      <c r="F149" s="17">
        <v>29400.0</v>
      </c>
      <c r="G149" s="6">
        <v>198210.89</v>
      </c>
    </row>
    <row r="150" spans="8:8">
      <c r="A150" s="3" t="s">
        <v>165</v>
      </c>
      <c r="B150" s="4" t="s">
        <v>65</v>
      </c>
      <c r="C150" s="93">
        <v>0.01</v>
      </c>
      <c r="D150" s="93">
        <v>344897.28</v>
      </c>
      <c r="E150" s="17">
        <v>19600.0</v>
      </c>
      <c r="F150" s="17">
        <v>29400.0</v>
      </c>
      <c r="G150" s="6">
        <v>216556.49</v>
      </c>
    </row>
    <row r="151" spans="8:8">
      <c r="A151" s="3" t="s">
        <v>166</v>
      </c>
      <c r="B151" s="4" t="s">
        <v>65</v>
      </c>
      <c r="C151" s="93">
        <v>0.01</v>
      </c>
      <c r="D151" s="93">
        <v>381588.48000000004</v>
      </c>
      <c r="E151" s="17">
        <v>19600.0</v>
      </c>
      <c r="F151" s="17">
        <v>29400.0</v>
      </c>
      <c r="G151" s="6">
        <v>211052.81</v>
      </c>
    </row>
    <row r="152" spans="8:8">
      <c r="A152" s="3" t="s">
        <v>167</v>
      </c>
      <c r="B152" s="4" t="s">
        <v>65</v>
      </c>
      <c r="C152" s="93">
        <v>0.01</v>
      </c>
      <c r="D152" s="93">
        <v>149210.88</v>
      </c>
      <c r="E152" s="17">
        <v>19600.0</v>
      </c>
      <c r="F152" s="17">
        <v>29400.0</v>
      </c>
      <c r="G152" s="6">
        <v>221448.65</v>
      </c>
    </row>
    <row r="153" spans="8:8">
      <c r="A153" s="3" t="s">
        <v>168</v>
      </c>
      <c r="B153" s="4" t="s">
        <v>65</v>
      </c>
      <c r="C153" s="93">
        <v>0.01</v>
      </c>
      <c r="D153" s="93">
        <v>167556.48</v>
      </c>
      <c r="E153" s="17">
        <v>19600.0</v>
      </c>
      <c r="F153" s="17">
        <v>29400.0</v>
      </c>
      <c r="G153" s="6">
        <v>373105.61</v>
      </c>
    </row>
    <row r="154" spans="8:8">
      <c r="A154" s="3" t="s">
        <v>169</v>
      </c>
      <c r="B154" s="4" t="s">
        <v>65</v>
      </c>
      <c r="C154" s="93">
        <v>0.01</v>
      </c>
      <c r="D154" s="93">
        <v>162052.8</v>
      </c>
      <c r="E154" s="17">
        <v>19600.0</v>
      </c>
      <c r="F154" s="17">
        <v>29400.0</v>
      </c>
      <c r="G154" s="6">
        <v>393897.29</v>
      </c>
    </row>
    <row r="155" spans="8:8">
      <c r="A155" s="3" t="s">
        <v>170</v>
      </c>
      <c r="B155" s="4" t="s">
        <v>65</v>
      </c>
      <c r="C155" s="93">
        <v>0.01</v>
      </c>
      <c r="D155" s="93">
        <v>172448.64</v>
      </c>
      <c r="E155" s="17">
        <v>19600.0</v>
      </c>
      <c r="F155" s="17">
        <v>29400.0</v>
      </c>
      <c r="G155" s="6">
        <v>211052.81</v>
      </c>
    </row>
    <row r="156" spans="8:8">
      <c r="A156" s="3" t="s">
        <v>171</v>
      </c>
      <c r="B156" s="4" t="s">
        <v>65</v>
      </c>
      <c r="C156" s="93">
        <v>0.01</v>
      </c>
      <c r="D156" s="93">
        <v>324105.6</v>
      </c>
      <c r="E156" s="17">
        <v>19600.0</v>
      </c>
      <c r="F156" s="17">
        <v>29400.0</v>
      </c>
      <c r="G156" s="6">
        <v>221448.65</v>
      </c>
    </row>
    <row r="157" spans="8:8">
      <c r="A157" s="3" t="s">
        <v>172</v>
      </c>
      <c r="B157" s="4" t="s">
        <v>65</v>
      </c>
      <c r="C157" s="93">
        <v>0.01</v>
      </c>
      <c r="D157" s="93">
        <v>344897.28</v>
      </c>
      <c r="E157" s="17">
        <v>19600.0</v>
      </c>
      <c r="F157" s="17">
        <v>29400.0</v>
      </c>
      <c r="G157" s="6">
        <v>239794.25</v>
      </c>
    </row>
    <row r="158" spans="8:8">
      <c r="A158" s="3" t="s">
        <v>173</v>
      </c>
      <c r="B158" s="4" t="s">
        <v>65</v>
      </c>
      <c r="C158" s="93">
        <v>0.01</v>
      </c>
      <c r="D158" s="93">
        <v>162052.8</v>
      </c>
      <c r="E158" s="17">
        <v>19600.0</v>
      </c>
      <c r="F158" s="17">
        <v>29400.0</v>
      </c>
      <c r="G158" s="6">
        <v>373105.61</v>
      </c>
    </row>
    <row r="159" spans="8:8">
      <c r="A159" s="3" t="s">
        <v>174</v>
      </c>
      <c r="B159" s="4" t="s">
        <v>65</v>
      </c>
      <c r="C159" s="93">
        <v>0.01</v>
      </c>
      <c r="D159" s="93">
        <v>172448.64</v>
      </c>
      <c r="E159" s="17">
        <v>19600.0</v>
      </c>
      <c r="F159" s="17">
        <v>29400.0</v>
      </c>
      <c r="G159" s="6">
        <v>393897.29</v>
      </c>
    </row>
    <row r="160" spans="8:8">
      <c r="A160" s="3" t="s">
        <v>175</v>
      </c>
      <c r="B160" s="4" t="s">
        <v>65</v>
      </c>
      <c r="C160" s="93">
        <v>0.01</v>
      </c>
      <c r="D160" s="93">
        <v>190794.24000000002</v>
      </c>
      <c r="E160" s="17">
        <v>19600.0</v>
      </c>
      <c r="F160" s="17">
        <v>29400.0</v>
      </c>
      <c r="G160" s="6">
        <v>430588.49</v>
      </c>
    </row>
    <row r="161" spans="8:8">
      <c r="A161" s="3" t="s">
        <v>176</v>
      </c>
      <c r="B161" s="4" t="s">
        <v>65</v>
      </c>
      <c r="C161" s="93">
        <v>0.01</v>
      </c>
      <c r="D161" s="93">
        <v>324105.6</v>
      </c>
      <c r="E161" s="17">
        <v>19600.0</v>
      </c>
      <c r="F161" s="17">
        <v>29400.0</v>
      </c>
      <c r="G161" s="6">
        <v>200045.45</v>
      </c>
    </row>
    <row r="162" spans="8:8">
      <c r="A162" s="3" t="s">
        <v>177</v>
      </c>
      <c r="B162" s="4" t="s">
        <v>65</v>
      </c>
      <c r="C162" s="93">
        <v>0.01</v>
      </c>
      <c r="D162" s="93">
        <v>344897.28</v>
      </c>
      <c r="E162" s="17">
        <v>19600.0</v>
      </c>
      <c r="F162" s="17">
        <v>29400.0</v>
      </c>
      <c r="G162" s="6">
        <v>239794.25</v>
      </c>
    </row>
    <row r="163" spans="8:8">
      <c r="A163" s="3" t="s">
        <v>178</v>
      </c>
      <c r="B163" s="4" t="s">
        <v>65</v>
      </c>
      <c r="C163" s="93">
        <v>110073.6</v>
      </c>
      <c r="D163" s="93">
        <v>381588.48000000004</v>
      </c>
      <c r="E163" s="17">
        <v>19600.0</v>
      </c>
      <c r="F163" s="17">
        <v>29400.0</v>
      </c>
      <c r="G163" s="6">
        <v>3025267.84</v>
      </c>
    </row>
    <row r="164" spans="8:8">
      <c r="A164" s="3" t="s">
        <v>179</v>
      </c>
      <c r="B164" s="4" t="s">
        <v>65</v>
      </c>
      <c r="C164" s="93">
        <v>0.01</v>
      </c>
      <c r="D164" s="93">
        <v>151045.44</v>
      </c>
      <c r="E164" s="17">
        <v>19600.0</v>
      </c>
      <c r="F164" s="17">
        <v>29400.0</v>
      </c>
      <c r="G164" s="6">
        <v>416523.53</v>
      </c>
    </row>
    <row r="165" spans="8:8">
      <c r="A165" s="3" t="s">
        <v>180</v>
      </c>
      <c r="B165" s="4" t="s">
        <v>65</v>
      </c>
      <c r="C165" s="93">
        <v>0.01</v>
      </c>
      <c r="D165" s="93">
        <v>190794.24000000002</v>
      </c>
      <c r="E165" s="17">
        <v>19600.0</v>
      </c>
      <c r="F165" s="17">
        <v>29400.0</v>
      </c>
      <c r="G165" s="6">
        <v>221448.65</v>
      </c>
    </row>
    <row r="166" spans="8:8">
      <c r="A166" s="3" t="s">
        <v>181</v>
      </c>
      <c r="B166" s="4" t="s">
        <v>65</v>
      </c>
      <c r="C166" s="93">
        <v>0.01</v>
      </c>
      <c r="D166" s="93">
        <v>2866194.24</v>
      </c>
      <c r="E166" s="17">
        <v>19600.0</v>
      </c>
      <c r="F166" s="17">
        <v>29400.0</v>
      </c>
      <c r="G166" s="6">
        <v>393897.29</v>
      </c>
    </row>
    <row r="167" spans="8:8">
      <c r="A167" s="3" t="s">
        <v>182</v>
      </c>
      <c r="B167" s="4" t="s">
        <v>65</v>
      </c>
      <c r="C167" s="93">
        <v>0.01</v>
      </c>
      <c r="D167" s="93">
        <v>367523.52</v>
      </c>
      <c r="E167" s="17">
        <v>19600.0</v>
      </c>
      <c r="F167" s="17">
        <v>29400.0</v>
      </c>
      <c r="G167" s="6">
        <v>211052.81</v>
      </c>
    </row>
    <row r="168" spans="8:8">
      <c r="A168" s="3" t="s">
        <v>183</v>
      </c>
      <c r="B168" s="4" t="s">
        <v>65</v>
      </c>
      <c r="C168" s="93">
        <v>0.01</v>
      </c>
      <c r="D168" s="93">
        <v>172448.64</v>
      </c>
      <c r="E168" s="17">
        <v>19600.0</v>
      </c>
      <c r="F168" s="17">
        <v>29400.0</v>
      </c>
      <c r="G168" s="6">
        <v>221448.65</v>
      </c>
    </row>
    <row r="169" spans="8:8">
      <c r="A169" s="3" t="s">
        <v>184</v>
      </c>
      <c r="B169" s="4" t="s">
        <v>65</v>
      </c>
      <c r="C169" s="93">
        <v>0.01</v>
      </c>
      <c r="D169" s="93">
        <v>344897.28</v>
      </c>
      <c r="E169" s="17">
        <v>19600.0</v>
      </c>
      <c r="F169" s="17">
        <v>29400.0</v>
      </c>
      <c r="G169" s="6">
        <v>239794.25</v>
      </c>
    </row>
    <row r="170" spans="8:8">
      <c r="A170" s="3" t="s">
        <v>185</v>
      </c>
      <c r="B170" s="4" t="s">
        <v>65</v>
      </c>
      <c r="C170" s="93">
        <v>0.01</v>
      </c>
      <c r="D170" s="93">
        <v>162052.8</v>
      </c>
      <c r="E170" s="17">
        <v>19600.0</v>
      </c>
      <c r="F170" s="17">
        <v>29400.0</v>
      </c>
      <c r="G170" s="6">
        <v>373105.61</v>
      </c>
    </row>
    <row r="171" spans="8:8">
      <c r="A171" s="3" t="s">
        <v>186</v>
      </c>
      <c r="B171" s="4" t="s">
        <v>65</v>
      </c>
      <c r="C171" s="93">
        <v>0.01</v>
      </c>
      <c r="D171" s="93">
        <v>172448.64</v>
      </c>
      <c r="E171" s="17">
        <v>19600.0</v>
      </c>
      <c r="F171" s="17">
        <v>29400.0</v>
      </c>
      <c r="G171" s="6">
        <v>393897.29</v>
      </c>
    </row>
    <row r="172" spans="8:8">
      <c r="A172" s="3" t="s">
        <v>187</v>
      </c>
      <c r="B172" s="4" t="s">
        <v>65</v>
      </c>
      <c r="C172" s="93">
        <v>0.01</v>
      </c>
      <c r="D172" s="93">
        <v>190794.24000000002</v>
      </c>
      <c r="E172" s="17">
        <v>19600.0</v>
      </c>
      <c r="F172" s="17">
        <v>29400.0</v>
      </c>
      <c r="G172" s="6">
        <v>430588.49</v>
      </c>
    </row>
    <row r="173" spans="8:8">
      <c r="A173" s="15" t="s">
        <v>188</v>
      </c>
      <c r="B173" s="4" t="s">
        <v>65</v>
      </c>
      <c r="C173" s="93">
        <v>0.01</v>
      </c>
      <c r="D173" s="93">
        <v>324105.6</v>
      </c>
      <c r="E173" s="17">
        <v>19600.0</v>
      </c>
      <c r="F173" s="17">
        <v>29400.0</v>
      </c>
      <c r="G173" s="6">
        <v>211052.81</v>
      </c>
    </row>
    <row r="174" spans="8:8">
      <c r="A174" s="3" t="s">
        <v>189</v>
      </c>
      <c r="B174" s="4" t="s">
        <v>65</v>
      </c>
      <c r="C174" s="93">
        <v>0.01</v>
      </c>
      <c r="D174" s="93">
        <v>344897.28</v>
      </c>
      <c r="E174" s="17">
        <v>19600.0</v>
      </c>
      <c r="F174" s="17">
        <v>29400.0</v>
      </c>
      <c r="G174" s="6">
        <v>221448.65</v>
      </c>
    </row>
    <row r="175" spans="8:8">
      <c r="A175" s="3" t="s">
        <v>190</v>
      </c>
      <c r="B175" s="16" t="s">
        <v>65</v>
      </c>
      <c r="C175" s="93">
        <v>0.01</v>
      </c>
      <c r="D175" s="93">
        <v>381588.48000000004</v>
      </c>
      <c r="E175" s="17">
        <v>19600.0</v>
      </c>
      <c r="F175" s="17">
        <v>29400.0</v>
      </c>
      <c r="G175" s="6">
        <v>211052.81</v>
      </c>
    </row>
    <row r="176" spans="8:8" s="49" ht="15.0" customFormat="1">
      <c r="A176" s="3" t="s">
        <v>191</v>
      </c>
      <c r="B176" s="4" t="s">
        <v>65</v>
      </c>
      <c r="C176" s="93">
        <v>0.01</v>
      </c>
      <c r="D176" s="93">
        <v>162052.8</v>
      </c>
      <c r="E176" s="17">
        <v>19600.0</v>
      </c>
      <c r="F176" s="17">
        <v>29400.0</v>
      </c>
      <c r="G176" s="6">
        <v>221448.65</v>
      </c>
      <c r="H176" s="217"/>
      <c r="I176" s="39"/>
    </row>
    <row r="177" spans="8:8">
      <c r="A177" s="3" t="s">
        <v>192</v>
      </c>
      <c r="B177" s="4" t="s">
        <v>65</v>
      </c>
      <c r="C177" s="93">
        <v>0.01</v>
      </c>
      <c r="D177" s="93">
        <v>172448.64</v>
      </c>
      <c r="E177" s="17">
        <v>19600.0</v>
      </c>
      <c r="F177" s="17">
        <v>29400.0</v>
      </c>
      <c r="G177" s="6">
        <v>239794.25</v>
      </c>
    </row>
    <row r="178" spans="8:8">
      <c r="A178" s="3" t="s">
        <v>193</v>
      </c>
      <c r="B178" s="4" t="s">
        <v>65</v>
      </c>
      <c r="C178" s="93">
        <v>0.01</v>
      </c>
      <c r="D178" s="93">
        <v>162052.8</v>
      </c>
      <c r="E178" s="17">
        <v>19600.0</v>
      </c>
      <c r="F178" s="17">
        <v>29400.0</v>
      </c>
      <c r="G178" s="6">
        <v>211052.81</v>
      </c>
    </row>
    <row r="179" spans="8:8">
      <c r="A179" s="3" t="s">
        <v>194</v>
      </c>
      <c r="B179" s="4" t="s">
        <v>65</v>
      </c>
      <c r="C179" s="93">
        <v>0.01</v>
      </c>
      <c r="D179" s="93">
        <v>172448.64</v>
      </c>
      <c r="E179" s="17">
        <v>19600.0</v>
      </c>
      <c r="F179" s="17">
        <v>29400.0</v>
      </c>
      <c r="G179" s="6">
        <v>221448.65</v>
      </c>
    </row>
    <row r="180" spans="8:8">
      <c r="A180" s="3" t="s">
        <v>197</v>
      </c>
      <c r="B180" s="4" t="s">
        <v>65</v>
      </c>
      <c r="C180" s="93">
        <v>0.01</v>
      </c>
      <c r="D180" s="93">
        <v>190794.24000000002</v>
      </c>
      <c r="E180" s="17">
        <v>19600.0</v>
      </c>
      <c r="F180" s="17">
        <v>29400.0</v>
      </c>
      <c r="G180" s="6">
        <v>723506.57</v>
      </c>
    </row>
    <row r="181" spans="8:8">
      <c r="A181" s="3" t="s">
        <v>198</v>
      </c>
      <c r="B181" s="4" t="s">
        <v>65</v>
      </c>
      <c r="C181" s="93">
        <v>0.01</v>
      </c>
      <c r="D181" s="93">
        <v>162052.8</v>
      </c>
      <c r="E181" s="17">
        <v>19600.0</v>
      </c>
      <c r="F181" s="17">
        <v>29400.0</v>
      </c>
      <c r="G181" s="6">
        <v>6765324.17</v>
      </c>
    </row>
    <row r="182" spans="8:8">
      <c r="A182" s="3" t="s">
        <v>199</v>
      </c>
      <c r="B182" s="4" t="s">
        <v>196</v>
      </c>
      <c r="C182" s="93">
        <v>0.01</v>
      </c>
      <c r="D182" s="93">
        <v>172448.64</v>
      </c>
      <c r="E182" s="17">
        <v>19600.0</v>
      </c>
      <c r="F182" s="17">
        <v>29400.0</v>
      </c>
      <c r="G182" s="6">
        <v>722283.53</v>
      </c>
    </row>
    <row r="183" spans="8:8">
      <c r="A183" s="14" t="s">
        <v>344</v>
      </c>
      <c r="B183" s="4" t="s">
        <v>196</v>
      </c>
      <c r="C183" s="93"/>
      <c r="D183" s="93">
        <v>674506.56</v>
      </c>
      <c r="E183" s="17">
        <v>19600.0</v>
      </c>
      <c r="F183" s="17">
        <v>29400.0</v>
      </c>
      <c r="G183" s="205">
        <v>1542567.06</v>
      </c>
    </row>
    <row r="184" spans="8:8">
      <c r="A184" s="3" t="s">
        <v>201</v>
      </c>
      <c r="B184" s="4" t="s">
        <v>196</v>
      </c>
      <c r="C184" s="93">
        <v>0.01</v>
      </c>
      <c r="D184" s="93">
        <v>6716324.16</v>
      </c>
      <c r="E184" s="17">
        <v>19600.0</v>
      </c>
      <c r="F184" s="17">
        <v>29400.0</v>
      </c>
      <c r="G184" s="6">
        <v>722283.53</v>
      </c>
    </row>
    <row r="185" spans="8:8">
      <c r="A185" s="3" t="s">
        <v>202</v>
      </c>
      <c r="B185" s="16" t="s">
        <v>196</v>
      </c>
      <c r="C185" s="93">
        <v>0.01</v>
      </c>
      <c r="D185" s="93">
        <v>673283.52</v>
      </c>
      <c r="E185" s="17">
        <v>19600.0</v>
      </c>
      <c r="F185" s="17">
        <v>29400.0</v>
      </c>
      <c r="G185" s="6">
        <v>722283.53</v>
      </c>
    </row>
    <row r="186" spans="8:8">
      <c r="A186" s="3" t="s">
        <v>203</v>
      </c>
      <c r="B186" s="4" t="s">
        <v>196</v>
      </c>
      <c r="C186" s="93">
        <v>0.01</v>
      </c>
      <c r="D186" s="93">
        <v>673283.52</v>
      </c>
      <c r="E186" s="17">
        <v>19600.0</v>
      </c>
      <c r="F186" s="17">
        <v>29400.0</v>
      </c>
      <c r="G186" s="6">
        <v>722283.53</v>
      </c>
    </row>
    <row r="187" spans="8:8">
      <c r="A187" s="3" t="s">
        <v>204</v>
      </c>
      <c r="B187" s="4" t="s">
        <v>196</v>
      </c>
      <c r="C187" s="93">
        <v>0.01</v>
      </c>
      <c r="D187" s="93">
        <v>673283.52</v>
      </c>
      <c r="E187" s="17">
        <v>19600.0</v>
      </c>
      <c r="F187" s="17">
        <v>29400.0</v>
      </c>
      <c r="G187" s="6">
        <v>722283.53</v>
      </c>
    </row>
    <row r="188" spans="8:8">
      <c r="A188" s="3" t="s">
        <v>206</v>
      </c>
      <c r="B188" s="4" t="s">
        <v>196</v>
      </c>
      <c r="C188" s="93">
        <v>0.01</v>
      </c>
      <c r="D188" s="93">
        <v>673283.52</v>
      </c>
      <c r="E188" s="17">
        <v>19600.0</v>
      </c>
      <c r="F188" s="17">
        <v>29400.0</v>
      </c>
      <c r="G188" s="6">
        <v>722283.53</v>
      </c>
    </row>
    <row r="189" spans="8:8">
      <c r="A189" s="3" t="s">
        <v>207</v>
      </c>
      <c r="B189" s="4" t="s">
        <v>196</v>
      </c>
      <c r="C189" s="93">
        <v>0.01</v>
      </c>
      <c r="D189" s="93">
        <v>673283.52</v>
      </c>
      <c r="E189" s="17">
        <v>19600.0</v>
      </c>
      <c r="F189" s="17">
        <v>29400.0</v>
      </c>
      <c r="G189" s="6">
        <v>722283.53</v>
      </c>
    </row>
    <row r="190" spans="8:8">
      <c r="A190" s="3" t="s">
        <v>208</v>
      </c>
      <c r="B190" s="4" t="s">
        <v>196</v>
      </c>
      <c r="C190" s="93">
        <v>0.01</v>
      </c>
      <c r="D190" s="93">
        <v>673283.52</v>
      </c>
      <c r="E190" s="17">
        <v>19600.0</v>
      </c>
      <c r="F190" s="17">
        <v>29400.0</v>
      </c>
      <c r="G190" s="6">
        <v>722283.53</v>
      </c>
    </row>
    <row r="191" spans="8:8">
      <c r="A191" s="3" t="s">
        <v>209</v>
      </c>
      <c r="B191" s="4" t="s">
        <v>196</v>
      </c>
      <c r="C191" s="93">
        <v>0.01</v>
      </c>
      <c r="D191" s="93">
        <v>673283.52</v>
      </c>
      <c r="E191" s="17">
        <v>19600.0</v>
      </c>
      <c r="F191" s="17">
        <v>29400.0</v>
      </c>
      <c r="G191" s="6">
        <v>722283.53</v>
      </c>
    </row>
    <row r="192" spans="8:8">
      <c r="A192" s="3" t="s">
        <v>210</v>
      </c>
      <c r="B192" s="4" t="s">
        <v>196</v>
      </c>
      <c r="C192" s="93">
        <v>0.01</v>
      </c>
      <c r="D192" s="93">
        <v>673283.52</v>
      </c>
      <c r="E192" s="17">
        <v>19600.0</v>
      </c>
      <c r="F192" s="17">
        <v>29400.0</v>
      </c>
      <c r="G192" s="6">
        <v>722283.53</v>
      </c>
    </row>
    <row r="193" spans="8:8">
      <c r="A193" s="3" t="s">
        <v>211</v>
      </c>
      <c r="B193" s="4" t="s">
        <v>196</v>
      </c>
      <c r="C193" s="93">
        <v>0.01</v>
      </c>
      <c r="D193" s="93">
        <v>673283.52</v>
      </c>
      <c r="E193" s="17">
        <v>19600.0</v>
      </c>
      <c r="F193" s="17">
        <v>29400.0</v>
      </c>
      <c r="G193" s="6">
        <v>722283.53</v>
      </c>
    </row>
    <row r="194" spans="8:8">
      <c r="A194" s="3" t="s">
        <v>212</v>
      </c>
      <c r="B194" s="4" t="s">
        <v>196</v>
      </c>
      <c r="C194" s="93">
        <v>0.01</v>
      </c>
      <c r="D194" s="93">
        <v>673283.52</v>
      </c>
      <c r="E194" s="17">
        <v>19600.0</v>
      </c>
      <c r="F194" s="17">
        <v>29400.0</v>
      </c>
      <c r="G194" s="6">
        <v>722283.53</v>
      </c>
    </row>
    <row r="195" spans="8:8">
      <c r="A195" s="3" t="s">
        <v>214</v>
      </c>
      <c r="B195" s="4" t="s">
        <v>196</v>
      </c>
      <c r="C195" s="93">
        <v>0.01</v>
      </c>
      <c r="D195" s="93">
        <v>673283.52</v>
      </c>
      <c r="E195" s="17">
        <v>19600.0</v>
      </c>
      <c r="F195" s="17">
        <v>29400.0</v>
      </c>
      <c r="G195" s="6">
        <v>722283.53</v>
      </c>
    </row>
    <row r="196" spans="8:8">
      <c r="A196" s="3" t="s">
        <v>215</v>
      </c>
      <c r="B196" s="4" t="s">
        <v>196</v>
      </c>
      <c r="C196" s="93">
        <v>0.01</v>
      </c>
      <c r="D196" s="93">
        <v>673283.52</v>
      </c>
      <c r="E196" s="17">
        <v>19600.0</v>
      </c>
      <c r="F196" s="17">
        <v>29400.0</v>
      </c>
      <c r="G196" s="6">
        <v>722283.53</v>
      </c>
    </row>
    <row r="197" spans="8:8">
      <c r="A197" s="3" t="s">
        <v>216</v>
      </c>
      <c r="B197" s="4" t="s">
        <v>196</v>
      </c>
      <c r="C197" s="93">
        <v>0.01</v>
      </c>
      <c r="D197" s="93">
        <v>673283.52</v>
      </c>
      <c r="E197" s="17">
        <v>19600.0</v>
      </c>
      <c r="F197" s="17">
        <v>29400.0</v>
      </c>
      <c r="G197" s="6">
        <v>722283.53</v>
      </c>
    </row>
    <row r="198" spans="8:8">
      <c r="A198" s="3" t="s">
        <v>217</v>
      </c>
      <c r="B198" s="4" t="s">
        <v>196</v>
      </c>
      <c r="C198" s="93">
        <v>0.01</v>
      </c>
      <c r="D198" s="93">
        <v>673283.52</v>
      </c>
      <c r="E198" s="17">
        <v>19600.0</v>
      </c>
      <c r="F198" s="17">
        <v>29400.0</v>
      </c>
      <c r="G198" s="6">
        <v>722283.53</v>
      </c>
    </row>
    <row r="199" spans="8:8">
      <c r="A199" s="3" t="s">
        <v>218</v>
      </c>
      <c r="B199" s="4" t="s">
        <v>196</v>
      </c>
      <c r="C199" s="93">
        <v>0.01</v>
      </c>
      <c r="D199" s="93">
        <v>673283.52</v>
      </c>
      <c r="E199" s="17">
        <v>19600.0</v>
      </c>
      <c r="F199" s="17">
        <v>29400.0</v>
      </c>
      <c r="G199" s="6">
        <v>722283.53</v>
      </c>
    </row>
    <row r="200" spans="8:8">
      <c r="A200" s="14" t="s">
        <v>219</v>
      </c>
      <c r="B200" s="4" t="s">
        <v>196</v>
      </c>
      <c r="C200" s="93">
        <v>0.01</v>
      </c>
      <c r="D200" s="93">
        <v>673283.52</v>
      </c>
      <c r="E200" s="17">
        <v>19600.0</v>
      </c>
      <c r="F200" s="17">
        <v>29400.0</v>
      </c>
      <c r="G200" s="6">
        <v>722283.53</v>
      </c>
    </row>
    <row r="201" spans="8:8">
      <c r="A201" s="3" t="s">
        <v>220</v>
      </c>
      <c r="B201" s="4" t="s">
        <v>196</v>
      </c>
      <c r="C201" s="93">
        <v>0.01</v>
      </c>
      <c r="D201" s="93">
        <v>673283.52</v>
      </c>
      <c r="E201" s="17">
        <v>19600.0</v>
      </c>
      <c r="F201" s="17">
        <v>29400.0</v>
      </c>
      <c r="G201" s="6">
        <v>722283.53</v>
      </c>
    </row>
    <row r="202" spans="8:8">
      <c r="A202" s="18" t="s">
        <v>345</v>
      </c>
      <c r="B202" s="4" t="s">
        <v>196</v>
      </c>
      <c r="C202" s="93">
        <v>0.01</v>
      </c>
      <c r="D202" s="93">
        <v>673283.52</v>
      </c>
      <c r="E202" s="17">
        <v>19600.0</v>
      </c>
      <c r="F202" s="17">
        <v>29400.0</v>
      </c>
      <c r="G202" s="205">
        <v>820283.53</v>
      </c>
    </row>
    <row r="203" spans="8:8">
      <c r="A203" s="3" t="s">
        <v>223</v>
      </c>
      <c r="B203" s="4" t="s">
        <v>196</v>
      </c>
      <c r="C203" s="93">
        <v>0.01</v>
      </c>
      <c r="D203" s="93">
        <v>673283.52</v>
      </c>
      <c r="E203" s="17">
        <v>19600.0</v>
      </c>
      <c r="F203" s="17">
        <v>29400.0</v>
      </c>
      <c r="G203" s="6">
        <v>722283.53</v>
      </c>
    </row>
    <row r="204" spans="8:8">
      <c r="A204" s="3" t="s">
        <v>224</v>
      </c>
      <c r="B204" s="4" t="s">
        <v>196</v>
      </c>
      <c r="C204" s="93">
        <v>0.01</v>
      </c>
      <c r="D204" s="93">
        <v>673283.52</v>
      </c>
      <c r="E204" s="17">
        <v>19600.0</v>
      </c>
      <c r="F204" s="17">
        <v>29400.0</v>
      </c>
      <c r="G204" s="6">
        <v>722283.53</v>
      </c>
    </row>
    <row r="205" spans="8:8">
      <c r="A205" s="3" t="s">
        <v>225</v>
      </c>
      <c r="B205" s="4" t="s">
        <v>196</v>
      </c>
      <c r="C205" s="93">
        <v>0.01</v>
      </c>
      <c r="D205" s="93">
        <v>1346567.04</v>
      </c>
      <c r="E205" s="17">
        <v>19600.0</v>
      </c>
      <c r="F205" s="17">
        <v>29400.0</v>
      </c>
      <c r="G205" s="6">
        <v>722283.53</v>
      </c>
    </row>
    <row r="206" spans="8:8">
      <c r="A206" s="3" t="s">
        <v>226</v>
      </c>
      <c r="B206" s="4" t="s">
        <v>196</v>
      </c>
      <c r="C206" s="93">
        <v>0.01</v>
      </c>
      <c r="D206" s="93">
        <v>673283.52</v>
      </c>
      <c r="E206" s="17">
        <v>19600.0</v>
      </c>
      <c r="F206" s="17">
        <v>29400.0</v>
      </c>
      <c r="G206" s="6">
        <v>933869.45</v>
      </c>
    </row>
    <row r="207" spans="8:8">
      <c r="A207" s="3" t="s">
        <v>228</v>
      </c>
      <c r="B207" s="4" t="s">
        <v>196</v>
      </c>
      <c r="C207" s="93">
        <v>0.01</v>
      </c>
      <c r="D207" s="93">
        <v>673283.52</v>
      </c>
      <c r="E207" s="17">
        <v>19600.0</v>
      </c>
      <c r="F207" s="17">
        <v>29400.0</v>
      </c>
      <c r="G207" s="6">
        <v>722283.53</v>
      </c>
    </row>
    <row r="208" spans="8:8">
      <c r="A208" s="3" t="s">
        <v>229</v>
      </c>
      <c r="B208" s="4" t="s">
        <v>196</v>
      </c>
      <c r="C208" s="93">
        <v>0.01</v>
      </c>
      <c r="D208" s="93">
        <v>673283.52</v>
      </c>
      <c r="E208" s="17">
        <v>19600.0</v>
      </c>
      <c r="F208" s="17">
        <v>29400.0</v>
      </c>
      <c r="G208" s="6">
        <v>722283.53</v>
      </c>
    </row>
    <row r="209" spans="8:8">
      <c r="A209" s="3" t="s">
        <v>230</v>
      </c>
      <c r="B209" s="4" t="s">
        <v>196</v>
      </c>
      <c r="C209" s="93">
        <v>0.01</v>
      </c>
      <c r="D209" s="93">
        <v>884869.44</v>
      </c>
      <c r="E209" s="17">
        <v>19600.0</v>
      </c>
      <c r="F209" s="17">
        <v>29400.0</v>
      </c>
      <c r="G209" s="6">
        <v>722283.53</v>
      </c>
    </row>
    <row r="210" spans="8:8">
      <c r="A210" s="3" t="s">
        <v>231</v>
      </c>
      <c r="B210" s="4" t="s">
        <v>196</v>
      </c>
      <c r="C210" s="93">
        <v>0.01</v>
      </c>
      <c r="D210" s="93">
        <v>673283.52</v>
      </c>
      <c r="E210" s="17">
        <v>19600.0</v>
      </c>
      <c r="F210" s="17">
        <v>29400.0</v>
      </c>
      <c r="G210" s="6">
        <v>722283.53</v>
      </c>
    </row>
    <row r="211" spans="8:8">
      <c r="A211" s="3" t="s">
        <v>232</v>
      </c>
      <c r="B211" s="4" t="s">
        <v>196</v>
      </c>
      <c r="C211" s="93">
        <v>0.01</v>
      </c>
      <c r="D211" s="93">
        <v>673283.52</v>
      </c>
      <c r="E211" s="17">
        <v>19600.0</v>
      </c>
      <c r="F211" s="17">
        <v>29400.0</v>
      </c>
      <c r="G211" s="6">
        <v>722283.53</v>
      </c>
    </row>
    <row r="212" spans="8:8">
      <c r="A212" s="3" t="s">
        <v>233</v>
      </c>
      <c r="B212" s="4" t="s">
        <v>196</v>
      </c>
      <c r="C212" s="93">
        <v>0.01</v>
      </c>
      <c r="D212" s="93">
        <v>673283.52</v>
      </c>
      <c r="E212" s="17">
        <v>19600.0</v>
      </c>
      <c r="F212" s="17">
        <v>29400.0</v>
      </c>
      <c r="G212" s="6">
        <v>722283.53</v>
      </c>
    </row>
    <row r="213" spans="8:8">
      <c r="A213" s="3" t="s">
        <v>234</v>
      </c>
      <c r="B213" s="4" t="s">
        <v>196</v>
      </c>
      <c r="C213" s="93">
        <v>0.01</v>
      </c>
      <c r="D213" s="93">
        <v>673283.52</v>
      </c>
      <c r="E213" s="17">
        <v>19600.0</v>
      </c>
      <c r="F213" s="17">
        <v>29400.0</v>
      </c>
      <c r="G213" s="6">
        <v>722283.53</v>
      </c>
    </row>
    <row r="214" spans="8:8">
      <c r="A214" s="3" t="s">
        <v>235</v>
      </c>
      <c r="B214" s="4" t="s">
        <v>196</v>
      </c>
      <c r="C214" s="93">
        <v>0.01</v>
      </c>
      <c r="D214" s="93">
        <v>673283.52</v>
      </c>
      <c r="E214" s="17">
        <v>19600.0</v>
      </c>
      <c r="F214" s="17">
        <v>29400.0</v>
      </c>
      <c r="G214" s="6">
        <v>722283.53</v>
      </c>
    </row>
    <row r="215" spans="8:8">
      <c r="A215" s="3" t="s">
        <v>236</v>
      </c>
      <c r="B215" s="4" t="s">
        <v>196</v>
      </c>
      <c r="C215" s="93">
        <v>0.01</v>
      </c>
      <c r="D215" s="93">
        <v>673283.52</v>
      </c>
      <c r="E215" s="17">
        <v>19600.0</v>
      </c>
      <c r="F215" s="17">
        <v>29400.0</v>
      </c>
      <c r="G215" s="6">
        <v>722283.53</v>
      </c>
    </row>
    <row r="216" spans="8:8">
      <c r="A216" s="3" t="s">
        <v>237</v>
      </c>
      <c r="B216" s="4" t="s">
        <v>196</v>
      </c>
      <c r="C216" s="93">
        <v>0.01</v>
      </c>
      <c r="D216" s="93">
        <v>673283.52</v>
      </c>
      <c r="E216" s="17">
        <v>19600.0</v>
      </c>
      <c r="F216" s="17">
        <v>29400.0</v>
      </c>
      <c r="G216" s="6">
        <v>722283.53</v>
      </c>
    </row>
    <row r="217" spans="8:8">
      <c r="A217" s="3" t="s">
        <v>238</v>
      </c>
      <c r="B217" s="4" t="s">
        <v>196</v>
      </c>
      <c r="C217" s="93">
        <v>0.01</v>
      </c>
      <c r="D217" s="93">
        <v>673283.52</v>
      </c>
      <c r="E217" s="17">
        <v>19600.0</v>
      </c>
      <c r="F217" s="17">
        <v>29400.0</v>
      </c>
      <c r="G217" s="6">
        <v>722283.53</v>
      </c>
    </row>
    <row r="218" spans="8:8">
      <c r="A218" s="3" t="s">
        <v>239</v>
      </c>
      <c r="B218" s="4" t="s">
        <v>196</v>
      </c>
      <c r="C218" s="93">
        <v>0.01</v>
      </c>
      <c r="D218" s="93">
        <v>673283.52</v>
      </c>
      <c r="E218" s="17">
        <v>19600.0</v>
      </c>
      <c r="F218" s="17">
        <v>29400.0</v>
      </c>
      <c r="G218" s="6">
        <v>722283.53</v>
      </c>
    </row>
    <row r="219" spans="8:8">
      <c r="A219" s="3" t="s">
        <v>240</v>
      </c>
      <c r="B219" s="4" t="s">
        <v>196</v>
      </c>
      <c r="C219" s="93">
        <v>0.01</v>
      </c>
      <c r="D219" s="93">
        <v>673283.52</v>
      </c>
      <c r="E219" s="17">
        <v>19600.0</v>
      </c>
      <c r="F219" s="17">
        <v>29400.0</v>
      </c>
      <c r="G219" s="6">
        <v>722283.53</v>
      </c>
    </row>
    <row r="220" spans="8:8">
      <c r="A220" s="3" t="s">
        <v>241</v>
      </c>
      <c r="B220" s="16" t="s">
        <v>196</v>
      </c>
      <c r="C220" s="93">
        <v>0.01</v>
      </c>
      <c r="D220" s="93">
        <v>673283.52</v>
      </c>
      <c r="E220" s="17">
        <v>19600.0</v>
      </c>
      <c r="F220" s="17">
        <v>29400.0</v>
      </c>
      <c r="G220" s="6">
        <v>722283.53</v>
      </c>
    </row>
    <row r="221" spans="8:8">
      <c r="A221" s="3" t="s">
        <v>242</v>
      </c>
      <c r="B221" s="4" t="s">
        <v>196</v>
      </c>
      <c r="C221" s="93">
        <v>0.01</v>
      </c>
      <c r="D221" s="93">
        <v>673283.52</v>
      </c>
      <c r="E221" s="17">
        <v>19600.0</v>
      </c>
      <c r="F221" s="17">
        <v>29400.0</v>
      </c>
      <c r="G221" s="6">
        <v>722283.53</v>
      </c>
    </row>
    <row r="222" spans="8:8">
      <c r="A222" s="3" t="s">
        <v>243</v>
      </c>
      <c r="B222" s="4" t="s">
        <v>196</v>
      </c>
      <c r="C222" s="93">
        <v>0.01</v>
      </c>
      <c r="D222" s="93">
        <v>673283.52</v>
      </c>
      <c r="E222" s="17">
        <v>19600.0</v>
      </c>
      <c r="F222" s="17">
        <v>29400.0</v>
      </c>
      <c r="G222" s="6">
        <v>722283.53</v>
      </c>
    </row>
    <row r="223" spans="8:8" s="49" ht="15.0" customFormat="1">
      <c r="A223" s="3" t="s">
        <v>244</v>
      </c>
      <c r="B223" s="4" t="s">
        <v>196</v>
      </c>
      <c r="C223" s="93">
        <v>0.01</v>
      </c>
      <c r="D223" s="93">
        <v>673283.52</v>
      </c>
      <c r="E223" s="17">
        <v>19600.0</v>
      </c>
      <c r="F223" s="17">
        <v>29400.0</v>
      </c>
      <c r="G223" s="6">
        <v>722283.53</v>
      </c>
      <c r="H223" s="217"/>
    </row>
    <row r="224" spans="8:8">
      <c r="A224" s="3" t="s">
        <v>246</v>
      </c>
      <c r="B224" s="4" t="s">
        <v>196</v>
      </c>
      <c r="C224" s="93">
        <v>0.01</v>
      </c>
      <c r="D224" s="93">
        <v>673283.52</v>
      </c>
      <c r="E224" s="17">
        <v>19600.0</v>
      </c>
      <c r="F224" s="17">
        <v>29400.0</v>
      </c>
      <c r="G224" s="6">
        <v>722283.53</v>
      </c>
    </row>
    <row r="225" spans="8:8">
      <c r="A225" s="3" t="s">
        <v>247</v>
      </c>
      <c r="B225" s="4" t="s">
        <v>196</v>
      </c>
      <c r="C225" s="93">
        <v>0.01</v>
      </c>
      <c r="D225" s="93">
        <v>673283.52</v>
      </c>
      <c r="E225" s="17">
        <v>19600.0</v>
      </c>
      <c r="F225" s="17">
        <v>29400.0</v>
      </c>
      <c r="G225" s="6">
        <v>722283.53</v>
      </c>
    </row>
    <row r="226" spans="8:8">
      <c r="A226" s="3" t="s">
        <v>248</v>
      </c>
      <c r="B226" s="4" t="s">
        <v>196</v>
      </c>
      <c r="C226" s="93">
        <v>0.01</v>
      </c>
      <c r="D226" s="93">
        <v>673283.52</v>
      </c>
      <c r="E226" s="17">
        <v>19600.0</v>
      </c>
      <c r="F226" s="17">
        <v>29400.0</v>
      </c>
      <c r="G226" s="6">
        <v>722283.53</v>
      </c>
    </row>
    <row r="227" spans="8:8">
      <c r="A227" s="3" t="s">
        <v>249</v>
      </c>
      <c r="B227" s="4" t="s">
        <v>196</v>
      </c>
      <c r="C227" s="93">
        <v>0.01</v>
      </c>
      <c r="D227" s="93">
        <v>673283.52</v>
      </c>
      <c r="E227" s="17">
        <v>19600.0</v>
      </c>
      <c r="F227" s="17">
        <v>29400.0</v>
      </c>
      <c r="G227" s="6">
        <v>722283.53</v>
      </c>
    </row>
    <row r="228" spans="8:8">
      <c r="A228" s="3" t="s">
        <v>250</v>
      </c>
      <c r="B228" s="4" t="s">
        <v>196</v>
      </c>
      <c r="C228" s="93">
        <v>0.01</v>
      </c>
      <c r="D228" s="93">
        <v>673283.52</v>
      </c>
      <c r="E228" s="17">
        <v>19600.0</v>
      </c>
      <c r="F228" s="17">
        <v>29400.0</v>
      </c>
      <c r="G228" s="6">
        <v>722283.53</v>
      </c>
    </row>
    <row r="229" spans="8:8">
      <c r="A229" s="3" t="s">
        <v>251</v>
      </c>
      <c r="B229" s="4" t="s">
        <v>196</v>
      </c>
      <c r="C229" s="93">
        <v>0.01</v>
      </c>
      <c r="D229" s="93">
        <v>673283.52</v>
      </c>
      <c r="E229" s="17">
        <v>19600.0</v>
      </c>
      <c r="F229" s="17">
        <v>29400.0</v>
      </c>
      <c r="G229" s="6">
        <v>722283.53</v>
      </c>
    </row>
    <row r="230" spans="8:8">
      <c r="A230" s="3" t="s">
        <v>252</v>
      </c>
      <c r="B230" s="4" t="s">
        <v>196</v>
      </c>
      <c r="C230" s="93">
        <v>0.01</v>
      </c>
      <c r="D230" s="93">
        <v>673283.52</v>
      </c>
      <c r="E230" s="17">
        <v>19600.0</v>
      </c>
      <c r="F230" s="17">
        <v>29400.0</v>
      </c>
      <c r="G230" s="6">
        <v>722283.53</v>
      </c>
    </row>
    <row r="231" spans="8:8">
      <c r="A231" s="14" t="s">
        <v>346</v>
      </c>
      <c r="B231" s="4" t="s">
        <v>196</v>
      </c>
      <c r="C231" s="93">
        <v>0.01</v>
      </c>
      <c r="D231" s="93">
        <v>673283.52</v>
      </c>
      <c r="E231" s="17">
        <v>19600.0</v>
      </c>
      <c r="F231" s="17">
        <v>29400.0</v>
      </c>
      <c r="G231" s="6">
        <v>722283.53</v>
      </c>
    </row>
    <row r="232" spans="8:8">
      <c r="A232" s="3" t="s">
        <v>254</v>
      </c>
      <c r="B232" s="4" t="s">
        <v>196</v>
      </c>
      <c r="C232" s="93">
        <v>0.01</v>
      </c>
      <c r="D232" s="93">
        <v>673283.52</v>
      </c>
      <c r="E232" s="17">
        <v>19600.0</v>
      </c>
      <c r="F232" s="17">
        <v>29400.0</v>
      </c>
      <c r="G232" s="6">
        <v>722283.53</v>
      </c>
    </row>
    <row r="233" spans="8:8">
      <c r="A233" s="3" t="s">
        <v>255</v>
      </c>
      <c r="B233" s="4" t="s">
        <v>196</v>
      </c>
      <c r="C233" s="93">
        <v>0.01</v>
      </c>
      <c r="D233" s="93">
        <v>673283.52</v>
      </c>
      <c r="E233" s="17">
        <v>19600.0</v>
      </c>
      <c r="F233" s="17">
        <v>29400.0</v>
      </c>
      <c r="G233" s="6">
        <v>722283.53</v>
      </c>
    </row>
    <row r="234" spans="8:8">
      <c r="A234" s="3" t="s">
        <v>256</v>
      </c>
      <c r="B234" s="4" t="s">
        <v>196</v>
      </c>
      <c r="C234" s="93">
        <v>0.01</v>
      </c>
      <c r="D234" s="93">
        <v>673283.52</v>
      </c>
      <c r="E234" s="17">
        <v>19600.0</v>
      </c>
      <c r="F234" s="17">
        <v>29400.0</v>
      </c>
      <c r="G234" s="6">
        <v>722283.53</v>
      </c>
    </row>
    <row r="235" spans="8:8">
      <c r="A235" s="3" t="s">
        <v>257</v>
      </c>
      <c r="B235" s="4" t="s">
        <v>196</v>
      </c>
      <c r="C235" s="93">
        <v>0.01</v>
      </c>
      <c r="D235" s="93">
        <v>673283.52</v>
      </c>
      <c r="E235" s="17">
        <v>19600.0</v>
      </c>
      <c r="F235" s="17">
        <v>29400.0</v>
      </c>
      <c r="G235" s="6">
        <v>722283.53</v>
      </c>
    </row>
    <row r="236" spans="8:8">
      <c r="A236" s="3" t="s">
        <v>258</v>
      </c>
      <c r="B236" s="4" t="s">
        <v>196</v>
      </c>
      <c r="C236" s="93">
        <v>0.01</v>
      </c>
      <c r="D236" s="93">
        <v>673283.52</v>
      </c>
      <c r="E236" s="17">
        <v>19600.0</v>
      </c>
      <c r="F236" s="17">
        <v>29400.0</v>
      </c>
      <c r="G236" s="6">
        <v>722283.53</v>
      </c>
    </row>
    <row r="237" spans="8:8">
      <c r="A237" s="3" t="s">
        <v>259</v>
      </c>
      <c r="B237" s="4" t="s">
        <v>196</v>
      </c>
      <c r="C237" s="93">
        <v>0.01</v>
      </c>
      <c r="D237" s="93">
        <v>673283.52</v>
      </c>
      <c r="E237" s="17">
        <v>19600.0</v>
      </c>
      <c r="F237" s="17">
        <v>29400.0</v>
      </c>
      <c r="G237" s="6">
        <v>722283.53</v>
      </c>
    </row>
    <row r="238" spans="8:8">
      <c r="A238" s="3" t="s">
        <v>260</v>
      </c>
      <c r="B238" s="4" t="s">
        <v>196</v>
      </c>
      <c r="C238" s="93">
        <v>0.01</v>
      </c>
      <c r="D238" s="93">
        <v>673283.52</v>
      </c>
      <c r="E238" s="17">
        <v>19600.0</v>
      </c>
      <c r="F238" s="17">
        <v>29400.0</v>
      </c>
      <c r="G238" s="6">
        <v>722283.53</v>
      </c>
    </row>
    <row r="239" spans="8:8">
      <c r="A239" s="3" t="s">
        <v>262</v>
      </c>
      <c r="B239" s="4" t="s">
        <v>196</v>
      </c>
      <c r="C239" s="93">
        <v>0.01</v>
      </c>
      <c r="D239" s="93">
        <v>673283.52</v>
      </c>
      <c r="E239" s="17">
        <v>19600.0</v>
      </c>
      <c r="F239" s="17">
        <v>29400.0</v>
      </c>
      <c r="G239" s="6">
        <v>722283.53</v>
      </c>
    </row>
    <row r="240" spans="8:8">
      <c r="A240" s="3" t="s">
        <v>265</v>
      </c>
      <c r="B240" s="4" t="s">
        <v>196</v>
      </c>
      <c r="C240" s="93">
        <v>0.01</v>
      </c>
      <c r="D240" s="93">
        <v>673283.52</v>
      </c>
      <c r="E240" s="17">
        <v>19600.0</v>
      </c>
      <c r="F240" s="17">
        <v>29400.0</v>
      </c>
      <c r="G240" s="6">
        <v>722283.53</v>
      </c>
    </row>
    <row r="241" spans="8:8">
      <c r="A241" s="3" t="s">
        <v>266</v>
      </c>
      <c r="B241" s="4" t="s">
        <v>196</v>
      </c>
      <c r="C241" s="93">
        <v>0.01</v>
      </c>
      <c r="D241" s="93">
        <v>673283.52</v>
      </c>
      <c r="E241" s="17">
        <v>19600.0</v>
      </c>
      <c r="F241" s="17">
        <v>29400.0</v>
      </c>
      <c r="G241" s="6">
        <v>722283.53</v>
      </c>
    </row>
    <row r="242" spans="8:8">
      <c r="A242" s="3" t="s">
        <v>267</v>
      </c>
      <c r="B242" s="4" t="s">
        <v>196</v>
      </c>
      <c r="C242" s="93">
        <v>0.01</v>
      </c>
      <c r="D242" s="93">
        <v>673283.52</v>
      </c>
      <c r="E242" s="17">
        <v>19600.0</v>
      </c>
      <c r="F242" s="17">
        <v>29400.0</v>
      </c>
      <c r="G242" s="6">
        <v>722283.53</v>
      </c>
    </row>
    <row r="243" spans="8:8">
      <c r="A243" s="3" t="s">
        <v>268</v>
      </c>
      <c r="B243" s="4" t="s">
        <v>196</v>
      </c>
      <c r="C243" s="93">
        <v>0.01</v>
      </c>
      <c r="D243" s="93">
        <v>673283.52</v>
      </c>
      <c r="E243" s="17">
        <v>19600.0</v>
      </c>
      <c r="F243" s="17">
        <v>29400.0</v>
      </c>
      <c r="G243" s="6">
        <v>722283.53</v>
      </c>
    </row>
    <row r="244" spans="8:8">
      <c r="A244" s="3" t="s">
        <v>269</v>
      </c>
      <c r="B244" s="4" t="s">
        <v>196</v>
      </c>
      <c r="C244" s="93">
        <v>0.01</v>
      </c>
      <c r="D244" s="93">
        <v>673283.52</v>
      </c>
      <c r="E244" s="17">
        <v>19600.0</v>
      </c>
      <c r="F244" s="17">
        <v>29400.0</v>
      </c>
      <c r="G244" s="6">
        <v>722283.53</v>
      </c>
    </row>
    <row r="245" spans="8:8">
      <c r="A245" s="3" t="s">
        <v>270</v>
      </c>
      <c r="B245" s="4" t="s">
        <v>196</v>
      </c>
      <c r="C245" s="93">
        <v>0.01</v>
      </c>
      <c r="D245" s="93">
        <v>673283.52</v>
      </c>
      <c r="E245" s="17">
        <v>19600.0</v>
      </c>
      <c r="F245" s="17">
        <v>29400.0</v>
      </c>
      <c r="G245" s="6">
        <v>722283.53</v>
      </c>
    </row>
    <row r="246" spans="8:8">
      <c r="A246" s="3" t="s">
        <v>271</v>
      </c>
      <c r="B246" s="4" t="s">
        <v>196</v>
      </c>
      <c r="C246" s="93">
        <v>0.01</v>
      </c>
      <c r="D246" s="93">
        <v>673283.52</v>
      </c>
      <c r="E246" s="17">
        <v>19600.0</v>
      </c>
      <c r="F246" s="17">
        <v>29400.0</v>
      </c>
      <c r="G246" s="6">
        <v>722283.53</v>
      </c>
    </row>
    <row r="247" spans="8:8">
      <c r="A247" s="3" t="s">
        <v>272</v>
      </c>
      <c r="B247" s="4" t="s">
        <v>196</v>
      </c>
      <c r="C247" s="93">
        <v>0.01</v>
      </c>
      <c r="D247" s="93">
        <v>673283.52</v>
      </c>
      <c r="E247" s="17">
        <v>19600.0</v>
      </c>
      <c r="F247" s="17">
        <v>29400.0</v>
      </c>
      <c r="G247" s="6">
        <v>722283.53</v>
      </c>
    </row>
    <row r="248" spans="8:8">
      <c r="A248" s="3" t="s">
        <v>273</v>
      </c>
      <c r="B248" s="4" t="s">
        <v>196</v>
      </c>
      <c r="C248" s="93">
        <v>0.01</v>
      </c>
      <c r="D248" s="93">
        <v>673283.52</v>
      </c>
      <c r="E248" s="17">
        <v>19600.0</v>
      </c>
      <c r="F248" s="17">
        <v>29400.0</v>
      </c>
      <c r="G248" s="6">
        <v>722283.53</v>
      </c>
    </row>
    <row r="249" spans="8:8">
      <c r="A249" s="3" t="s">
        <v>274</v>
      </c>
      <c r="B249" s="4" t="s">
        <v>196</v>
      </c>
      <c r="C249" s="93">
        <v>0.01</v>
      </c>
      <c r="D249" s="93">
        <v>673283.52</v>
      </c>
      <c r="E249" s="17">
        <v>19600.0</v>
      </c>
      <c r="F249" s="17">
        <v>29400.0</v>
      </c>
      <c r="G249" s="6">
        <v>722283.53</v>
      </c>
    </row>
    <row r="250" spans="8:8">
      <c r="A250" s="3" t="s">
        <v>275</v>
      </c>
      <c r="B250" s="4" t="s">
        <v>196</v>
      </c>
      <c r="C250" s="93">
        <v>0.01</v>
      </c>
      <c r="D250" s="93">
        <v>673283.52</v>
      </c>
      <c r="E250" s="17">
        <v>19600.0</v>
      </c>
      <c r="F250" s="17">
        <v>29400.0</v>
      </c>
      <c r="G250" s="6">
        <v>722283.53</v>
      </c>
    </row>
    <row r="251" spans="8:8">
      <c r="A251" s="3" t="s">
        <v>276</v>
      </c>
      <c r="B251" s="4" t="s">
        <v>196</v>
      </c>
      <c r="C251" s="93">
        <v>0.01</v>
      </c>
      <c r="D251" s="93">
        <v>673283.52</v>
      </c>
      <c r="E251" s="17">
        <v>19600.0</v>
      </c>
      <c r="F251" s="17">
        <v>29400.0</v>
      </c>
      <c r="G251" s="6">
        <v>722283.53</v>
      </c>
    </row>
    <row r="252" spans="8:8">
      <c r="A252" s="18" t="s">
        <v>277</v>
      </c>
      <c r="B252" s="4" t="s">
        <v>196</v>
      </c>
      <c r="C252" s="93">
        <v>0.01</v>
      </c>
      <c r="D252" s="93">
        <v>673283.52</v>
      </c>
      <c r="E252" s="17">
        <v>19600.0</v>
      </c>
      <c r="F252" s="17">
        <v>29400.0</v>
      </c>
      <c r="G252" s="6">
        <v>722283.53</v>
      </c>
    </row>
    <row r="253" spans="8:8">
      <c r="A253" s="18" t="s">
        <v>347</v>
      </c>
      <c r="B253" s="4" t="s">
        <v>196</v>
      </c>
      <c r="C253" s="93"/>
      <c r="D253" s="93">
        <v>673283.52</v>
      </c>
      <c r="E253" s="17">
        <v>19600.0</v>
      </c>
      <c r="F253" s="17">
        <v>29400.0</v>
      </c>
      <c r="G253" s="205">
        <v>2264850.59</v>
      </c>
    </row>
    <row r="254" spans="8:8">
      <c r="A254" s="3" t="s">
        <v>280</v>
      </c>
      <c r="B254" s="4" t="s">
        <v>196</v>
      </c>
      <c r="C254" s="93">
        <v>170614.08000000002</v>
      </c>
      <c r="D254" s="93">
        <v>673283.52</v>
      </c>
      <c r="E254" s="17">
        <v>19600.0</v>
      </c>
      <c r="F254" s="17">
        <v>29400.0</v>
      </c>
      <c r="G254" s="6">
        <v>722895.01</v>
      </c>
    </row>
    <row r="255" spans="8:8">
      <c r="A255" s="207" t="s">
        <v>281</v>
      </c>
      <c r="B255" s="208" t="s">
        <v>282</v>
      </c>
      <c r="C255" s="209">
        <v>500000.0</v>
      </c>
      <c r="D255" s="93">
        <v>673283.52</v>
      </c>
      <c r="E255" s="17">
        <v>19600.0</v>
      </c>
      <c r="F255" s="17">
        <v>29400.0</v>
      </c>
      <c r="G255" s="210">
        <v>500000.0</v>
      </c>
    </row>
    <row r="256" spans="8:8">
      <c r="A256" s="207" t="s">
        <v>283</v>
      </c>
      <c r="B256" s="208" t="s">
        <v>282</v>
      </c>
      <c r="C256" s="209">
        <v>756.0</v>
      </c>
      <c r="D256" s="93">
        <v>673895.04</v>
      </c>
      <c r="E256" s="17">
        <v>19600.0</v>
      </c>
      <c r="F256" s="17">
        <v>29400.0</v>
      </c>
      <c r="G256" s="210">
        <v>756.0</v>
      </c>
    </row>
    <row r="257" spans="8:8">
      <c r="A257" s="207" t="s">
        <v>284</v>
      </c>
      <c r="B257" s="208" t="s">
        <v>285</v>
      </c>
      <c r="C257" s="211">
        <v>5880.0</v>
      </c>
      <c r="D257" s="218" t="s">
        <v>292</v>
      </c>
      <c r="E257" s="219" t="s">
        <v>292</v>
      </c>
      <c r="F257" s="219" t="s">
        <v>292</v>
      </c>
      <c r="G257" s="210">
        <v>5880.0</v>
      </c>
    </row>
    <row r="258" spans="8:8">
      <c r="A258" s="207" t="s">
        <v>286</v>
      </c>
      <c r="B258" s="208" t="s">
        <v>285</v>
      </c>
      <c r="C258" s="211">
        <v>9800.0</v>
      </c>
      <c r="D258" s="218" t="s">
        <v>292</v>
      </c>
      <c r="E258" s="219" t="s">
        <v>292</v>
      </c>
      <c r="F258" s="219" t="s">
        <v>292</v>
      </c>
      <c r="G258" s="210">
        <v>9800.0</v>
      </c>
    </row>
    <row r="259" spans="8:8">
      <c r="A259" s="207" t="s">
        <v>4</v>
      </c>
      <c r="B259" s="208" t="s">
        <v>285</v>
      </c>
      <c r="C259" s="211">
        <v>19600.0</v>
      </c>
      <c r="D259" s="218" t="s">
        <v>292</v>
      </c>
      <c r="E259" s="219" t="s">
        <v>292</v>
      </c>
      <c r="F259" s="219" t="s">
        <v>292</v>
      </c>
      <c r="G259" s="210">
        <v>19600.0</v>
      </c>
    </row>
    <row r="260" spans="8:8">
      <c r="A260" s="207" t="s">
        <v>287</v>
      </c>
      <c r="B260" s="208" t="s">
        <v>285</v>
      </c>
      <c r="C260" s="211">
        <v>58800.0</v>
      </c>
      <c r="D260" s="218" t="s">
        <v>292</v>
      </c>
      <c r="E260" s="219" t="s">
        <v>292</v>
      </c>
      <c r="F260" s="219" t="s">
        <v>292</v>
      </c>
      <c r="G260" s="210">
        <v>58800.0</v>
      </c>
    </row>
    <row r="261" spans="8:8">
      <c r="A261" s="207" t="s">
        <v>319</v>
      </c>
      <c r="B261" s="208" t="s">
        <v>285</v>
      </c>
      <c r="C261" s="211">
        <v>23520.0</v>
      </c>
      <c r="D261" s="218" t="s">
        <v>292</v>
      </c>
      <c r="E261" s="219" t="s">
        <v>292</v>
      </c>
      <c r="F261" s="219" t="s">
        <v>292</v>
      </c>
      <c r="G261" s="210">
        <v>23520.0</v>
      </c>
    </row>
    <row r="262" spans="8:8">
      <c r="A262" s="207" t="s">
        <v>5</v>
      </c>
      <c r="B262" s="208" t="s">
        <v>285</v>
      </c>
      <c r="C262" s="211">
        <v>29400.0</v>
      </c>
      <c r="D262" s="218" t="s">
        <v>292</v>
      </c>
      <c r="E262" s="219" t="s">
        <v>292</v>
      </c>
      <c r="F262" s="219" t="s">
        <v>292</v>
      </c>
      <c r="G262" s="210">
        <v>29400.0</v>
      </c>
    </row>
    <row r="263" spans="8:8">
      <c r="A263" s="207" t="s">
        <v>288</v>
      </c>
      <c r="B263" s="208" t="s">
        <v>285</v>
      </c>
      <c r="C263" s="211">
        <v>98000.0</v>
      </c>
      <c r="D263" s="218" t="s">
        <v>292</v>
      </c>
      <c r="E263" s="219" t="s">
        <v>292</v>
      </c>
      <c r="F263" s="219" t="s">
        <v>292</v>
      </c>
      <c r="G263" s="210">
        <v>98000.0</v>
      </c>
    </row>
    <row r="264" spans="8:8">
      <c r="A264" s="207" t="s">
        <v>291</v>
      </c>
      <c r="B264" s="208" t="s">
        <v>290</v>
      </c>
      <c r="C264" s="209">
        <v>431733.12000000005</v>
      </c>
      <c r="D264" s="218" t="s">
        <v>292</v>
      </c>
      <c r="E264" s="219" t="s">
        <v>292</v>
      </c>
      <c r="F264" s="219" t="s">
        <v>292</v>
      </c>
      <c r="G264" s="210">
        <v>912466.24</v>
      </c>
    </row>
    <row r="265" spans="8:8" ht="15.75">
      <c r="C265" s="161"/>
      <c r="D265" s="220" t="s">
        <v>292</v>
      </c>
      <c r="E265" s="221" t="s">
        <v>292</v>
      </c>
      <c r="F265" s="222" t="s">
        <v>292</v>
      </c>
    </row>
    <row r="266" spans="8:8">
      <c r="C266" s="161"/>
      <c r="D266" s="223">
        <v>431733.12000000005</v>
      </c>
      <c r="E266" s="224">
        <v>19600.0</v>
      </c>
      <c r="F266" s="225">
        <v>29400.0</v>
      </c>
    </row>
    <row r="267" spans="8:8">
      <c r="D267" s="161"/>
      <c r="E267" s="191"/>
    </row>
    <row r="268" spans="8:8">
      <c r="D268" s="161"/>
      <c r="E268" s="191"/>
    </row>
    <row r="269" spans="8:8">
      <c r="E269" s="191"/>
    </row>
    <row r="280" spans="8:8" s="49" ht="15.0" customFormat="1">
      <c r="A280" s="38"/>
      <c r="B280" s="39"/>
      <c r="C280" s="40"/>
      <c r="D280" s="40"/>
      <c r="E280" s="163"/>
      <c r="F280" s="163"/>
      <c r="G280" s="161"/>
      <c r="H280" s="212"/>
      <c r="I280" s="39"/>
    </row>
    <row r="288" spans="8:8" s="49" ht="15.0" customFormat="1">
      <c r="A288" s="38"/>
      <c r="B288" s="39"/>
      <c r="C288" s="40"/>
      <c r="D288" s="40"/>
      <c r="E288" s="163"/>
      <c r="F288" s="163"/>
      <c r="G288" s="161"/>
      <c r="H288" s="212"/>
      <c r="I288" s="39"/>
    </row>
    <row r="291" spans="8:8" s="49" ht="15.0" customFormat="1">
      <c r="A291" s="38"/>
      <c r="B291" s="39"/>
      <c r="C291" s="40"/>
      <c r="D291" s="40"/>
      <c r="E291" s="163"/>
      <c r="F291" s="163"/>
      <c r="G291" s="161"/>
      <c r="H291" s="212"/>
      <c r="I291" s="39"/>
    </row>
    <row r="292" spans="8:8" s="49" ht="15.0" customFormat="1">
      <c r="A292" s="38"/>
      <c r="B292" s="39"/>
      <c r="C292" s="40"/>
      <c r="D292" s="40"/>
      <c r="E292" s="163"/>
      <c r="F292" s="163"/>
      <c r="G292" s="161"/>
      <c r="H292" s="212"/>
      <c r="I292" s="39"/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:Q295"/>
  <sheetViews>
    <sheetView workbookViewId="0">
      <selection activeCell="A26" sqref="A26:XFD26"/>
    </sheetView>
  </sheetViews>
  <sheetFormatPr defaultRowHeight="15.0" defaultColWidth="10"/>
  <cols>
    <col min="1" max="1" customWidth="1" bestFit="1" width="60.140625" style="38"/>
    <col min="2" max="2" customWidth="1" width="15.0" style="39"/>
    <col min="3" max="3" customWidth="1" width="12.425781" style="40"/>
    <col min="4" max="4" customWidth="1" width="15.285156" style="40"/>
    <col min="5" max="5" customWidth="1" width="12.855469" style="163"/>
    <col min="6" max="6" customWidth="1" width="18.140625" style="163"/>
    <col min="7" max="7" customWidth="1" width="13.140625" style="161"/>
    <col min="8" max="8" customWidth="1" bestFit="1" width="73.42578" style="161"/>
    <col min="9" max="9" customWidth="1" bestFit="1" width="12.140625" style="39"/>
    <col min="10" max="16384" customWidth="0" width="11.425781" style="39"/>
  </cols>
  <sheetData>
    <row r="1" spans="8:8" ht="15.75">
      <c r="A1" s="226" t="s">
        <v>0</v>
      </c>
      <c r="B1" s="227" t="s">
        <v>1</v>
      </c>
      <c r="C1" s="228" t="s">
        <v>2</v>
      </c>
      <c r="D1" s="228" t="s">
        <v>3</v>
      </c>
      <c r="E1" s="229" t="s">
        <v>4</v>
      </c>
      <c r="F1" s="229" t="s">
        <v>5</v>
      </c>
      <c r="G1" s="230" t="s">
        <v>294</v>
      </c>
      <c r="H1" s="231"/>
    </row>
    <row r="2" spans="8:8">
      <c r="A2" s="10" t="s">
        <v>7</v>
      </c>
      <c r="B2" s="11" t="s">
        <v>8</v>
      </c>
      <c r="C2" s="232">
        <v>0.01</v>
      </c>
      <c r="D2" s="232">
        <v>216478.08000000002</v>
      </c>
      <c r="E2" s="168">
        <v>27440.0</v>
      </c>
      <c r="F2" s="168">
        <v>41160.0</v>
      </c>
      <c r="G2" s="13">
        <f t="shared" si="0" ref="G2:G62">SUM(C2:F2)</f>
        <v>285078.09</v>
      </c>
      <c r="H2" s="233"/>
    </row>
    <row r="3" spans="8:8">
      <c r="A3" s="3" t="s">
        <v>9</v>
      </c>
      <c r="B3" s="4" t="s">
        <v>8</v>
      </c>
      <c r="C3" s="234">
        <v>0.01</v>
      </c>
      <c r="D3" s="234">
        <v>216478.08000000002</v>
      </c>
      <c r="E3" s="17">
        <v>27440.0</v>
      </c>
      <c r="F3" s="17">
        <v>41160.0</v>
      </c>
      <c r="G3" s="6">
        <f t="shared" si="0"/>
        <v>285078.09</v>
      </c>
      <c r="H3" s="233"/>
    </row>
    <row r="4" spans="8:8">
      <c r="A4" s="3" t="s">
        <v>10</v>
      </c>
      <c r="B4" s="4" t="s">
        <v>8</v>
      </c>
      <c r="C4" s="234">
        <v>0.01</v>
      </c>
      <c r="D4" s="234">
        <v>216478.08000000002</v>
      </c>
      <c r="E4" s="17">
        <v>27440.0</v>
      </c>
      <c r="F4" s="17">
        <v>41160.0</v>
      </c>
      <c r="G4" s="6">
        <f t="shared" si="0"/>
        <v>285078.09</v>
      </c>
      <c r="H4" s="233"/>
    </row>
    <row r="5" spans="8:8">
      <c r="A5" s="3" t="s">
        <v>11</v>
      </c>
      <c r="B5" s="4" t="s">
        <v>8</v>
      </c>
      <c r="C5" s="235">
        <v>0.01</v>
      </c>
      <c r="D5" s="234">
        <v>432956.17400000006</v>
      </c>
      <c r="E5" s="17">
        <v>27440.0</v>
      </c>
      <c r="F5" s="17">
        <v>41160.0</v>
      </c>
      <c r="G5" s="6">
        <f t="shared" si="0"/>
        <v>501556.18400000007</v>
      </c>
    </row>
    <row r="6" spans="8:8">
      <c r="A6" s="3" t="s">
        <v>12</v>
      </c>
      <c r="B6" s="4" t="s">
        <v>13</v>
      </c>
      <c r="C6" s="234">
        <v>177690.24</v>
      </c>
      <c r="D6" s="234">
        <v>99066.24</v>
      </c>
      <c r="E6" s="17">
        <v>27440.0</v>
      </c>
      <c r="F6" s="17">
        <v>41160.0</v>
      </c>
      <c r="G6" s="6">
        <f t="shared" si="1" ref="G6:G11">SUM(C6:F6)+32928</f>
        <v>378284.48</v>
      </c>
      <c r="H6" s="233"/>
      <c r="K6" s="71"/>
      <c r="L6" s="71"/>
      <c r="M6" s="71"/>
      <c r="N6" s="71"/>
      <c r="O6" s="71"/>
      <c r="P6" s="71"/>
    </row>
    <row r="7" spans="8:8">
      <c r="A7" s="204" t="s">
        <v>320</v>
      </c>
      <c r="B7" s="4" t="s">
        <v>13</v>
      </c>
      <c r="C7" s="234">
        <f>177690.24*2</f>
        <v>355380.48</v>
      </c>
      <c r="D7" s="234">
        <f>99066.24*2</f>
        <v>198132.48</v>
      </c>
      <c r="E7" s="17">
        <f>27440*2</f>
        <v>54880.0</v>
      </c>
      <c r="F7" s="17">
        <f>41160*2</f>
        <v>82320.0</v>
      </c>
      <c r="G7" s="205">
        <f t="shared" si="1"/>
        <v>723640.96</v>
      </c>
      <c r="H7" s="216"/>
      <c r="I7" s="71"/>
      <c r="J7" s="71"/>
      <c r="K7" s="71"/>
      <c r="L7" s="71"/>
      <c r="M7" s="71"/>
      <c r="N7" s="71"/>
    </row>
    <row r="8" spans="8:8">
      <c r="A8" s="3" t="s">
        <v>15</v>
      </c>
      <c r="B8" s="4" t="s">
        <v>13</v>
      </c>
      <c r="C8" s="234">
        <v>177690.24</v>
      </c>
      <c r="D8" s="234">
        <v>99066.24</v>
      </c>
      <c r="E8" s="17">
        <v>27440.0</v>
      </c>
      <c r="F8" s="17">
        <v>41160.0</v>
      </c>
      <c r="G8" s="6">
        <f t="shared" si="1"/>
        <v>378284.48</v>
      </c>
      <c r="H8" s="233"/>
      <c r="J8" s="71"/>
      <c r="K8" s="71"/>
      <c r="L8" s="71"/>
      <c r="M8" s="71"/>
      <c r="N8" s="71"/>
      <c r="O8" s="71"/>
      <c r="P8" s="71"/>
    </row>
    <row r="9" spans="8:8">
      <c r="A9" s="3" t="s">
        <v>16</v>
      </c>
      <c r="B9" s="4" t="s">
        <v>13</v>
      </c>
      <c r="C9" s="234">
        <v>177690.24</v>
      </c>
      <c r="D9" s="234">
        <v>99066.24</v>
      </c>
      <c r="E9" s="17">
        <v>27440.0</v>
      </c>
      <c r="F9" s="17">
        <v>41160.0</v>
      </c>
      <c r="G9" s="6">
        <f t="shared" si="1"/>
        <v>378284.48</v>
      </c>
      <c r="H9" s="233"/>
      <c r="J9" s="71"/>
      <c r="K9" s="71"/>
      <c r="L9" s="71"/>
      <c r="M9" s="71"/>
      <c r="N9" s="71"/>
      <c r="O9" s="71"/>
      <c r="P9" s="71"/>
    </row>
    <row r="10" spans="8:8">
      <c r="A10" s="3" t="s">
        <v>17</v>
      </c>
      <c r="B10" s="4" t="s">
        <v>13</v>
      </c>
      <c r="C10" s="234">
        <v>618770.8799999999</v>
      </c>
      <c r="D10" s="234">
        <v>226437.12</v>
      </c>
      <c r="E10" s="17">
        <v>27440.0</v>
      </c>
      <c r="F10" s="17">
        <v>41160.0</v>
      </c>
      <c r="G10" s="6">
        <f t="shared" si="1"/>
        <v>946736.0</v>
      </c>
      <c r="H10" s="233"/>
      <c r="J10" s="71"/>
      <c r="K10" s="71"/>
      <c r="L10" s="71"/>
      <c r="M10" s="71"/>
      <c r="N10" s="71"/>
      <c r="O10" s="71"/>
      <c r="P10" s="71"/>
    </row>
    <row r="11" spans="8:8">
      <c r="A11" s="3" t="s">
        <v>18</v>
      </c>
      <c r="B11" s="4" t="s">
        <v>13</v>
      </c>
      <c r="C11" s="234">
        <v>210712.32</v>
      </c>
      <c r="D11" s="234">
        <v>226437.12</v>
      </c>
      <c r="E11" s="17">
        <v>27440.0</v>
      </c>
      <c r="F11" s="17">
        <v>41160.0</v>
      </c>
      <c r="G11" s="6">
        <f t="shared" si="1"/>
        <v>538677.44</v>
      </c>
      <c r="H11" s="233"/>
      <c r="J11" s="71"/>
      <c r="K11" s="71"/>
      <c r="L11" s="71"/>
      <c r="M11" s="71"/>
      <c r="N11" s="71"/>
      <c r="O11" s="71"/>
      <c r="P11" s="71"/>
    </row>
    <row r="12" spans="8:8">
      <c r="A12" s="3" t="s">
        <v>19</v>
      </c>
      <c r="B12" s="4" t="s">
        <v>13</v>
      </c>
      <c r="C12" s="234">
        <v>210712.32</v>
      </c>
      <c r="D12" s="234">
        <v>226437.12</v>
      </c>
      <c r="E12" s="17">
        <v>27440.0</v>
      </c>
      <c r="F12" s="17">
        <v>41160.0</v>
      </c>
      <c r="G12" s="6">
        <f t="shared" si="2" ref="G12:G26">SUM(C12:F12)+32928</f>
        <v>538677.44</v>
      </c>
      <c r="H12" s="233"/>
      <c r="J12" s="71"/>
      <c r="K12" s="71"/>
      <c r="L12" s="71"/>
      <c r="M12" s="71"/>
      <c r="N12" s="71"/>
      <c r="O12" s="71"/>
      <c r="P12" s="71"/>
    </row>
    <row r="13" spans="8:8">
      <c r="A13" s="3" t="s">
        <v>20</v>
      </c>
      <c r="B13" s="4" t="s">
        <v>13</v>
      </c>
      <c r="C13" s="234">
        <v>210712.32</v>
      </c>
      <c r="D13" s="234">
        <v>226437.12</v>
      </c>
      <c r="E13" s="17">
        <v>27440.0</v>
      </c>
      <c r="F13" s="17">
        <v>41160.0</v>
      </c>
      <c r="G13" s="6">
        <f t="shared" si="2"/>
        <v>538677.44</v>
      </c>
      <c r="H13" s="233"/>
      <c r="J13" s="71"/>
    </row>
    <row r="14" spans="8:8">
      <c r="A14" s="206" t="s">
        <v>21</v>
      </c>
      <c r="B14" s="4" t="s">
        <v>13</v>
      </c>
      <c r="C14" s="236">
        <f>210712.32*2</f>
        <v>421424.64</v>
      </c>
      <c r="D14" s="236">
        <f>226437.12*2</f>
        <v>452874.24</v>
      </c>
      <c r="E14" s="237">
        <f>27440*2</f>
        <v>54880.0</v>
      </c>
      <c r="F14" s="237">
        <f>41160*2</f>
        <v>82320.0</v>
      </c>
      <c r="G14" s="205">
        <f t="shared" si="2"/>
        <v>1044426.88</v>
      </c>
      <c r="H14" s="233"/>
    </row>
    <row r="15" spans="8:8">
      <c r="A15" s="15" t="s">
        <v>22</v>
      </c>
      <c r="B15" s="16" t="s">
        <v>13</v>
      </c>
      <c r="C15" s="234">
        <v>210712.32</v>
      </c>
      <c r="D15" s="234">
        <v>226437.12</v>
      </c>
      <c r="E15" s="17">
        <v>27440.0</v>
      </c>
      <c r="F15" s="17">
        <v>41160.0</v>
      </c>
      <c r="G15" s="6">
        <f t="shared" si="2"/>
        <v>538677.44</v>
      </c>
      <c r="H15" s="233"/>
    </row>
    <row r="16" spans="8:8">
      <c r="A16" s="206" t="s">
        <v>23</v>
      </c>
      <c r="B16" s="16" t="s">
        <v>13</v>
      </c>
      <c r="C16" s="236">
        <f>210712.32*2</f>
        <v>421424.64</v>
      </c>
      <c r="D16" s="236">
        <f>226437.12*2</f>
        <v>452874.24</v>
      </c>
      <c r="E16" s="237">
        <f>27440*2</f>
        <v>54880.0</v>
      </c>
      <c r="F16" s="237">
        <f>41160*2</f>
        <v>82320.0</v>
      </c>
      <c r="G16" s="205">
        <f t="shared" si="3" ref="G16">SUM(C16:F16)+32928</f>
        <v>1044426.88</v>
      </c>
      <c r="H16" s="233"/>
    </row>
    <row r="17" spans="8:8">
      <c r="A17" s="3" t="s">
        <v>24</v>
      </c>
      <c r="B17" s="16" t="s">
        <v>13</v>
      </c>
      <c r="C17" s="234">
        <v>210712.32</v>
      </c>
      <c r="D17" s="234">
        <v>226437.12</v>
      </c>
      <c r="E17" s="17">
        <v>27440.0</v>
      </c>
      <c r="F17" s="17">
        <v>41160.0</v>
      </c>
      <c r="G17" s="6">
        <f t="shared" si="2"/>
        <v>538677.44</v>
      </c>
      <c r="H17" s="233"/>
    </row>
    <row r="18" spans="8:8">
      <c r="A18" s="3" t="s">
        <v>25</v>
      </c>
      <c r="B18" s="4" t="s">
        <v>13</v>
      </c>
      <c r="C18" s="234">
        <v>210712.32</v>
      </c>
      <c r="D18" s="234">
        <v>226437.12</v>
      </c>
      <c r="E18" s="17">
        <v>27440.0</v>
      </c>
      <c r="F18" s="17">
        <v>41160.0</v>
      </c>
      <c r="G18" s="6">
        <f t="shared" si="2"/>
        <v>538677.44</v>
      </c>
      <c r="H18" s="233"/>
    </row>
    <row r="19" spans="8:8">
      <c r="A19" s="3" t="s">
        <v>26</v>
      </c>
      <c r="B19" s="4" t="s">
        <v>13</v>
      </c>
      <c r="C19" s="234">
        <v>210712.32</v>
      </c>
      <c r="D19" s="234">
        <v>226437.12</v>
      </c>
      <c r="E19" s="17">
        <v>27440.0</v>
      </c>
      <c r="F19" s="17">
        <v>41160.0</v>
      </c>
      <c r="G19" s="6">
        <f t="shared" si="2"/>
        <v>538677.44</v>
      </c>
      <c r="H19" s="233"/>
    </row>
    <row r="20" spans="8:8">
      <c r="A20" s="3" t="s">
        <v>27</v>
      </c>
      <c r="B20" s="4" t="s">
        <v>13</v>
      </c>
      <c r="C20" s="234">
        <v>210712.32</v>
      </c>
      <c r="D20" s="234">
        <v>226437.12</v>
      </c>
      <c r="E20" s="17">
        <v>27440.0</v>
      </c>
      <c r="F20" s="17">
        <v>41160.0</v>
      </c>
      <c r="G20" s="6">
        <f t="shared" si="2"/>
        <v>538677.44</v>
      </c>
      <c r="H20" s="233"/>
    </row>
    <row r="21" spans="8:8">
      <c r="A21" s="3" t="s">
        <v>28</v>
      </c>
      <c r="B21" s="4" t="s">
        <v>13</v>
      </c>
      <c r="C21" s="234">
        <v>210712.32</v>
      </c>
      <c r="D21" s="234">
        <v>226437.12</v>
      </c>
      <c r="E21" s="17">
        <v>27440.0</v>
      </c>
      <c r="F21" s="17">
        <v>41160.0</v>
      </c>
      <c r="G21" s="6">
        <f t="shared" si="2"/>
        <v>538677.44</v>
      </c>
      <c r="H21" s="233"/>
    </row>
    <row r="22" spans="8:8">
      <c r="A22" s="3" t="s">
        <v>29</v>
      </c>
      <c r="B22" s="4" t="s">
        <v>13</v>
      </c>
      <c r="C22" s="234">
        <v>210712.32</v>
      </c>
      <c r="D22" s="234">
        <v>226437.12</v>
      </c>
      <c r="E22" s="17">
        <v>27440.0</v>
      </c>
      <c r="F22" s="17">
        <v>41160.0</v>
      </c>
      <c r="G22" s="6">
        <f t="shared" si="2"/>
        <v>538677.44</v>
      </c>
      <c r="H22" s="233"/>
    </row>
    <row r="23" spans="8:8">
      <c r="A23" s="14" t="s">
        <v>338</v>
      </c>
      <c r="B23" s="4" t="s">
        <v>13</v>
      </c>
      <c r="C23" s="234">
        <v>210712.32</v>
      </c>
      <c r="D23" s="234">
        <v>226437.12</v>
      </c>
      <c r="E23" s="17">
        <v>27440.0</v>
      </c>
      <c r="F23" s="17">
        <v>41160.0</v>
      </c>
      <c r="G23" s="6">
        <f t="shared" si="2"/>
        <v>538677.44</v>
      </c>
      <c r="H23" s="233"/>
    </row>
    <row r="24" spans="8:8">
      <c r="A24" s="3" t="s">
        <v>31</v>
      </c>
      <c r="B24" s="4" t="s">
        <v>13</v>
      </c>
      <c r="C24" s="234">
        <v>210712.32</v>
      </c>
      <c r="D24" s="234">
        <v>226437.12</v>
      </c>
      <c r="E24" s="17">
        <v>27440.0</v>
      </c>
      <c r="F24" s="17">
        <v>41160.0</v>
      </c>
      <c r="G24" s="6">
        <f t="shared" si="2"/>
        <v>538677.44</v>
      </c>
      <c r="H24" s="233"/>
    </row>
    <row r="25" spans="8:8">
      <c r="A25" s="3" t="s">
        <v>32</v>
      </c>
      <c r="B25" s="4" t="s">
        <v>13</v>
      </c>
      <c r="C25" s="234">
        <v>210712.32</v>
      </c>
      <c r="D25" s="234">
        <v>226437.12</v>
      </c>
      <c r="E25" s="17">
        <v>27440.0</v>
      </c>
      <c r="F25" s="17">
        <v>41160.0</v>
      </c>
      <c r="G25" s="6">
        <f t="shared" si="2"/>
        <v>538677.44</v>
      </c>
      <c r="H25" s="233"/>
    </row>
    <row r="26" spans="8:8">
      <c r="A26" s="3" t="s">
        <v>33</v>
      </c>
      <c r="B26" s="4" t="s">
        <v>13</v>
      </c>
      <c r="C26" s="234">
        <v>210712.32</v>
      </c>
      <c r="D26" s="234">
        <v>226437.12</v>
      </c>
      <c r="E26" s="17">
        <v>27440.0</v>
      </c>
      <c r="F26" s="17">
        <v>41160.0</v>
      </c>
      <c r="G26" s="6">
        <f t="shared" si="2"/>
        <v>538677.44</v>
      </c>
      <c r="H26" s="233"/>
    </row>
    <row r="27" spans="8:8">
      <c r="A27" s="3" t="s">
        <v>34</v>
      </c>
      <c r="B27" s="4" t="s">
        <v>13</v>
      </c>
      <c r="C27" s="234">
        <v>177690.24</v>
      </c>
      <c r="D27" s="234">
        <v>99066.24</v>
      </c>
      <c r="E27" s="17">
        <v>27440.0</v>
      </c>
      <c r="F27" s="17">
        <v>41160.0</v>
      </c>
      <c r="G27" s="6">
        <f>SUM(C27:F27)+32928</f>
        <v>378284.48</v>
      </c>
      <c r="H27" s="233"/>
    </row>
    <row r="28" spans="8:8">
      <c r="A28" s="3" t="s">
        <v>37</v>
      </c>
      <c r="B28" s="4" t="s">
        <v>13</v>
      </c>
      <c r="C28" s="234">
        <v>177690.24</v>
      </c>
      <c r="D28" s="234">
        <v>99066.24</v>
      </c>
      <c r="E28" s="17">
        <v>27440.0</v>
      </c>
      <c r="F28" s="17">
        <v>41160.0</v>
      </c>
      <c r="G28" s="6">
        <f>SUM(C28:F28)+32928</f>
        <v>378284.48</v>
      </c>
      <c r="H28" s="233"/>
    </row>
    <row r="29" spans="8:8">
      <c r="A29" s="3" t="s">
        <v>38</v>
      </c>
      <c r="B29" s="4" t="s">
        <v>13</v>
      </c>
      <c r="C29" s="234">
        <v>177690.24</v>
      </c>
      <c r="D29" s="234">
        <v>99066.24</v>
      </c>
      <c r="E29" s="17">
        <v>27440.0</v>
      </c>
      <c r="F29" s="17">
        <v>41160.0</v>
      </c>
      <c r="G29" s="6">
        <f>SUM(C29:F29)+32928</f>
        <v>378284.48</v>
      </c>
      <c r="H29" s="233"/>
    </row>
    <row r="30" spans="8:8">
      <c r="A30" s="15" t="s">
        <v>41</v>
      </c>
      <c r="B30" s="4" t="s">
        <v>13</v>
      </c>
      <c r="C30" s="234">
        <v>177690.24</v>
      </c>
      <c r="D30" s="234">
        <v>99066.24</v>
      </c>
      <c r="E30" s="17">
        <v>27440.0</v>
      </c>
      <c r="F30" s="17">
        <v>41160.0</v>
      </c>
      <c r="G30" s="6">
        <f t="shared" si="4" ref="G30:G33">SUM(C30:F30)+32928</f>
        <v>378284.48</v>
      </c>
      <c r="H30" s="233"/>
      <c r="J30" s="49"/>
    </row>
    <row r="31" spans="8:8" s="49" ht="15.0" customFormat="1">
      <c r="A31" s="14" t="s">
        <v>340</v>
      </c>
      <c r="B31" s="16" t="s">
        <v>13</v>
      </c>
      <c r="C31" s="234">
        <v>177690.24</v>
      </c>
      <c r="D31" s="234">
        <v>99066.24</v>
      </c>
      <c r="E31" s="17">
        <v>27440.0</v>
      </c>
      <c r="F31" s="17">
        <v>41160.0</v>
      </c>
      <c r="G31" s="6">
        <f t="shared" si="4"/>
        <v>378284.48</v>
      </c>
      <c r="H31" s="233"/>
      <c r="J31" s="39"/>
    </row>
    <row r="32" spans="8:8">
      <c r="A32" s="3" t="s">
        <v>43</v>
      </c>
      <c r="B32" s="4" t="s">
        <v>13</v>
      </c>
      <c r="C32" s="234">
        <v>177690.24</v>
      </c>
      <c r="D32" s="234">
        <v>99066.24</v>
      </c>
      <c r="E32" s="17">
        <v>27440.0</v>
      </c>
      <c r="F32" s="17">
        <v>41160.0</v>
      </c>
      <c r="G32" s="6">
        <f t="shared" si="4"/>
        <v>378284.48</v>
      </c>
      <c r="H32" s="233"/>
      <c r="J32" s="49"/>
    </row>
    <row r="33" spans="8:8">
      <c r="A33" s="14" t="s">
        <v>341</v>
      </c>
      <c r="B33" s="4" t="s">
        <v>13</v>
      </c>
      <c r="C33" s="234">
        <v>177690.24</v>
      </c>
      <c r="D33" s="234">
        <v>99066.24</v>
      </c>
      <c r="E33" s="17">
        <v>27440.0</v>
      </c>
      <c r="F33" s="17">
        <v>41160.0</v>
      </c>
      <c r="G33" s="6">
        <f t="shared" si="4"/>
        <v>378284.48</v>
      </c>
      <c r="H33" s="233"/>
    </row>
    <row r="34" spans="8:8">
      <c r="A34" s="3" t="s">
        <v>45</v>
      </c>
      <c r="B34" s="4" t="s">
        <v>13</v>
      </c>
      <c r="C34" s="234">
        <v>401768.64</v>
      </c>
      <c r="D34" s="234">
        <v>235872.0</v>
      </c>
      <c r="E34" s="17">
        <v>27440.0</v>
      </c>
      <c r="F34" s="17">
        <v>41160.0</v>
      </c>
      <c r="G34" s="6">
        <f>SUM(C34:F34)+32928</f>
        <v>739168.64</v>
      </c>
      <c r="H34" s="233"/>
    </row>
    <row r="35" spans="8:8">
      <c r="A35" s="3" t="s">
        <v>46</v>
      </c>
      <c r="B35" s="4" t="s">
        <v>13</v>
      </c>
      <c r="C35" s="234">
        <v>401768.64</v>
      </c>
      <c r="D35" s="234">
        <v>235872.0</v>
      </c>
      <c r="E35" s="17">
        <v>27440.0</v>
      </c>
      <c r="F35" s="17">
        <v>41160.0</v>
      </c>
      <c r="G35" s="6">
        <f>SUM(C35:F35)+32928</f>
        <v>739168.64</v>
      </c>
      <c r="H35" s="233"/>
    </row>
    <row r="36" spans="8:8">
      <c r="A36" s="3" t="s">
        <v>47</v>
      </c>
      <c r="B36" s="4" t="s">
        <v>13</v>
      </c>
      <c r="C36" s="234">
        <v>565306.56</v>
      </c>
      <c r="D36" s="234">
        <v>235872.0</v>
      </c>
      <c r="E36" s="17">
        <v>27440.0</v>
      </c>
      <c r="F36" s="17">
        <v>41160.0</v>
      </c>
      <c r="G36" s="6">
        <f>SUM(C36:F36)+32928</f>
        <v>902706.56</v>
      </c>
      <c r="H36" s="233"/>
    </row>
    <row r="37" spans="8:8">
      <c r="A37" s="3" t="s">
        <v>48</v>
      </c>
      <c r="B37" s="4" t="s">
        <v>13</v>
      </c>
      <c r="C37" s="234">
        <v>177690.24</v>
      </c>
      <c r="D37" s="234">
        <v>235872.0</v>
      </c>
      <c r="E37" s="17">
        <v>27440.0</v>
      </c>
      <c r="F37" s="17">
        <v>41160.0</v>
      </c>
      <c r="G37" s="6">
        <f>SUM(C37:F37)+32928</f>
        <v>515090.24</v>
      </c>
      <c r="H37" s="233"/>
    </row>
    <row r="38" spans="8:8">
      <c r="A38" s="3" t="s">
        <v>49</v>
      </c>
      <c r="B38" s="4" t="s">
        <v>13</v>
      </c>
      <c r="C38" s="234">
        <v>177690.24</v>
      </c>
      <c r="D38" s="234">
        <v>99066.24</v>
      </c>
      <c r="E38" s="17">
        <v>27440.0</v>
      </c>
      <c r="F38" s="17">
        <v>41160.0</v>
      </c>
      <c r="G38" s="6">
        <f>SUM(C38:F38)+32928</f>
        <v>378284.48</v>
      </c>
      <c r="H38" s="233"/>
    </row>
    <row r="39" spans="8:8">
      <c r="A39" s="18" t="s">
        <v>342</v>
      </c>
      <c r="B39" s="4" t="s">
        <v>13</v>
      </c>
      <c r="C39" s="234">
        <v>177690.24</v>
      </c>
      <c r="D39" s="234">
        <v>99066.24</v>
      </c>
      <c r="E39" s="17">
        <v>27440.0</v>
      </c>
      <c r="F39" s="17">
        <v>41160.0</v>
      </c>
      <c r="G39" s="6">
        <f t="shared" si="5" ref="G39:G44">SUM(C39:F39)+32928</f>
        <v>378284.48</v>
      </c>
      <c r="H39" s="233"/>
    </row>
    <row r="40" spans="8:8" s="49" ht="15.0" customFormat="1">
      <c r="A40" s="3" t="s">
        <v>51</v>
      </c>
      <c r="B40" s="16" t="s">
        <v>13</v>
      </c>
      <c r="C40" s="234">
        <v>177690.24</v>
      </c>
      <c r="D40" s="234">
        <v>99066.24</v>
      </c>
      <c r="E40" s="17">
        <v>27440.0</v>
      </c>
      <c r="F40" s="17">
        <v>41160.0</v>
      </c>
      <c r="G40" s="6">
        <f t="shared" si="5"/>
        <v>378284.48</v>
      </c>
      <c r="H40" s="233"/>
      <c r="J40" s="39"/>
    </row>
    <row r="41" spans="8:8">
      <c r="A41" s="3" t="s">
        <v>52</v>
      </c>
      <c r="B41" s="4" t="s">
        <v>13</v>
      </c>
      <c r="C41" s="234">
        <v>177690.24</v>
      </c>
      <c r="D41" s="234">
        <v>99066.24</v>
      </c>
      <c r="E41" s="17">
        <v>27440.0</v>
      </c>
      <c r="F41" s="17">
        <v>41160.0</v>
      </c>
      <c r="G41" s="6">
        <f t="shared" si="5"/>
        <v>378284.48</v>
      </c>
      <c r="H41" s="233"/>
      <c r="J41" s="49"/>
    </row>
    <row r="42" spans="8:8">
      <c r="A42" s="14" t="s">
        <v>343</v>
      </c>
      <c r="B42" s="4" t="s">
        <v>13</v>
      </c>
      <c r="C42" s="234">
        <v>177690.24</v>
      </c>
      <c r="D42" s="234">
        <v>99066.24</v>
      </c>
      <c r="E42" s="17">
        <v>27440.0</v>
      </c>
      <c r="F42" s="17">
        <v>41160.0</v>
      </c>
      <c r="G42" s="6">
        <f t="shared" si="5"/>
        <v>378284.48</v>
      </c>
      <c r="H42" s="233"/>
    </row>
    <row r="43" spans="8:8">
      <c r="A43" s="3" t="s">
        <v>54</v>
      </c>
      <c r="B43" s="4" t="s">
        <v>13</v>
      </c>
      <c r="C43" s="234">
        <v>177690.24</v>
      </c>
      <c r="D43" s="234">
        <v>99066.24</v>
      </c>
      <c r="E43" s="17">
        <v>27440.0</v>
      </c>
      <c r="F43" s="17">
        <v>41160.0</v>
      </c>
      <c r="G43" s="6">
        <f t="shared" si="5"/>
        <v>378284.48</v>
      </c>
      <c r="H43" s="233"/>
    </row>
    <row r="44" spans="8:8">
      <c r="A44" s="15" t="s">
        <v>55</v>
      </c>
      <c r="B44" s="4" t="s">
        <v>13</v>
      </c>
      <c r="C44" s="234">
        <v>177690.24</v>
      </c>
      <c r="D44" s="234">
        <v>99066.24</v>
      </c>
      <c r="E44" s="17">
        <v>27440.0</v>
      </c>
      <c r="F44" s="17">
        <v>41160.0</v>
      </c>
      <c r="G44" s="6">
        <f t="shared" si="5"/>
        <v>378284.48</v>
      </c>
      <c r="H44" s="233"/>
    </row>
    <row r="45" spans="8:8" s="49" ht="15.0" customFormat="1">
      <c r="A45" s="3" t="s">
        <v>56</v>
      </c>
      <c r="B45" s="16" t="s">
        <v>13</v>
      </c>
      <c r="C45" s="234">
        <v>35380.8</v>
      </c>
      <c r="D45" s="234">
        <v>259459.2</v>
      </c>
      <c r="E45" s="17">
        <v>27440.0</v>
      </c>
      <c r="F45" s="17">
        <v>41160.0</v>
      </c>
      <c r="G45" s="17">
        <f>SUM(C45:F45)+32928</f>
        <v>396368.0</v>
      </c>
      <c r="H45" s="233"/>
      <c r="J45" s="39"/>
    </row>
    <row r="46" spans="8:8">
      <c r="A46" s="3" t="s">
        <v>57</v>
      </c>
      <c r="B46" s="4" t="s">
        <v>60</v>
      </c>
      <c r="C46" s="234">
        <v>0.0101</v>
      </c>
      <c r="D46" s="234">
        <v>220147.2</v>
      </c>
      <c r="E46" s="17">
        <v>27440.0</v>
      </c>
      <c r="F46" s="17">
        <v>41160.0</v>
      </c>
      <c r="G46" s="6">
        <f t="shared" si="0"/>
        <v>288747.2101</v>
      </c>
      <c r="H46" s="233"/>
      <c r="J46" s="49"/>
    </row>
    <row r="47" spans="8:8">
      <c r="A47" s="3" t="s">
        <v>58</v>
      </c>
      <c r="B47" s="4" t="s">
        <v>60</v>
      </c>
      <c r="C47" s="234">
        <v>0.0101</v>
      </c>
      <c r="D47" s="234">
        <v>220147.2</v>
      </c>
      <c r="E47" s="17">
        <v>27440.0</v>
      </c>
      <c r="F47" s="17">
        <v>41160.0</v>
      </c>
      <c r="G47" s="6">
        <f t="shared" si="0"/>
        <v>288747.2101</v>
      </c>
      <c r="H47" s="233"/>
    </row>
    <row r="48" spans="8:8">
      <c r="A48" s="3" t="s">
        <v>59</v>
      </c>
      <c r="B48" s="4" t="s">
        <v>60</v>
      </c>
      <c r="C48" s="234">
        <v>0.0101</v>
      </c>
      <c r="D48" s="234">
        <v>220147.2</v>
      </c>
      <c r="E48" s="17">
        <v>27440.0</v>
      </c>
      <c r="F48" s="17">
        <v>41160.0</v>
      </c>
      <c r="G48" s="6">
        <f t="shared" si="0"/>
        <v>288747.2101</v>
      </c>
      <c r="H48" s="233"/>
    </row>
    <row r="49" spans="8:8">
      <c r="A49" s="3" t="s">
        <v>61</v>
      </c>
      <c r="B49" s="4" t="s">
        <v>60</v>
      </c>
      <c r="C49" s="234">
        <v>45864.0</v>
      </c>
      <c r="D49" s="234">
        <v>385257.6</v>
      </c>
      <c r="E49" s="17">
        <v>27440.0</v>
      </c>
      <c r="F49" s="17">
        <v>41160.0</v>
      </c>
      <c r="G49" s="6">
        <f t="shared" si="0"/>
        <v>499721.6</v>
      </c>
      <c r="H49" s="233"/>
    </row>
    <row r="50" spans="8:8">
      <c r="A50" s="3" t="s">
        <v>62</v>
      </c>
      <c r="B50" s="4" t="s">
        <v>60</v>
      </c>
      <c r="C50" s="234">
        <v>0.0101</v>
      </c>
      <c r="D50" s="234">
        <v>220147.2</v>
      </c>
      <c r="E50" s="17">
        <v>27440.0</v>
      </c>
      <c r="F50" s="17">
        <v>41160.0</v>
      </c>
      <c r="G50" s="6">
        <f t="shared" si="0"/>
        <v>288747.2101</v>
      </c>
      <c r="H50" s="233"/>
    </row>
    <row r="51" spans="8:8">
      <c r="A51" s="3" t="s">
        <v>63</v>
      </c>
      <c r="B51" s="4" t="s">
        <v>60</v>
      </c>
      <c r="C51" s="234">
        <v>0.0101</v>
      </c>
      <c r="D51" s="234">
        <v>220147.2</v>
      </c>
      <c r="E51" s="17">
        <v>27440.0</v>
      </c>
      <c r="F51" s="17">
        <v>41160.0</v>
      </c>
      <c r="G51" s="6">
        <f t="shared" si="0"/>
        <v>288747.2101</v>
      </c>
      <c r="H51" s="233"/>
    </row>
    <row r="52" spans="8:8">
      <c r="A52" s="3" t="s">
        <v>64</v>
      </c>
      <c r="B52" s="4" t="s">
        <v>65</v>
      </c>
      <c r="C52" s="234">
        <v>0.0101</v>
      </c>
      <c r="D52" s="234">
        <v>162052.8</v>
      </c>
      <c r="E52" s="17">
        <v>27440.0</v>
      </c>
      <c r="F52" s="17">
        <v>41160.0</v>
      </c>
      <c r="G52" s="6">
        <f t="shared" si="0"/>
        <v>230652.8101</v>
      </c>
      <c r="H52" s="233"/>
    </row>
    <row r="53" spans="8:8">
      <c r="A53" s="3" t="s">
        <v>66</v>
      </c>
      <c r="B53" s="4" t="s">
        <v>65</v>
      </c>
      <c r="C53" s="234">
        <v>0.0101</v>
      </c>
      <c r="D53" s="234">
        <v>172448.64</v>
      </c>
      <c r="E53" s="17">
        <v>27440.0</v>
      </c>
      <c r="F53" s="17">
        <v>41160.0</v>
      </c>
      <c r="G53" s="6">
        <f t="shared" si="0"/>
        <v>241048.65010000003</v>
      </c>
      <c r="H53" s="233"/>
    </row>
    <row r="54" spans="8:8">
      <c r="A54" s="3" t="s">
        <v>67</v>
      </c>
      <c r="B54" s="4" t="s">
        <v>65</v>
      </c>
      <c r="C54" s="234">
        <v>0.0101</v>
      </c>
      <c r="D54" s="234">
        <v>162052.8</v>
      </c>
      <c r="E54" s="17">
        <v>27440.0</v>
      </c>
      <c r="F54" s="17">
        <v>41160.0</v>
      </c>
      <c r="G54" s="6">
        <f t="shared" si="0"/>
        <v>230652.8101</v>
      </c>
      <c r="H54" s="233"/>
    </row>
    <row r="55" spans="8:8">
      <c r="A55" s="3" t="s">
        <v>68</v>
      </c>
      <c r="B55" s="4" t="s">
        <v>65</v>
      </c>
      <c r="C55" s="234">
        <v>0.0101</v>
      </c>
      <c r="D55" s="234">
        <v>172448.64</v>
      </c>
      <c r="E55" s="17">
        <v>27440.0</v>
      </c>
      <c r="F55" s="17">
        <v>41160.0</v>
      </c>
      <c r="G55" s="6">
        <f t="shared" si="0"/>
        <v>241048.65010000003</v>
      </c>
      <c r="H55" s="233"/>
    </row>
    <row r="56" spans="8:8">
      <c r="A56" s="3" t="s">
        <v>69</v>
      </c>
      <c r="B56" s="4" t="s">
        <v>65</v>
      </c>
      <c r="C56" s="234">
        <v>0.0101</v>
      </c>
      <c r="D56" s="234">
        <v>210362.88</v>
      </c>
      <c r="E56" s="17">
        <v>27440.0</v>
      </c>
      <c r="F56" s="17">
        <v>41160.0</v>
      </c>
      <c r="G56" s="6">
        <f t="shared" si="0"/>
        <v>278962.8901</v>
      </c>
      <c r="H56" s="233"/>
    </row>
    <row r="57" spans="8:8">
      <c r="A57" s="3" t="s">
        <v>70</v>
      </c>
      <c r="B57" s="4" t="s">
        <v>65</v>
      </c>
      <c r="C57" s="234">
        <v>0.0101</v>
      </c>
      <c r="D57" s="234">
        <v>162052.8</v>
      </c>
      <c r="E57" s="17">
        <v>27440.0</v>
      </c>
      <c r="F57" s="17">
        <v>41160.0</v>
      </c>
      <c r="G57" s="6">
        <f t="shared" si="0"/>
        <v>230652.8101</v>
      </c>
      <c r="H57" s="233"/>
    </row>
    <row r="58" spans="8:8">
      <c r="A58" s="15" t="s">
        <v>71</v>
      </c>
      <c r="B58" s="16" t="s">
        <v>65</v>
      </c>
      <c r="C58" s="234">
        <v>0.0101</v>
      </c>
      <c r="D58" s="234">
        <v>190794.24000000002</v>
      </c>
      <c r="E58" s="17">
        <v>27440.0</v>
      </c>
      <c r="F58" s="17">
        <v>41160.0</v>
      </c>
      <c r="G58" s="6">
        <f t="shared" si="0"/>
        <v>259394.25010000003</v>
      </c>
      <c r="H58" s="233"/>
    </row>
    <row r="59" spans="8:8">
      <c r="A59" s="15" t="s">
        <v>72</v>
      </c>
      <c r="B59" s="16" t="s">
        <v>65</v>
      </c>
      <c r="C59" s="234">
        <v>0.0101</v>
      </c>
      <c r="D59" s="234">
        <v>172448.64</v>
      </c>
      <c r="E59" s="17">
        <v>27440.0</v>
      </c>
      <c r="F59" s="17">
        <v>41160.0</v>
      </c>
      <c r="G59" s="6">
        <f t="shared" si="0"/>
        <v>241048.65010000003</v>
      </c>
      <c r="H59" s="233"/>
    </row>
    <row r="60" spans="8:8">
      <c r="A60" s="3" t="s">
        <v>73</v>
      </c>
      <c r="B60" s="4" t="s">
        <v>65</v>
      </c>
      <c r="C60" s="234">
        <v>0.0101</v>
      </c>
      <c r="D60" s="234">
        <v>162052.8</v>
      </c>
      <c r="E60" s="17">
        <v>27440.0</v>
      </c>
      <c r="F60" s="17">
        <v>41160.0</v>
      </c>
      <c r="G60" s="6">
        <f t="shared" si="0"/>
        <v>230652.8101</v>
      </c>
      <c r="H60" s="233"/>
    </row>
    <row r="61" spans="8:8">
      <c r="A61" s="3" t="s">
        <v>74</v>
      </c>
      <c r="B61" s="4" t="s">
        <v>65</v>
      </c>
      <c r="C61" s="234">
        <v>0.0101</v>
      </c>
      <c r="D61" s="234">
        <v>172448.64</v>
      </c>
      <c r="E61" s="17">
        <v>27440.0</v>
      </c>
      <c r="F61" s="17">
        <v>41160.0</v>
      </c>
      <c r="G61" s="6">
        <f t="shared" si="0"/>
        <v>241048.65010000003</v>
      </c>
      <c r="H61" s="233"/>
    </row>
    <row r="62" spans="8:8">
      <c r="A62" s="3" t="s">
        <v>75</v>
      </c>
      <c r="B62" s="4" t="s">
        <v>65</v>
      </c>
      <c r="C62" s="234">
        <v>0.0101</v>
      </c>
      <c r="D62" s="234">
        <v>266011.2</v>
      </c>
      <c r="E62" s="17">
        <v>27440.0</v>
      </c>
      <c r="F62" s="17">
        <v>41160.0</v>
      </c>
      <c r="G62" s="6">
        <f t="shared" si="0"/>
        <v>334611.2101</v>
      </c>
      <c r="H62" s="233"/>
    </row>
    <row r="63" spans="8:8">
      <c r="A63" s="3" t="s">
        <v>76</v>
      </c>
      <c r="B63" s="4" t="s">
        <v>65</v>
      </c>
      <c r="C63" s="234">
        <v>0.0101</v>
      </c>
      <c r="D63" s="234">
        <v>162052.8</v>
      </c>
      <c r="E63" s="17">
        <v>27440.0</v>
      </c>
      <c r="F63" s="17">
        <v>41160.0</v>
      </c>
      <c r="G63" s="6">
        <f t="shared" si="6" ref="G63:G126">SUM(C63:F63)</f>
        <v>230652.8101</v>
      </c>
      <c r="H63" s="233"/>
    </row>
    <row r="64" spans="8:8">
      <c r="A64" s="3" t="s">
        <v>77</v>
      </c>
      <c r="B64" s="4" t="s">
        <v>65</v>
      </c>
      <c r="C64" s="234">
        <v>0.0101</v>
      </c>
      <c r="D64" s="234">
        <v>172448.64</v>
      </c>
      <c r="E64" s="17">
        <v>27440.0</v>
      </c>
      <c r="F64" s="17">
        <v>41160.0</v>
      </c>
      <c r="G64" s="6">
        <f t="shared" si="6"/>
        <v>241048.65010000003</v>
      </c>
      <c r="H64" s="233"/>
    </row>
    <row r="65" spans="8:8">
      <c r="A65" s="3" t="s">
        <v>78</v>
      </c>
      <c r="B65" s="4" t="s">
        <v>65</v>
      </c>
      <c r="C65" s="234">
        <v>0.0101</v>
      </c>
      <c r="D65" s="234">
        <v>190794.24000000002</v>
      </c>
      <c r="E65" s="17">
        <v>27440.0</v>
      </c>
      <c r="F65" s="17">
        <v>41160.0</v>
      </c>
      <c r="G65" s="6">
        <f t="shared" si="6"/>
        <v>259394.25010000003</v>
      </c>
      <c r="H65" s="233"/>
    </row>
    <row r="66" spans="8:8">
      <c r="A66" s="3" t="s">
        <v>79</v>
      </c>
      <c r="B66" s="4" t="s">
        <v>65</v>
      </c>
      <c r="C66" s="234">
        <v>0.0101</v>
      </c>
      <c r="D66" s="234">
        <v>210362.88</v>
      </c>
      <c r="E66" s="17">
        <v>27440.0</v>
      </c>
      <c r="F66" s="17">
        <v>41160.0</v>
      </c>
      <c r="G66" s="6">
        <f t="shared" si="6"/>
        <v>278962.8901</v>
      </c>
      <c r="H66" s="233"/>
    </row>
    <row r="67" spans="8:8">
      <c r="A67" s="3" t="s">
        <v>80</v>
      </c>
      <c r="B67" s="4" t="s">
        <v>65</v>
      </c>
      <c r="C67" s="234">
        <v>0.0101</v>
      </c>
      <c r="D67" s="234">
        <v>162052.8</v>
      </c>
      <c r="E67" s="17">
        <v>27440.0</v>
      </c>
      <c r="F67" s="17">
        <v>41160.0</v>
      </c>
      <c r="G67" s="6">
        <f t="shared" si="6"/>
        <v>230652.8101</v>
      </c>
      <c r="H67" s="233"/>
    </row>
    <row r="68" spans="8:8">
      <c r="A68" s="3" t="s">
        <v>81</v>
      </c>
      <c r="B68" s="4" t="s">
        <v>65</v>
      </c>
      <c r="C68" s="234">
        <v>0.0101</v>
      </c>
      <c r="D68" s="234">
        <v>172448.64</v>
      </c>
      <c r="E68" s="17">
        <v>27440.0</v>
      </c>
      <c r="F68" s="17">
        <v>41160.0</v>
      </c>
      <c r="G68" s="6">
        <f t="shared" si="6"/>
        <v>241048.65010000003</v>
      </c>
      <c r="H68" s="233"/>
    </row>
    <row r="69" spans="8:8">
      <c r="A69" s="3" t="s">
        <v>82</v>
      </c>
      <c r="B69" s="4" t="s">
        <v>65</v>
      </c>
      <c r="C69" s="234">
        <v>0.0101</v>
      </c>
      <c r="D69" s="234">
        <v>324105.6</v>
      </c>
      <c r="E69" s="17">
        <v>27440.0</v>
      </c>
      <c r="F69" s="17">
        <v>41160.0</v>
      </c>
      <c r="G69" s="6">
        <f t="shared" si="6"/>
        <v>392705.6101</v>
      </c>
      <c r="H69" s="233"/>
    </row>
    <row r="70" spans="8:8">
      <c r="A70" s="3" t="s">
        <v>83</v>
      </c>
      <c r="B70" s="4" t="s">
        <v>65</v>
      </c>
      <c r="C70" s="234">
        <v>0.0101</v>
      </c>
      <c r="D70" s="234">
        <v>344897.28</v>
      </c>
      <c r="E70" s="17">
        <v>27440.0</v>
      </c>
      <c r="F70" s="17">
        <v>41160.0</v>
      </c>
      <c r="G70" s="6">
        <f t="shared" si="6"/>
        <v>413497.29010000004</v>
      </c>
      <c r="H70" s="233"/>
    </row>
    <row r="71" spans="8:8">
      <c r="A71" s="3" t="s">
        <v>84</v>
      </c>
      <c r="B71" s="4" t="s">
        <v>65</v>
      </c>
      <c r="C71" s="234">
        <v>0.0101</v>
      </c>
      <c r="D71" s="234">
        <v>172448.64</v>
      </c>
      <c r="E71" s="17">
        <v>27440.0</v>
      </c>
      <c r="F71" s="17">
        <v>41160.0</v>
      </c>
      <c r="G71" s="6">
        <f t="shared" si="6"/>
        <v>241048.65010000003</v>
      </c>
      <c r="H71" s="233"/>
    </row>
    <row r="72" spans="8:8">
      <c r="A72" s="3" t="s">
        <v>85</v>
      </c>
      <c r="B72" s="4" t="s">
        <v>65</v>
      </c>
      <c r="C72" s="234">
        <v>0.0101</v>
      </c>
      <c r="D72" s="234">
        <v>344897.28</v>
      </c>
      <c r="E72" s="17">
        <v>27440.0</v>
      </c>
      <c r="F72" s="17">
        <v>41160.0</v>
      </c>
      <c r="G72" s="6">
        <f t="shared" si="6"/>
        <v>413497.29010000004</v>
      </c>
      <c r="H72" s="233"/>
    </row>
    <row r="73" spans="8:8">
      <c r="A73" s="15" t="s">
        <v>86</v>
      </c>
      <c r="B73" s="16" t="s">
        <v>65</v>
      </c>
      <c r="C73" s="234">
        <v>0.0101</v>
      </c>
      <c r="D73" s="234">
        <v>172448.64</v>
      </c>
      <c r="E73" s="17">
        <v>27440.0</v>
      </c>
      <c r="F73" s="17">
        <v>41160.0</v>
      </c>
      <c r="G73" s="6">
        <f t="shared" si="6"/>
        <v>241048.65010000003</v>
      </c>
      <c r="H73" s="233"/>
    </row>
    <row r="74" spans="8:8" s="49" ht="15.0" customFormat="1">
      <c r="A74" s="3" t="s">
        <v>87</v>
      </c>
      <c r="B74" s="4" t="s">
        <v>65</v>
      </c>
      <c r="C74" s="234">
        <v>0.0101</v>
      </c>
      <c r="D74" s="234">
        <v>190794.24000000002</v>
      </c>
      <c r="E74" s="17">
        <v>27440.0</v>
      </c>
      <c r="F74" s="17">
        <v>41160.0</v>
      </c>
      <c r="G74" s="17">
        <f t="shared" si="6"/>
        <v>259394.25010000003</v>
      </c>
      <c r="H74" s="233"/>
      <c r="J74" s="39"/>
    </row>
    <row r="75" spans="8:8">
      <c r="A75" s="3" t="s">
        <v>88</v>
      </c>
      <c r="B75" s="4" t="s">
        <v>65</v>
      </c>
      <c r="C75" s="234">
        <v>0.0101</v>
      </c>
      <c r="D75" s="234">
        <v>210362.88</v>
      </c>
      <c r="E75" s="17">
        <v>27440.0</v>
      </c>
      <c r="F75" s="17">
        <v>41160.0</v>
      </c>
      <c r="G75" s="6">
        <f t="shared" si="6"/>
        <v>278962.8901</v>
      </c>
      <c r="H75" s="233"/>
      <c r="J75" s="49"/>
    </row>
    <row r="76" spans="8:8">
      <c r="A76" s="3" t="s">
        <v>89</v>
      </c>
      <c r="B76" s="4" t="s">
        <v>65</v>
      </c>
      <c r="C76" s="234">
        <v>0.0101</v>
      </c>
      <c r="D76" s="234">
        <v>238492.8</v>
      </c>
      <c r="E76" s="17">
        <v>27440.0</v>
      </c>
      <c r="F76" s="17">
        <v>41160.0</v>
      </c>
      <c r="G76" s="6">
        <f t="shared" si="6"/>
        <v>307092.8101</v>
      </c>
      <c r="H76" s="233"/>
    </row>
    <row r="77" spans="8:8">
      <c r="A77" s="3" t="s">
        <v>90</v>
      </c>
      <c r="B77" s="4" t="s">
        <v>65</v>
      </c>
      <c r="C77" s="234">
        <v>0.0101</v>
      </c>
      <c r="D77" s="234">
        <v>256226.88</v>
      </c>
      <c r="E77" s="17">
        <v>27440.0</v>
      </c>
      <c r="F77" s="17">
        <v>41160.0</v>
      </c>
      <c r="G77" s="6">
        <f t="shared" si="6"/>
        <v>324826.8901</v>
      </c>
      <c r="H77" s="233"/>
    </row>
    <row r="78" spans="8:8">
      <c r="A78" s="3" t="s">
        <v>91</v>
      </c>
      <c r="B78" s="4" t="s">
        <v>65</v>
      </c>
      <c r="C78" s="234">
        <v>0.0101</v>
      </c>
      <c r="D78" s="234">
        <v>271514.88</v>
      </c>
      <c r="E78" s="17">
        <v>27440.0</v>
      </c>
      <c r="F78" s="17">
        <v>41160.0</v>
      </c>
      <c r="G78" s="6">
        <f t="shared" si="6"/>
        <v>340114.8901</v>
      </c>
      <c r="H78" s="233"/>
    </row>
    <row r="79" spans="8:8">
      <c r="A79" s="3" t="s">
        <v>92</v>
      </c>
      <c r="B79" s="4" t="s">
        <v>65</v>
      </c>
      <c r="C79" s="234">
        <v>0.0101</v>
      </c>
      <c r="D79" s="234">
        <v>162052.8</v>
      </c>
      <c r="E79" s="17">
        <v>27440.0</v>
      </c>
      <c r="F79" s="17">
        <v>41160.0</v>
      </c>
      <c r="G79" s="6">
        <f t="shared" si="6"/>
        <v>230652.8101</v>
      </c>
      <c r="H79" s="233"/>
    </row>
    <row r="80" spans="8:8">
      <c r="A80" s="3" t="s">
        <v>93</v>
      </c>
      <c r="B80" s="4" t="s">
        <v>65</v>
      </c>
      <c r="C80" s="234">
        <v>0.0101</v>
      </c>
      <c r="D80" s="234">
        <v>172448.64</v>
      </c>
      <c r="E80" s="17">
        <v>27440.0</v>
      </c>
      <c r="F80" s="17">
        <v>41160.0</v>
      </c>
      <c r="G80" s="6">
        <f t="shared" si="6"/>
        <v>241048.65010000003</v>
      </c>
      <c r="H80" s="233"/>
    </row>
    <row r="81" spans="8:8">
      <c r="A81" s="3" t="s">
        <v>94</v>
      </c>
      <c r="B81" s="4" t="s">
        <v>65</v>
      </c>
      <c r="C81" s="234">
        <v>0.0101</v>
      </c>
      <c r="D81" s="234">
        <v>210362.88</v>
      </c>
      <c r="E81" s="17">
        <v>27440.0</v>
      </c>
      <c r="F81" s="17">
        <v>41160.0</v>
      </c>
      <c r="G81" s="6">
        <f t="shared" si="6"/>
        <v>278962.8901</v>
      </c>
      <c r="H81" s="233"/>
    </row>
    <row r="82" spans="8:8">
      <c r="A82" s="3" t="s">
        <v>95</v>
      </c>
      <c r="B82" s="4" t="s">
        <v>65</v>
      </c>
      <c r="C82" s="234">
        <v>0.0101</v>
      </c>
      <c r="D82" s="234">
        <v>172448.64</v>
      </c>
      <c r="E82" s="17">
        <v>27440.0</v>
      </c>
      <c r="F82" s="17">
        <v>41160.0</v>
      </c>
      <c r="G82" s="6">
        <f t="shared" si="6"/>
        <v>241048.65010000003</v>
      </c>
      <c r="H82" s="233"/>
    </row>
    <row r="83" spans="8:8">
      <c r="A83" s="3" t="s">
        <v>96</v>
      </c>
      <c r="B83" s="4" t="s">
        <v>65</v>
      </c>
      <c r="C83" s="234">
        <v>0.0101</v>
      </c>
      <c r="D83" s="234">
        <v>210362.88</v>
      </c>
      <c r="E83" s="17">
        <v>27440.0</v>
      </c>
      <c r="F83" s="17">
        <v>41160.0</v>
      </c>
      <c r="G83" s="6">
        <f t="shared" si="6"/>
        <v>278962.8901</v>
      </c>
      <c r="H83" s="233"/>
    </row>
    <row r="84" spans="8:8">
      <c r="A84" s="3" t="s">
        <v>97</v>
      </c>
      <c r="B84" s="4" t="s">
        <v>65</v>
      </c>
      <c r="C84" s="234">
        <v>0.0101</v>
      </c>
      <c r="D84" s="234">
        <v>162052.8</v>
      </c>
      <c r="E84" s="17">
        <v>27440.0</v>
      </c>
      <c r="F84" s="17">
        <v>41160.0</v>
      </c>
      <c r="G84" s="6">
        <f t="shared" si="6"/>
        <v>230652.8101</v>
      </c>
      <c r="H84" s="233"/>
    </row>
    <row r="85" spans="8:8">
      <c r="A85" s="15" t="s">
        <v>98</v>
      </c>
      <c r="B85" s="16" t="s">
        <v>65</v>
      </c>
      <c r="C85" s="234">
        <v>0.0101</v>
      </c>
      <c r="D85" s="234">
        <v>172448.64</v>
      </c>
      <c r="E85" s="17">
        <v>27440.0</v>
      </c>
      <c r="F85" s="17">
        <v>41160.0</v>
      </c>
      <c r="G85" s="6">
        <f t="shared" si="6"/>
        <v>241048.65010000003</v>
      </c>
      <c r="H85" s="233"/>
    </row>
    <row r="86" spans="8:8" s="49" ht="15.0" customFormat="1">
      <c r="A86" s="3" t="s">
        <v>99</v>
      </c>
      <c r="B86" s="4" t="s">
        <v>65</v>
      </c>
      <c r="C86" s="234">
        <v>0.0101</v>
      </c>
      <c r="D86" s="234">
        <v>210362.88</v>
      </c>
      <c r="E86" s="17">
        <v>27440.0</v>
      </c>
      <c r="F86" s="17">
        <v>41160.0</v>
      </c>
      <c r="G86" s="17">
        <f t="shared" si="6"/>
        <v>278962.8901</v>
      </c>
      <c r="H86" s="233"/>
      <c r="J86" s="39"/>
    </row>
    <row r="87" spans="8:8">
      <c r="A87" s="3" t="s">
        <v>100</v>
      </c>
      <c r="B87" s="4" t="s">
        <v>65</v>
      </c>
      <c r="C87" s="234">
        <v>0.0101</v>
      </c>
      <c r="D87" s="234">
        <v>256226.88</v>
      </c>
      <c r="E87" s="17">
        <v>27440.0</v>
      </c>
      <c r="F87" s="17">
        <v>41160.0</v>
      </c>
      <c r="G87" s="6">
        <f t="shared" si="6"/>
        <v>324826.8901</v>
      </c>
      <c r="H87" s="233"/>
      <c r="J87" s="49"/>
    </row>
    <row r="88" spans="8:8">
      <c r="A88" s="3" t="s">
        <v>101</v>
      </c>
      <c r="B88" s="4" t="s">
        <v>65</v>
      </c>
      <c r="C88" s="234">
        <v>0.0101</v>
      </c>
      <c r="D88" s="234">
        <v>271514.88</v>
      </c>
      <c r="E88" s="17">
        <v>27440.0</v>
      </c>
      <c r="F88" s="17">
        <v>41160.0</v>
      </c>
      <c r="G88" s="6">
        <f t="shared" si="6"/>
        <v>340114.8901</v>
      </c>
      <c r="H88" s="233"/>
    </row>
    <row r="89" spans="8:8">
      <c r="A89" s="3" t="s">
        <v>102</v>
      </c>
      <c r="B89" s="4" t="s">
        <v>65</v>
      </c>
      <c r="C89" s="234">
        <v>0.0101</v>
      </c>
      <c r="D89" s="234">
        <v>170614.08000000002</v>
      </c>
      <c r="E89" s="17">
        <v>27440.0</v>
      </c>
      <c r="F89" s="17">
        <v>41160.0</v>
      </c>
      <c r="G89" s="6">
        <f t="shared" si="6"/>
        <v>239214.09010000003</v>
      </c>
      <c r="H89" s="233"/>
    </row>
    <row r="90" spans="8:8">
      <c r="A90" s="3" t="s">
        <v>103</v>
      </c>
      <c r="B90" s="4" t="s">
        <v>65</v>
      </c>
      <c r="C90" s="234">
        <v>0.0101</v>
      </c>
      <c r="D90" s="234">
        <v>162052.8</v>
      </c>
      <c r="E90" s="17">
        <v>27440.0</v>
      </c>
      <c r="F90" s="17">
        <v>41160.0</v>
      </c>
      <c r="G90" s="6">
        <f t="shared" si="6"/>
        <v>230652.8101</v>
      </c>
      <c r="H90" s="233"/>
    </row>
    <row r="91" spans="8:8">
      <c r="A91" s="15" t="s">
        <v>104</v>
      </c>
      <c r="B91" s="16" t="s">
        <v>65</v>
      </c>
      <c r="C91" s="234">
        <v>0.0101</v>
      </c>
      <c r="D91" s="234">
        <v>172448.64</v>
      </c>
      <c r="E91" s="17">
        <v>27440.0</v>
      </c>
      <c r="F91" s="17">
        <v>41160.0</v>
      </c>
      <c r="G91" s="6">
        <f t="shared" si="6"/>
        <v>241048.65010000003</v>
      </c>
      <c r="H91" s="233"/>
    </row>
    <row r="92" spans="8:8" s="49" ht="15.0" customFormat="1">
      <c r="A92" s="3" t="s">
        <v>105</v>
      </c>
      <c r="B92" s="4" t="s">
        <v>65</v>
      </c>
      <c r="C92" s="234">
        <v>0.0101</v>
      </c>
      <c r="D92" s="234">
        <v>190794.24000000002</v>
      </c>
      <c r="E92" s="17">
        <v>27440.0</v>
      </c>
      <c r="F92" s="17">
        <v>41160.0</v>
      </c>
      <c r="G92" s="17">
        <f t="shared" si="6"/>
        <v>259394.25010000003</v>
      </c>
      <c r="H92" s="233"/>
      <c r="J92" s="39"/>
    </row>
    <row r="93" spans="8:8">
      <c r="A93" s="3" t="s">
        <v>108</v>
      </c>
      <c r="B93" s="4" t="s">
        <v>65</v>
      </c>
      <c r="C93" s="234">
        <v>0.0101</v>
      </c>
      <c r="D93" s="234">
        <v>172448.64</v>
      </c>
      <c r="E93" s="17">
        <v>27440.0</v>
      </c>
      <c r="F93" s="17">
        <v>41160.0</v>
      </c>
      <c r="G93" s="6">
        <f t="shared" si="6"/>
        <v>241048.65010000003</v>
      </c>
      <c r="H93" s="233"/>
      <c r="J93" s="49"/>
    </row>
    <row r="94" spans="8:8">
      <c r="A94" s="3" t="s">
        <v>109</v>
      </c>
      <c r="B94" s="4" t="s">
        <v>65</v>
      </c>
      <c r="C94" s="234">
        <v>0.0101</v>
      </c>
      <c r="D94" s="234">
        <v>190794.24000000002</v>
      </c>
      <c r="E94" s="17">
        <v>27440.0</v>
      </c>
      <c r="F94" s="17">
        <v>41160.0</v>
      </c>
      <c r="G94" s="6">
        <f t="shared" si="6"/>
        <v>259394.25010000003</v>
      </c>
      <c r="H94" s="233"/>
    </row>
    <row r="95" spans="8:8">
      <c r="A95" s="3" t="s">
        <v>110</v>
      </c>
      <c r="B95" s="4" t="s">
        <v>65</v>
      </c>
      <c r="C95" s="234">
        <v>91728.0</v>
      </c>
      <c r="D95" s="234">
        <v>158383.68</v>
      </c>
      <c r="E95" s="17">
        <v>27440.0</v>
      </c>
      <c r="F95" s="17">
        <v>41160.0</v>
      </c>
      <c r="G95" s="6">
        <f t="shared" si="6"/>
        <v>318711.68</v>
      </c>
      <c r="H95" s="233"/>
    </row>
    <row r="96" spans="8:8">
      <c r="A96" s="3" t="s">
        <v>111</v>
      </c>
      <c r="B96" s="4" t="s">
        <v>65</v>
      </c>
      <c r="C96" s="234">
        <v>0.0101</v>
      </c>
      <c r="D96" s="234">
        <v>162052.8</v>
      </c>
      <c r="E96" s="17">
        <v>27440.0</v>
      </c>
      <c r="F96" s="17">
        <v>41160.0</v>
      </c>
      <c r="G96" s="6">
        <f t="shared" si="6"/>
        <v>230652.8101</v>
      </c>
      <c r="H96" s="233"/>
    </row>
    <row r="97" spans="8:8">
      <c r="A97" s="3" t="s">
        <v>112</v>
      </c>
      <c r="B97" s="4" t="s">
        <v>65</v>
      </c>
      <c r="C97" s="234">
        <v>0.0101</v>
      </c>
      <c r="D97" s="234">
        <v>172448.64</v>
      </c>
      <c r="E97" s="17">
        <v>27440.0</v>
      </c>
      <c r="F97" s="17">
        <v>41160.0</v>
      </c>
      <c r="G97" s="6">
        <f t="shared" si="6"/>
        <v>241048.65010000003</v>
      </c>
      <c r="H97" s="233"/>
    </row>
    <row r="98" spans="8:8">
      <c r="A98" s="3" t="s">
        <v>113</v>
      </c>
      <c r="B98" s="4" t="s">
        <v>65</v>
      </c>
      <c r="C98" s="234">
        <v>0.0101</v>
      </c>
      <c r="D98" s="234">
        <v>190794.24000000002</v>
      </c>
      <c r="E98" s="17">
        <v>27440.0</v>
      </c>
      <c r="F98" s="17">
        <v>41160.0</v>
      </c>
      <c r="G98" s="6">
        <f t="shared" si="6"/>
        <v>259394.25010000003</v>
      </c>
      <c r="H98" s="233"/>
    </row>
    <row r="99" spans="8:8">
      <c r="A99" s="3" t="s">
        <v>114</v>
      </c>
      <c r="B99" s="4" t="s">
        <v>65</v>
      </c>
      <c r="C99" s="234">
        <v>0.0101</v>
      </c>
      <c r="D99" s="234">
        <v>162052.8</v>
      </c>
      <c r="E99" s="17">
        <v>27440.0</v>
      </c>
      <c r="F99" s="17">
        <v>41160.0</v>
      </c>
      <c r="G99" s="6">
        <f t="shared" si="6"/>
        <v>230652.8101</v>
      </c>
      <c r="H99" s="233"/>
    </row>
    <row r="100" spans="8:8">
      <c r="A100" s="3" t="s">
        <v>115</v>
      </c>
      <c r="B100" s="4" t="s">
        <v>65</v>
      </c>
      <c r="C100" s="234">
        <v>0.0101</v>
      </c>
      <c r="D100" s="234">
        <v>172448.64</v>
      </c>
      <c r="E100" s="17">
        <v>27440.0</v>
      </c>
      <c r="F100" s="17">
        <v>41160.0</v>
      </c>
      <c r="G100" s="6">
        <f t="shared" si="6"/>
        <v>241048.65010000003</v>
      </c>
      <c r="H100" s="233"/>
    </row>
    <row r="101" spans="8:8">
      <c r="A101" s="3" t="s">
        <v>116</v>
      </c>
      <c r="B101" s="4" t="s">
        <v>65</v>
      </c>
      <c r="C101" s="234">
        <v>0.0101</v>
      </c>
      <c r="D101" s="234">
        <v>190794.24000000002</v>
      </c>
      <c r="E101" s="17">
        <v>27440.0</v>
      </c>
      <c r="F101" s="17">
        <v>41160.0</v>
      </c>
      <c r="G101" s="6">
        <f t="shared" si="6"/>
        <v>259394.25010000003</v>
      </c>
      <c r="H101" s="233"/>
    </row>
    <row r="102" spans="8:8">
      <c r="A102" s="3" t="s">
        <v>117</v>
      </c>
      <c r="B102" s="4" t="s">
        <v>65</v>
      </c>
      <c r="C102" s="234">
        <v>0.0101</v>
      </c>
      <c r="D102" s="234">
        <v>172448.64</v>
      </c>
      <c r="E102" s="17">
        <v>27440.0</v>
      </c>
      <c r="F102" s="17">
        <v>41160.0</v>
      </c>
      <c r="G102" s="6">
        <f t="shared" si="6"/>
        <v>241048.65010000003</v>
      </c>
      <c r="H102" s="233"/>
    </row>
    <row r="103" spans="8:8">
      <c r="A103" s="3" t="s">
        <v>118</v>
      </c>
      <c r="B103" s="4" t="s">
        <v>65</v>
      </c>
      <c r="C103" s="234">
        <v>0.0101</v>
      </c>
      <c r="D103" s="234">
        <v>162052.8</v>
      </c>
      <c r="E103" s="17">
        <v>27440.0</v>
      </c>
      <c r="F103" s="17">
        <v>41160.0</v>
      </c>
      <c r="G103" s="6">
        <f t="shared" si="6"/>
        <v>230652.8101</v>
      </c>
      <c r="H103" s="233"/>
    </row>
    <row r="104" spans="8:8">
      <c r="A104" s="3" t="s">
        <v>119</v>
      </c>
      <c r="B104" s="4" t="s">
        <v>65</v>
      </c>
      <c r="C104" s="234">
        <v>0.0101</v>
      </c>
      <c r="D104" s="234">
        <v>172448.64</v>
      </c>
      <c r="E104" s="17">
        <v>27440.0</v>
      </c>
      <c r="F104" s="17">
        <v>41160.0</v>
      </c>
      <c r="G104" s="6">
        <f t="shared" si="6"/>
        <v>241048.65010000003</v>
      </c>
      <c r="H104" s="233"/>
    </row>
    <row r="105" spans="8:8">
      <c r="A105" s="3" t="s">
        <v>120</v>
      </c>
      <c r="B105" s="4" t="s">
        <v>65</v>
      </c>
      <c r="C105" s="234">
        <v>0.0101</v>
      </c>
      <c r="D105" s="234">
        <v>324105.6</v>
      </c>
      <c r="E105" s="17">
        <v>27440.0</v>
      </c>
      <c r="F105" s="17">
        <v>41160.0</v>
      </c>
      <c r="G105" s="6">
        <f t="shared" si="6"/>
        <v>392705.6101</v>
      </c>
      <c r="H105" s="233"/>
    </row>
    <row r="106" spans="8:8">
      <c r="A106" s="3" t="s">
        <v>121</v>
      </c>
      <c r="B106" s="4" t="s">
        <v>65</v>
      </c>
      <c r="C106" s="234">
        <v>0.0101</v>
      </c>
      <c r="D106" s="234">
        <v>344897.28</v>
      </c>
      <c r="E106" s="17">
        <v>27440.0</v>
      </c>
      <c r="F106" s="17">
        <v>41160.0</v>
      </c>
      <c r="G106" s="6">
        <f t="shared" si="6"/>
        <v>413497.29010000004</v>
      </c>
      <c r="H106" s="233"/>
    </row>
    <row r="107" spans="8:8">
      <c r="A107" s="3" t="s">
        <v>122</v>
      </c>
      <c r="B107" s="4" t="s">
        <v>65</v>
      </c>
      <c r="C107" s="234">
        <v>0.0101</v>
      </c>
      <c r="D107" s="234">
        <v>162052.8</v>
      </c>
      <c r="E107" s="17">
        <v>27440.0</v>
      </c>
      <c r="F107" s="17">
        <v>41160.0</v>
      </c>
      <c r="G107" s="6">
        <f t="shared" si="6"/>
        <v>230652.8101</v>
      </c>
      <c r="H107" s="233"/>
    </row>
    <row r="108" spans="8:8">
      <c r="A108" s="3" t="s">
        <v>123</v>
      </c>
      <c r="B108" s="4" t="s">
        <v>65</v>
      </c>
      <c r="C108" s="234">
        <v>0.0101</v>
      </c>
      <c r="D108" s="234">
        <v>172448.64</v>
      </c>
      <c r="E108" s="17">
        <v>27440.0</v>
      </c>
      <c r="F108" s="17">
        <v>41160.0</v>
      </c>
      <c r="G108" s="6">
        <f t="shared" si="6"/>
        <v>241048.65010000003</v>
      </c>
      <c r="H108" s="233"/>
    </row>
    <row r="109" spans="8:8">
      <c r="A109" s="3" t="s">
        <v>124</v>
      </c>
      <c r="B109" s="4" t="s">
        <v>65</v>
      </c>
      <c r="C109" s="234">
        <v>0.0101</v>
      </c>
      <c r="D109" s="234">
        <v>190794.24000000002</v>
      </c>
      <c r="E109" s="17">
        <v>27440.0</v>
      </c>
      <c r="F109" s="17">
        <v>41160.0</v>
      </c>
      <c r="G109" s="6">
        <f t="shared" si="6"/>
        <v>259394.25010000003</v>
      </c>
      <c r="H109" s="233"/>
    </row>
    <row r="110" spans="8:8">
      <c r="A110" s="3" t="s">
        <v>125</v>
      </c>
      <c r="B110" s="4" t="s">
        <v>65</v>
      </c>
      <c r="C110" s="234">
        <v>0.0101</v>
      </c>
      <c r="D110" s="234">
        <v>210362.88</v>
      </c>
      <c r="E110" s="17">
        <v>27440.0</v>
      </c>
      <c r="F110" s="17">
        <v>41160.0</v>
      </c>
      <c r="G110" s="6">
        <f t="shared" si="6"/>
        <v>278962.8901</v>
      </c>
      <c r="H110" s="233"/>
    </row>
    <row r="111" spans="8:8">
      <c r="A111" s="3" t="s">
        <v>126</v>
      </c>
      <c r="B111" s="4" t="s">
        <v>65</v>
      </c>
      <c r="C111" s="234">
        <v>0.0101</v>
      </c>
      <c r="D111" s="234">
        <v>238492.8</v>
      </c>
      <c r="E111" s="17">
        <v>27440.0</v>
      </c>
      <c r="F111" s="17">
        <v>41160.0</v>
      </c>
      <c r="G111" s="6">
        <f t="shared" si="6"/>
        <v>307092.8101</v>
      </c>
      <c r="H111" s="233"/>
    </row>
    <row r="112" spans="8:8">
      <c r="A112" s="3" t="s">
        <v>127</v>
      </c>
      <c r="B112" s="4" t="s">
        <v>65</v>
      </c>
      <c r="C112" s="234">
        <v>0.0101</v>
      </c>
      <c r="D112" s="234">
        <v>324105.6</v>
      </c>
      <c r="E112" s="17">
        <v>27440.0</v>
      </c>
      <c r="F112" s="17">
        <v>41160.0</v>
      </c>
      <c r="G112" s="6">
        <f t="shared" si="6"/>
        <v>392705.6101</v>
      </c>
      <c r="H112" s="233"/>
    </row>
    <row r="113" spans="8:8">
      <c r="A113" s="3" t="s">
        <v>128</v>
      </c>
      <c r="B113" s="4" t="s">
        <v>65</v>
      </c>
      <c r="C113" s="234">
        <v>0.0101</v>
      </c>
      <c r="D113" s="234">
        <v>344897.28</v>
      </c>
      <c r="E113" s="17">
        <v>27440.0</v>
      </c>
      <c r="F113" s="17">
        <v>41160.0</v>
      </c>
      <c r="G113" s="6">
        <f t="shared" si="6"/>
        <v>413497.29010000004</v>
      </c>
      <c r="H113" s="233"/>
    </row>
    <row r="114" spans="8:8">
      <c r="A114" s="3" t="s">
        <v>129</v>
      </c>
      <c r="B114" s="4" t="s">
        <v>65</v>
      </c>
      <c r="C114" s="234">
        <v>0.0101</v>
      </c>
      <c r="D114" s="234">
        <v>381588.48000000004</v>
      </c>
      <c r="E114" s="17">
        <v>27440.0</v>
      </c>
      <c r="F114" s="17">
        <v>41160.0</v>
      </c>
      <c r="G114" s="6">
        <f t="shared" si="6"/>
        <v>450188.49010000005</v>
      </c>
      <c r="H114" s="233"/>
    </row>
    <row r="115" spans="8:8">
      <c r="A115" s="3" t="s">
        <v>130</v>
      </c>
      <c r="B115" s="4" t="s">
        <v>65</v>
      </c>
      <c r="C115" s="234">
        <v>0.0101</v>
      </c>
      <c r="D115" s="234">
        <v>420725.76</v>
      </c>
      <c r="E115" s="17">
        <v>27440.0</v>
      </c>
      <c r="F115" s="17">
        <v>41160.0</v>
      </c>
      <c r="G115" s="6">
        <f t="shared" si="6"/>
        <v>489325.7701</v>
      </c>
      <c r="H115" s="233"/>
    </row>
    <row r="116" spans="8:8">
      <c r="A116" s="3" t="s">
        <v>131</v>
      </c>
      <c r="B116" s="4" t="s">
        <v>65</v>
      </c>
      <c r="C116" s="234">
        <v>0.0101</v>
      </c>
      <c r="D116" s="234">
        <v>476985.6</v>
      </c>
      <c r="E116" s="17">
        <v>27440.0</v>
      </c>
      <c r="F116" s="17">
        <v>41160.0</v>
      </c>
      <c r="G116" s="6">
        <f t="shared" si="6"/>
        <v>545585.6100999999</v>
      </c>
      <c r="H116" s="233"/>
    </row>
    <row r="117" spans="8:8">
      <c r="A117" s="3" t="s">
        <v>132</v>
      </c>
      <c r="B117" s="4" t="s">
        <v>65</v>
      </c>
      <c r="C117" s="234">
        <v>0.0101</v>
      </c>
      <c r="D117" s="234">
        <v>162052.8</v>
      </c>
      <c r="E117" s="17">
        <v>27440.0</v>
      </c>
      <c r="F117" s="17">
        <v>41160.0</v>
      </c>
      <c r="G117" s="6">
        <f t="shared" si="6"/>
        <v>230652.8101</v>
      </c>
      <c r="H117" s="233"/>
    </row>
    <row r="118" spans="8:8">
      <c r="A118" s="3" t="s">
        <v>133</v>
      </c>
      <c r="B118" s="4" t="s">
        <v>65</v>
      </c>
      <c r="C118" s="234">
        <v>0.0101</v>
      </c>
      <c r="D118" s="234">
        <v>172448.64</v>
      </c>
      <c r="E118" s="17">
        <v>27440.0</v>
      </c>
      <c r="F118" s="17">
        <v>41160.0</v>
      </c>
      <c r="G118" s="6">
        <f t="shared" si="6"/>
        <v>241048.65010000003</v>
      </c>
      <c r="H118" s="233"/>
    </row>
    <row r="119" spans="8:8">
      <c r="A119" s="3" t="s">
        <v>134</v>
      </c>
      <c r="B119" s="4" t="s">
        <v>65</v>
      </c>
      <c r="C119" s="234">
        <v>0.0101</v>
      </c>
      <c r="D119" s="234">
        <v>190794.24000000002</v>
      </c>
      <c r="E119" s="17">
        <v>27440.0</v>
      </c>
      <c r="F119" s="17">
        <v>41160.0</v>
      </c>
      <c r="G119" s="6">
        <f t="shared" si="6"/>
        <v>259394.25010000003</v>
      </c>
      <c r="H119" s="233"/>
    </row>
    <row r="120" spans="8:8">
      <c r="A120" s="3" t="s">
        <v>135</v>
      </c>
      <c r="B120" s="4" t="s">
        <v>65</v>
      </c>
      <c r="C120" s="234">
        <v>0.0101</v>
      </c>
      <c r="D120" s="234">
        <v>162052.8</v>
      </c>
      <c r="E120" s="17">
        <v>27440.0</v>
      </c>
      <c r="F120" s="17">
        <v>41160.0</v>
      </c>
      <c r="G120" s="6">
        <f t="shared" si="6"/>
        <v>230652.8101</v>
      </c>
      <c r="H120" s="233"/>
    </row>
    <row r="121" spans="8:8">
      <c r="A121" s="3" t="s">
        <v>136</v>
      </c>
      <c r="B121" s="4" t="s">
        <v>65</v>
      </c>
      <c r="C121" s="234">
        <v>0.0101</v>
      </c>
      <c r="D121" s="234">
        <v>172448.64</v>
      </c>
      <c r="E121" s="17">
        <v>27440.0</v>
      </c>
      <c r="F121" s="17">
        <v>41160.0</v>
      </c>
      <c r="G121" s="6">
        <f t="shared" si="6"/>
        <v>241048.65010000003</v>
      </c>
      <c r="H121" s="233"/>
    </row>
    <row r="122" spans="8:8">
      <c r="A122" s="3" t="s">
        <v>137</v>
      </c>
      <c r="B122" s="4" t="s">
        <v>65</v>
      </c>
      <c r="C122" s="234">
        <v>0.0101</v>
      </c>
      <c r="D122" s="234">
        <v>324105.6</v>
      </c>
      <c r="E122" s="17">
        <v>27440.0</v>
      </c>
      <c r="F122" s="17">
        <v>41160.0</v>
      </c>
      <c r="G122" s="6">
        <f t="shared" si="6"/>
        <v>392705.6101</v>
      </c>
      <c r="H122" s="233"/>
    </row>
    <row r="123" spans="8:8">
      <c r="A123" s="3" t="s">
        <v>138</v>
      </c>
      <c r="B123" s="4" t="s">
        <v>65</v>
      </c>
      <c r="C123" s="234">
        <v>0.0101</v>
      </c>
      <c r="D123" s="234">
        <v>344897.28</v>
      </c>
      <c r="E123" s="17">
        <v>27440.0</v>
      </c>
      <c r="F123" s="17">
        <v>41160.0</v>
      </c>
      <c r="G123" s="6">
        <f t="shared" si="6"/>
        <v>413497.29010000004</v>
      </c>
      <c r="H123" s="233"/>
    </row>
    <row r="124" spans="8:8">
      <c r="A124" s="3" t="s">
        <v>139</v>
      </c>
      <c r="B124" s="4" t="s">
        <v>65</v>
      </c>
      <c r="C124" s="234">
        <v>0.0101</v>
      </c>
      <c r="D124" s="234">
        <v>162052.8</v>
      </c>
      <c r="E124" s="17">
        <v>27440.0</v>
      </c>
      <c r="F124" s="17">
        <v>41160.0</v>
      </c>
      <c r="G124" s="6">
        <f t="shared" si="6"/>
        <v>230652.8101</v>
      </c>
      <c r="H124" s="233"/>
    </row>
    <row r="125" spans="8:8">
      <c r="A125" s="3" t="s">
        <v>140</v>
      </c>
      <c r="B125" s="4" t="s">
        <v>65</v>
      </c>
      <c r="C125" s="234">
        <v>0.0101</v>
      </c>
      <c r="D125" s="234">
        <v>172448.64</v>
      </c>
      <c r="E125" s="17">
        <v>27440.0</v>
      </c>
      <c r="F125" s="17">
        <v>41160.0</v>
      </c>
      <c r="G125" s="6">
        <f t="shared" si="6"/>
        <v>241048.65010000003</v>
      </c>
      <c r="H125" s="233"/>
    </row>
    <row r="126" spans="8:8">
      <c r="A126" s="3" t="s">
        <v>141</v>
      </c>
      <c r="B126" s="4" t="s">
        <v>65</v>
      </c>
      <c r="C126" s="234">
        <v>0.0101</v>
      </c>
      <c r="D126" s="234">
        <v>190794.24000000002</v>
      </c>
      <c r="E126" s="17">
        <v>27440.0</v>
      </c>
      <c r="F126" s="17">
        <v>41160.0</v>
      </c>
      <c r="G126" s="6">
        <f t="shared" si="6"/>
        <v>259394.25010000003</v>
      </c>
      <c r="H126" s="233"/>
    </row>
    <row r="127" spans="8:8">
      <c r="A127" s="3" t="s">
        <v>142</v>
      </c>
      <c r="B127" s="4" t="s">
        <v>65</v>
      </c>
      <c r="C127" s="234">
        <v>0.0101</v>
      </c>
      <c r="D127" s="234">
        <v>324105.6</v>
      </c>
      <c r="E127" s="17">
        <v>27440.0</v>
      </c>
      <c r="F127" s="17">
        <v>41160.0</v>
      </c>
      <c r="G127" s="6">
        <f t="shared" si="7" ref="G127:G182">SUM(C127:F127)</f>
        <v>392705.6101</v>
      </c>
      <c r="H127" s="233"/>
    </row>
    <row r="128" spans="8:8">
      <c r="A128" s="3" t="s">
        <v>143</v>
      </c>
      <c r="B128" s="4" t="s">
        <v>65</v>
      </c>
      <c r="C128" s="234">
        <v>0.0101</v>
      </c>
      <c r="D128" s="234">
        <v>344897.28</v>
      </c>
      <c r="E128" s="17">
        <v>27440.0</v>
      </c>
      <c r="F128" s="17">
        <v>41160.0</v>
      </c>
      <c r="G128" s="6">
        <f t="shared" si="7"/>
        <v>413497.29010000004</v>
      </c>
      <c r="H128" s="233"/>
    </row>
    <row r="129" spans="8:8">
      <c r="A129" s="3" t="s">
        <v>144</v>
      </c>
      <c r="B129" s="4" t="s">
        <v>65</v>
      </c>
      <c r="C129" s="234">
        <v>0.0101</v>
      </c>
      <c r="D129" s="234">
        <v>381588.48000000004</v>
      </c>
      <c r="E129" s="17">
        <v>27440.0</v>
      </c>
      <c r="F129" s="17">
        <v>41160.0</v>
      </c>
      <c r="G129" s="6">
        <f t="shared" si="7"/>
        <v>450188.49010000005</v>
      </c>
      <c r="H129" s="233"/>
    </row>
    <row r="130" spans="8:8">
      <c r="A130" s="3" t="s">
        <v>145</v>
      </c>
      <c r="B130" s="4" t="s">
        <v>65</v>
      </c>
      <c r="C130" s="234">
        <v>0.0101</v>
      </c>
      <c r="D130" s="234">
        <v>162052.8</v>
      </c>
      <c r="E130" s="17">
        <v>27440.0</v>
      </c>
      <c r="F130" s="17">
        <v>41160.0</v>
      </c>
      <c r="G130" s="6">
        <f t="shared" si="7"/>
        <v>230652.8101</v>
      </c>
      <c r="H130" s="233"/>
    </row>
    <row r="131" spans="8:8">
      <c r="A131" s="3" t="s">
        <v>146</v>
      </c>
      <c r="B131" s="4" t="s">
        <v>65</v>
      </c>
      <c r="C131" s="234">
        <v>0.0101</v>
      </c>
      <c r="D131" s="234">
        <v>172448.64</v>
      </c>
      <c r="E131" s="17">
        <v>27440.0</v>
      </c>
      <c r="F131" s="17">
        <v>41160.0</v>
      </c>
      <c r="G131" s="6">
        <f t="shared" si="7"/>
        <v>241048.65010000003</v>
      </c>
      <c r="H131" s="233"/>
    </row>
    <row r="132" spans="8:8">
      <c r="A132" s="3" t="s">
        <v>147</v>
      </c>
      <c r="B132" s="4" t="s">
        <v>65</v>
      </c>
      <c r="C132" s="234">
        <v>0.0101</v>
      </c>
      <c r="D132" s="234">
        <v>190794.24000000002</v>
      </c>
      <c r="E132" s="17">
        <v>27440.0</v>
      </c>
      <c r="F132" s="17">
        <v>41160.0</v>
      </c>
      <c r="G132" s="6">
        <f t="shared" si="7"/>
        <v>259394.25010000003</v>
      </c>
      <c r="H132" s="233"/>
    </row>
    <row r="133" spans="8:8">
      <c r="A133" s="3" t="s">
        <v>148</v>
      </c>
      <c r="B133" s="4" t="s">
        <v>65</v>
      </c>
      <c r="C133" s="234">
        <v>0.0101</v>
      </c>
      <c r="D133" s="234">
        <v>172448.64</v>
      </c>
      <c r="E133" s="17">
        <v>27440.0</v>
      </c>
      <c r="F133" s="17">
        <v>41160.0</v>
      </c>
      <c r="G133" s="6">
        <f t="shared" si="7"/>
        <v>241048.65010000003</v>
      </c>
      <c r="H133" s="233"/>
    </row>
    <row r="134" spans="8:8">
      <c r="A134" s="3" t="s">
        <v>149</v>
      </c>
      <c r="B134" s="4" t="s">
        <v>65</v>
      </c>
      <c r="C134" s="234">
        <v>0.0101</v>
      </c>
      <c r="D134" s="234">
        <v>190794.24000000002</v>
      </c>
      <c r="E134" s="17">
        <v>27440.0</v>
      </c>
      <c r="F134" s="17">
        <v>41160.0</v>
      </c>
      <c r="G134" s="6">
        <f t="shared" si="7"/>
        <v>259394.25010000003</v>
      </c>
      <c r="H134" s="233"/>
    </row>
    <row r="135" spans="8:8">
      <c r="A135" s="3" t="s">
        <v>150</v>
      </c>
      <c r="B135" s="4" t="s">
        <v>65</v>
      </c>
      <c r="C135" s="234">
        <v>0.0101</v>
      </c>
      <c r="D135" s="234">
        <v>256226.88</v>
      </c>
      <c r="E135" s="17">
        <v>27440.0</v>
      </c>
      <c r="F135" s="17">
        <v>41160.0</v>
      </c>
      <c r="G135" s="6">
        <f t="shared" si="7"/>
        <v>324826.8901</v>
      </c>
      <c r="H135" s="233"/>
    </row>
    <row r="136" spans="8:8">
      <c r="A136" s="3" t="s">
        <v>151</v>
      </c>
      <c r="B136" s="4" t="s">
        <v>65</v>
      </c>
      <c r="C136" s="234">
        <v>0.0101</v>
      </c>
      <c r="D136" s="234">
        <v>344897.28</v>
      </c>
      <c r="E136" s="17">
        <v>27440.0</v>
      </c>
      <c r="F136" s="17">
        <v>41160.0</v>
      </c>
      <c r="G136" s="6">
        <f t="shared" si="7"/>
        <v>413497.29010000004</v>
      </c>
      <c r="H136" s="233"/>
    </row>
    <row r="137" spans="8:8">
      <c r="A137" s="3" t="s">
        <v>152</v>
      </c>
      <c r="B137" s="4" t="s">
        <v>65</v>
      </c>
      <c r="C137" s="234">
        <v>0.0101</v>
      </c>
      <c r="D137" s="234">
        <v>381588.48000000004</v>
      </c>
      <c r="E137" s="17">
        <v>27440.0</v>
      </c>
      <c r="F137" s="17">
        <v>41160.0</v>
      </c>
      <c r="G137" s="6">
        <f t="shared" si="7"/>
        <v>450188.49010000005</v>
      </c>
      <c r="H137" s="233"/>
    </row>
    <row r="138" spans="8:8">
      <c r="A138" s="3" t="s">
        <v>153</v>
      </c>
      <c r="B138" s="4" t="s">
        <v>65</v>
      </c>
      <c r="C138" s="234">
        <v>0.0101</v>
      </c>
      <c r="D138" s="234">
        <v>794976.0</v>
      </c>
      <c r="E138" s="17">
        <v>27440.0</v>
      </c>
      <c r="F138" s="17">
        <v>41160.0</v>
      </c>
      <c r="G138" s="6">
        <f t="shared" si="7"/>
        <v>863576.0101</v>
      </c>
      <c r="H138" s="233"/>
    </row>
    <row r="139" spans="8:8">
      <c r="A139" s="3" t="s">
        <v>154</v>
      </c>
      <c r="B139" s="4" t="s">
        <v>65</v>
      </c>
      <c r="C139" s="234">
        <v>0.0101</v>
      </c>
      <c r="D139" s="234">
        <v>152880.0</v>
      </c>
      <c r="E139" s="17">
        <v>27440.0</v>
      </c>
      <c r="F139" s="17">
        <v>41160.0</v>
      </c>
      <c r="G139" s="6">
        <f t="shared" si="7"/>
        <v>221480.0101</v>
      </c>
      <c r="H139" s="233"/>
    </row>
    <row r="140" spans="8:8">
      <c r="A140" s="3" t="s">
        <v>155</v>
      </c>
      <c r="B140" s="4" t="s">
        <v>65</v>
      </c>
      <c r="C140" s="234">
        <v>0.0101</v>
      </c>
      <c r="D140" s="234">
        <v>162052.8</v>
      </c>
      <c r="E140" s="17">
        <v>27440.0</v>
      </c>
      <c r="F140" s="17">
        <v>41160.0</v>
      </c>
      <c r="G140" s="6">
        <f t="shared" si="7"/>
        <v>230652.8101</v>
      </c>
      <c r="H140" s="233"/>
    </row>
    <row r="141" spans="8:8">
      <c r="A141" s="3" t="s">
        <v>156</v>
      </c>
      <c r="B141" s="4" t="s">
        <v>65</v>
      </c>
      <c r="C141" s="234">
        <v>0.0101</v>
      </c>
      <c r="D141" s="234">
        <v>172448.64</v>
      </c>
      <c r="E141" s="17">
        <v>27440.0</v>
      </c>
      <c r="F141" s="17">
        <v>41160.0</v>
      </c>
      <c r="G141" s="6">
        <f t="shared" si="7"/>
        <v>241048.65010000003</v>
      </c>
      <c r="H141" s="233"/>
    </row>
    <row r="142" spans="8:8">
      <c r="A142" s="3" t="s">
        <v>157</v>
      </c>
      <c r="B142" s="4" t="s">
        <v>65</v>
      </c>
      <c r="C142" s="234">
        <v>0.0101</v>
      </c>
      <c r="D142" s="234">
        <v>162052.8</v>
      </c>
      <c r="E142" s="17">
        <v>27440.0</v>
      </c>
      <c r="F142" s="17">
        <v>41160.0</v>
      </c>
      <c r="G142" s="6">
        <f t="shared" si="7"/>
        <v>230652.8101</v>
      </c>
      <c r="H142" s="233"/>
    </row>
    <row r="143" spans="8:8">
      <c r="A143" s="3" t="s">
        <v>158</v>
      </c>
      <c r="B143" s="4" t="s">
        <v>65</v>
      </c>
      <c r="C143" s="234">
        <v>0.0101</v>
      </c>
      <c r="D143" s="234">
        <v>172448.64</v>
      </c>
      <c r="E143" s="17">
        <v>27440.0</v>
      </c>
      <c r="F143" s="17">
        <v>41160.0</v>
      </c>
      <c r="G143" s="6">
        <f t="shared" si="7"/>
        <v>241048.65010000003</v>
      </c>
      <c r="H143" s="233"/>
    </row>
    <row r="144" spans="8:8">
      <c r="A144" s="3" t="s">
        <v>159</v>
      </c>
      <c r="B144" s="4" t="s">
        <v>65</v>
      </c>
      <c r="C144" s="234">
        <v>0.0101</v>
      </c>
      <c r="D144" s="234">
        <v>190794.24000000002</v>
      </c>
      <c r="E144" s="17">
        <v>27440.0</v>
      </c>
      <c r="F144" s="17">
        <v>41160.0</v>
      </c>
      <c r="G144" s="6">
        <f t="shared" si="7"/>
        <v>259394.25010000003</v>
      </c>
      <c r="H144" s="233"/>
    </row>
    <row r="145" spans="8:8">
      <c r="A145" s="3" t="s">
        <v>160</v>
      </c>
      <c r="B145" s="4" t="s">
        <v>65</v>
      </c>
      <c r="C145" s="234">
        <v>0.0101</v>
      </c>
      <c r="D145" s="234">
        <v>172448.64</v>
      </c>
      <c r="E145" s="17">
        <v>27440.0</v>
      </c>
      <c r="F145" s="17">
        <v>41160.0</v>
      </c>
      <c r="G145" s="6">
        <f t="shared" si="7"/>
        <v>241048.65010000003</v>
      </c>
      <c r="H145" s="233"/>
    </row>
    <row r="146" spans="8:8">
      <c r="A146" s="3" t="s">
        <v>161</v>
      </c>
      <c r="B146" s="4" t="s">
        <v>65</v>
      </c>
      <c r="C146" s="234">
        <v>0.0101</v>
      </c>
      <c r="D146" s="234">
        <v>190794.24000000002</v>
      </c>
      <c r="E146" s="17">
        <v>27440.0</v>
      </c>
      <c r="F146" s="17">
        <v>41160.0</v>
      </c>
      <c r="G146" s="6">
        <f t="shared" si="7"/>
        <v>259394.25010000003</v>
      </c>
      <c r="H146" s="233"/>
    </row>
    <row r="147" spans="8:8">
      <c r="A147" s="3" t="s">
        <v>162</v>
      </c>
      <c r="B147" s="4" t="s">
        <v>65</v>
      </c>
      <c r="C147" s="234">
        <v>0.0101</v>
      </c>
      <c r="D147" s="234">
        <v>344897.28</v>
      </c>
      <c r="E147" s="17">
        <v>27440.0</v>
      </c>
      <c r="F147" s="17">
        <v>41160.0</v>
      </c>
      <c r="G147" s="6">
        <f t="shared" si="7"/>
        <v>413497.29010000004</v>
      </c>
      <c r="H147" s="233"/>
    </row>
    <row r="148" spans="8:8">
      <c r="A148" s="3" t="s">
        <v>163</v>
      </c>
      <c r="B148" s="4" t="s">
        <v>65</v>
      </c>
      <c r="C148" s="234">
        <v>0.0101</v>
      </c>
      <c r="D148" s="234">
        <v>381588.48000000004</v>
      </c>
      <c r="E148" s="17">
        <v>27440.0</v>
      </c>
      <c r="F148" s="17">
        <v>41160.0</v>
      </c>
      <c r="G148" s="6">
        <f t="shared" si="7"/>
        <v>450188.49010000005</v>
      </c>
      <c r="H148" s="233"/>
    </row>
    <row r="149" spans="8:8">
      <c r="A149" s="3" t="s">
        <v>164</v>
      </c>
      <c r="B149" s="4" t="s">
        <v>65</v>
      </c>
      <c r="C149" s="234">
        <v>0.0101</v>
      </c>
      <c r="D149" s="234">
        <v>149210.88</v>
      </c>
      <c r="E149" s="17">
        <v>27440.0</v>
      </c>
      <c r="F149" s="17">
        <v>41160.0</v>
      </c>
      <c r="G149" s="6">
        <f t="shared" si="7"/>
        <v>217810.89010000002</v>
      </c>
      <c r="H149" s="233"/>
    </row>
    <row r="150" spans="8:8">
      <c r="A150" s="3" t="s">
        <v>165</v>
      </c>
      <c r="B150" s="4" t="s">
        <v>65</v>
      </c>
      <c r="C150" s="234">
        <v>0.0101</v>
      </c>
      <c r="D150" s="234">
        <v>167556.48</v>
      </c>
      <c r="E150" s="17">
        <v>27440.0</v>
      </c>
      <c r="F150" s="17">
        <v>41160.0</v>
      </c>
      <c r="G150" s="6">
        <f t="shared" si="7"/>
        <v>236156.49010000002</v>
      </c>
      <c r="H150" s="233"/>
    </row>
    <row r="151" spans="8:8">
      <c r="A151" s="3" t="s">
        <v>166</v>
      </c>
      <c r="B151" s="4" t="s">
        <v>65</v>
      </c>
      <c r="C151" s="234">
        <v>0.0101</v>
      </c>
      <c r="D151" s="234">
        <v>162052.8</v>
      </c>
      <c r="E151" s="17">
        <v>27440.0</v>
      </c>
      <c r="F151" s="17">
        <v>41160.0</v>
      </c>
      <c r="G151" s="6">
        <f t="shared" si="7"/>
        <v>230652.8101</v>
      </c>
      <c r="H151" s="233"/>
    </row>
    <row r="152" spans="8:8">
      <c r="A152" s="3" t="s">
        <v>167</v>
      </c>
      <c r="B152" s="4" t="s">
        <v>65</v>
      </c>
      <c r="C152" s="234">
        <v>0.0101</v>
      </c>
      <c r="D152" s="234">
        <v>172448.64</v>
      </c>
      <c r="E152" s="17">
        <v>27440.0</v>
      </c>
      <c r="F152" s="17">
        <v>41160.0</v>
      </c>
      <c r="G152" s="6">
        <f t="shared" si="7"/>
        <v>241048.65010000003</v>
      </c>
      <c r="H152" s="233"/>
    </row>
    <row r="153" spans="8:8">
      <c r="A153" s="3" t="s">
        <v>168</v>
      </c>
      <c r="B153" s="4" t="s">
        <v>65</v>
      </c>
      <c r="C153" s="234">
        <v>0.0101</v>
      </c>
      <c r="D153" s="234">
        <v>324105.6</v>
      </c>
      <c r="E153" s="17">
        <v>27440.0</v>
      </c>
      <c r="F153" s="17">
        <v>41160.0</v>
      </c>
      <c r="G153" s="6">
        <f t="shared" si="7"/>
        <v>392705.6101</v>
      </c>
      <c r="H153" s="233"/>
    </row>
    <row r="154" spans="8:8">
      <c r="A154" s="3" t="s">
        <v>169</v>
      </c>
      <c r="B154" s="4" t="s">
        <v>65</v>
      </c>
      <c r="C154" s="234">
        <v>0.0101</v>
      </c>
      <c r="D154" s="234">
        <v>344897.28</v>
      </c>
      <c r="E154" s="17">
        <v>27440.0</v>
      </c>
      <c r="F154" s="17">
        <v>41160.0</v>
      </c>
      <c r="G154" s="6">
        <f t="shared" si="7"/>
        <v>413497.29010000004</v>
      </c>
      <c r="H154" s="233"/>
    </row>
    <row r="155" spans="8:8">
      <c r="A155" s="3" t="s">
        <v>170</v>
      </c>
      <c r="B155" s="4" t="s">
        <v>65</v>
      </c>
      <c r="C155" s="234">
        <v>0.0101</v>
      </c>
      <c r="D155" s="234">
        <v>162052.8</v>
      </c>
      <c r="E155" s="17">
        <v>27440.0</v>
      </c>
      <c r="F155" s="17">
        <v>41160.0</v>
      </c>
      <c r="G155" s="6">
        <f t="shared" si="7"/>
        <v>230652.8101</v>
      </c>
      <c r="H155" s="233"/>
    </row>
    <row r="156" spans="8:8">
      <c r="A156" s="3" t="s">
        <v>171</v>
      </c>
      <c r="B156" s="4" t="s">
        <v>65</v>
      </c>
      <c r="C156" s="234">
        <v>0.0101</v>
      </c>
      <c r="D156" s="234">
        <v>172448.64</v>
      </c>
      <c r="E156" s="17">
        <v>27440.0</v>
      </c>
      <c r="F156" s="17">
        <v>41160.0</v>
      </c>
      <c r="G156" s="6">
        <f t="shared" si="7"/>
        <v>241048.65010000003</v>
      </c>
      <c r="H156" s="233"/>
    </row>
    <row r="157" spans="8:8">
      <c r="A157" s="3" t="s">
        <v>172</v>
      </c>
      <c r="B157" s="4" t="s">
        <v>65</v>
      </c>
      <c r="C157" s="234">
        <v>0.0101</v>
      </c>
      <c r="D157" s="234">
        <v>190794.24000000002</v>
      </c>
      <c r="E157" s="17">
        <v>27440.0</v>
      </c>
      <c r="F157" s="17">
        <v>41160.0</v>
      </c>
      <c r="G157" s="6">
        <f t="shared" si="7"/>
        <v>259394.25010000003</v>
      </c>
      <c r="H157" s="233"/>
    </row>
    <row r="158" spans="8:8">
      <c r="A158" s="3" t="s">
        <v>173</v>
      </c>
      <c r="B158" s="4" t="s">
        <v>65</v>
      </c>
      <c r="C158" s="234">
        <v>0.0101</v>
      </c>
      <c r="D158" s="234">
        <v>324105.6</v>
      </c>
      <c r="E158" s="17">
        <v>27440.0</v>
      </c>
      <c r="F158" s="17">
        <v>41160.0</v>
      </c>
      <c r="G158" s="6">
        <f t="shared" si="7"/>
        <v>392705.6101</v>
      </c>
      <c r="H158" s="233"/>
    </row>
    <row r="159" spans="8:8">
      <c r="A159" s="3" t="s">
        <v>174</v>
      </c>
      <c r="B159" s="4" t="s">
        <v>65</v>
      </c>
      <c r="C159" s="234">
        <v>0.0101</v>
      </c>
      <c r="D159" s="234">
        <v>344897.28</v>
      </c>
      <c r="E159" s="17">
        <v>27440.0</v>
      </c>
      <c r="F159" s="17">
        <v>41160.0</v>
      </c>
      <c r="G159" s="6">
        <f t="shared" si="7"/>
        <v>413497.29010000004</v>
      </c>
      <c r="H159" s="233"/>
    </row>
    <row r="160" spans="8:8">
      <c r="A160" s="3" t="s">
        <v>175</v>
      </c>
      <c r="B160" s="4" t="s">
        <v>65</v>
      </c>
      <c r="C160" s="234">
        <v>0.0101</v>
      </c>
      <c r="D160" s="234">
        <v>381588.48000000004</v>
      </c>
      <c r="E160" s="17">
        <v>27440.0</v>
      </c>
      <c r="F160" s="17">
        <v>41160.0</v>
      </c>
      <c r="G160" s="6">
        <f t="shared" si="7"/>
        <v>450188.49010000005</v>
      </c>
      <c r="H160" s="233"/>
    </row>
    <row r="161" spans="8:8">
      <c r="A161" s="3" t="s">
        <v>176</v>
      </c>
      <c r="B161" s="4" t="s">
        <v>65</v>
      </c>
      <c r="C161" s="234">
        <v>0.0101</v>
      </c>
      <c r="D161" s="234">
        <v>151045.44</v>
      </c>
      <c r="E161" s="17">
        <v>27440.0</v>
      </c>
      <c r="F161" s="17">
        <v>41160.0</v>
      </c>
      <c r="G161" s="6">
        <f t="shared" si="7"/>
        <v>219645.45010000002</v>
      </c>
      <c r="H161" s="233"/>
    </row>
    <row r="162" spans="8:8">
      <c r="A162" s="3" t="s">
        <v>177</v>
      </c>
      <c r="B162" s="4" t="s">
        <v>65</v>
      </c>
      <c r="C162" s="234">
        <v>0.0101</v>
      </c>
      <c r="D162" s="234">
        <v>190794.24000000002</v>
      </c>
      <c r="E162" s="17">
        <v>27440.0</v>
      </c>
      <c r="F162" s="17">
        <v>41160.0</v>
      </c>
      <c r="G162" s="6">
        <f t="shared" si="7"/>
        <v>259394.25010000003</v>
      </c>
      <c r="H162" s="233"/>
    </row>
    <row r="163" spans="8:8">
      <c r="A163" s="3" t="s">
        <v>178</v>
      </c>
      <c r="B163" s="4" t="s">
        <v>65</v>
      </c>
      <c r="C163" s="234">
        <v>110073.6</v>
      </c>
      <c r="D163" s="234">
        <v>2866194.24</v>
      </c>
      <c r="E163" s="17">
        <v>27440.0</v>
      </c>
      <c r="F163" s="17">
        <v>41160.0</v>
      </c>
      <c r="G163" s="6">
        <f t="shared" si="7"/>
        <v>3044867.8400000003</v>
      </c>
      <c r="H163" s="233"/>
    </row>
    <row r="164" spans="8:8">
      <c r="A164" s="3" t="s">
        <v>179</v>
      </c>
      <c r="B164" s="4" t="s">
        <v>65</v>
      </c>
      <c r="C164" s="234">
        <v>0.0101</v>
      </c>
      <c r="D164" s="234">
        <v>367523.52</v>
      </c>
      <c r="E164" s="17">
        <v>27440.0</v>
      </c>
      <c r="F164" s="17">
        <v>41160.0</v>
      </c>
      <c r="G164" s="6">
        <f t="shared" si="7"/>
        <v>436123.53010000003</v>
      </c>
      <c r="H164" s="233"/>
    </row>
    <row r="165" spans="8:8">
      <c r="A165" s="3" t="s">
        <v>180</v>
      </c>
      <c r="B165" s="4" t="s">
        <v>65</v>
      </c>
      <c r="C165" s="234">
        <v>0.0101</v>
      </c>
      <c r="D165" s="234">
        <v>172448.64</v>
      </c>
      <c r="E165" s="17">
        <v>27440.0</v>
      </c>
      <c r="F165" s="17">
        <v>41160.0</v>
      </c>
      <c r="G165" s="6">
        <f t="shared" si="7"/>
        <v>241048.65010000003</v>
      </c>
      <c r="H165" s="233"/>
    </row>
    <row r="166" spans="8:8">
      <c r="A166" s="3" t="s">
        <v>181</v>
      </c>
      <c r="B166" s="4" t="s">
        <v>65</v>
      </c>
      <c r="C166" s="234">
        <v>0.0101</v>
      </c>
      <c r="D166" s="234">
        <v>344897.28</v>
      </c>
      <c r="E166" s="17">
        <v>27440.0</v>
      </c>
      <c r="F166" s="17">
        <v>41160.0</v>
      </c>
      <c r="G166" s="6">
        <f t="shared" si="7"/>
        <v>413497.29010000004</v>
      </c>
      <c r="H166" s="233"/>
    </row>
    <row r="167" spans="8:8">
      <c r="A167" s="3" t="s">
        <v>182</v>
      </c>
      <c r="B167" s="4" t="s">
        <v>65</v>
      </c>
      <c r="C167" s="234">
        <v>0.0101</v>
      </c>
      <c r="D167" s="234">
        <v>162052.8</v>
      </c>
      <c r="E167" s="17">
        <v>27440.0</v>
      </c>
      <c r="F167" s="17">
        <v>41160.0</v>
      </c>
      <c r="G167" s="6">
        <f t="shared" si="7"/>
        <v>230652.8101</v>
      </c>
      <c r="H167" s="233"/>
    </row>
    <row r="168" spans="8:8">
      <c r="A168" s="3" t="s">
        <v>183</v>
      </c>
      <c r="B168" s="4" t="s">
        <v>65</v>
      </c>
      <c r="C168" s="234">
        <v>0.0101</v>
      </c>
      <c r="D168" s="234">
        <v>172448.64</v>
      </c>
      <c r="E168" s="17">
        <v>27440.0</v>
      </c>
      <c r="F168" s="17">
        <v>41160.0</v>
      </c>
      <c r="G168" s="6">
        <f t="shared" si="7"/>
        <v>241048.65010000003</v>
      </c>
      <c r="H168" s="233"/>
    </row>
    <row r="169" spans="8:8">
      <c r="A169" s="3" t="s">
        <v>184</v>
      </c>
      <c r="B169" s="4" t="s">
        <v>65</v>
      </c>
      <c r="C169" s="234">
        <v>0.0101</v>
      </c>
      <c r="D169" s="234">
        <v>190794.24000000002</v>
      </c>
      <c r="E169" s="17">
        <v>27440.0</v>
      </c>
      <c r="F169" s="17">
        <v>41160.0</v>
      </c>
      <c r="G169" s="6">
        <f t="shared" si="7"/>
        <v>259394.25010000003</v>
      </c>
      <c r="H169" s="233"/>
    </row>
    <row r="170" spans="8:8">
      <c r="A170" s="3" t="s">
        <v>185</v>
      </c>
      <c r="B170" s="4" t="s">
        <v>65</v>
      </c>
      <c r="C170" s="234">
        <v>0.0101</v>
      </c>
      <c r="D170" s="234">
        <v>324105.6</v>
      </c>
      <c r="E170" s="17">
        <v>27440.0</v>
      </c>
      <c r="F170" s="17">
        <v>41160.0</v>
      </c>
      <c r="G170" s="6">
        <f t="shared" si="7"/>
        <v>392705.6101</v>
      </c>
      <c r="H170" s="233"/>
    </row>
    <row r="171" spans="8:8">
      <c r="A171" s="3" t="s">
        <v>186</v>
      </c>
      <c r="B171" s="4" t="s">
        <v>65</v>
      </c>
      <c r="C171" s="234">
        <v>0.0101</v>
      </c>
      <c r="D171" s="234">
        <v>344897.28</v>
      </c>
      <c r="E171" s="17">
        <v>27440.0</v>
      </c>
      <c r="F171" s="17">
        <v>41160.0</v>
      </c>
      <c r="G171" s="6">
        <f t="shared" si="7"/>
        <v>413497.29010000004</v>
      </c>
      <c r="H171" s="233"/>
    </row>
    <row r="172" spans="8:8">
      <c r="A172" s="3" t="s">
        <v>187</v>
      </c>
      <c r="B172" s="4" t="s">
        <v>65</v>
      </c>
      <c r="C172" s="234">
        <v>0.0101</v>
      </c>
      <c r="D172" s="234">
        <v>381588.48000000004</v>
      </c>
      <c r="E172" s="17">
        <v>27440.0</v>
      </c>
      <c r="F172" s="17">
        <v>41160.0</v>
      </c>
      <c r="G172" s="6">
        <f t="shared" si="7"/>
        <v>450188.49010000005</v>
      </c>
      <c r="H172" s="233"/>
    </row>
    <row r="173" spans="8:8">
      <c r="A173" s="15" t="s">
        <v>188</v>
      </c>
      <c r="B173" s="4" t="s">
        <v>65</v>
      </c>
      <c r="C173" s="234">
        <v>0.0101</v>
      </c>
      <c r="D173" s="234">
        <v>162052.8</v>
      </c>
      <c r="E173" s="17">
        <v>27440.0</v>
      </c>
      <c r="F173" s="17">
        <v>41160.0</v>
      </c>
      <c r="G173" s="6">
        <f t="shared" si="7"/>
        <v>230652.8101</v>
      </c>
      <c r="H173" s="233"/>
    </row>
    <row r="174" spans="8:8">
      <c r="A174" s="3" t="s">
        <v>189</v>
      </c>
      <c r="B174" s="4" t="s">
        <v>65</v>
      </c>
      <c r="C174" s="234">
        <v>0.0101</v>
      </c>
      <c r="D174" s="234">
        <v>172448.64</v>
      </c>
      <c r="E174" s="17">
        <v>27440.0</v>
      </c>
      <c r="F174" s="17">
        <v>41160.0</v>
      </c>
      <c r="G174" s="6">
        <f t="shared" si="7"/>
        <v>241048.65010000003</v>
      </c>
      <c r="H174" s="233"/>
    </row>
    <row r="175" spans="8:8">
      <c r="A175" s="3" t="s">
        <v>190</v>
      </c>
      <c r="B175" s="16" t="s">
        <v>65</v>
      </c>
      <c r="C175" s="234">
        <v>0.0101</v>
      </c>
      <c r="D175" s="234">
        <v>162052.8</v>
      </c>
      <c r="E175" s="17">
        <v>27440.0</v>
      </c>
      <c r="F175" s="17">
        <v>41160.0</v>
      </c>
      <c r="G175" s="6">
        <f t="shared" si="7"/>
        <v>230652.8101</v>
      </c>
      <c r="H175" s="233"/>
    </row>
    <row r="176" spans="8:8" s="49" ht="15.0" customFormat="1">
      <c r="A176" s="3" t="s">
        <v>191</v>
      </c>
      <c r="B176" s="4" t="s">
        <v>65</v>
      </c>
      <c r="C176" s="234">
        <v>0.0101</v>
      </c>
      <c r="D176" s="234">
        <v>172448.64</v>
      </c>
      <c r="E176" s="17">
        <v>27440.0</v>
      </c>
      <c r="F176" s="17">
        <v>41160.0</v>
      </c>
      <c r="G176" s="17">
        <f t="shared" si="7"/>
        <v>241048.65010000003</v>
      </c>
      <c r="H176" s="233"/>
      <c r="J176" s="39"/>
    </row>
    <row r="177" spans="8:8">
      <c r="A177" s="3" t="s">
        <v>192</v>
      </c>
      <c r="B177" s="4" t="s">
        <v>65</v>
      </c>
      <c r="C177" s="234">
        <v>0.0101</v>
      </c>
      <c r="D177" s="234">
        <v>190794.24000000002</v>
      </c>
      <c r="E177" s="17">
        <v>27440.0</v>
      </c>
      <c r="F177" s="17">
        <v>41160.0</v>
      </c>
      <c r="G177" s="6">
        <f t="shared" si="7"/>
        <v>259394.25010000003</v>
      </c>
      <c r="H177" s="233"/>
      <c r="J177" s="49"/>
    </row>
    <row r="178" spans="8:8">
      <c r="A178" s="3" t="s">
        <v>193</v>
      </c>
      <c r="B178" s="4" t="s">
        <v>65</v>
      </c>
      <c r="C178" s="234">
        <v>0.0101</v>
      </c>
      <c r="D178" s="234">
        <v>162052.8</v>
      </c>
      <c r="E178" s="17">
        <v>27440.0</v>
      </c>
      <c r="F178" s="17">
        <v>41160.0</v>
      </c>
      <c r="G178" s="6">
        <f t="shared" si="7"/>
        <v>230652.8101</v>
      </c>
      <c r="H178" s="233"/>
    </row>
    <row r="179" spans="8:8">
      <c r="A179" s="3" t="s">
        <v>194</v>
      </c>
      <c r="B179" s="4" t="s">
        <v>65</v>
      </c>
      <c r="C179" s="234">
        <v>0.0101</v>
      </c>
      <c r="D179" s="234">
        <v>172448.64</v>
      </c>
      <c r="E179" s="17">
        <v>27440.0</v>
      </c>
      <c r="F179" s="17">
        <v>41160.0</v>
      </c>
      <c r="G179" s="6">
        <f t="shared" si="7"/>
        <v>241048.65010000003</v>
      </c>
      <c r="H179" s="233"/>
    </row>
    <row r="180" spans="8:8">
      <c r="A180" s="3" t="s">
        <v>197</v>
      </c>
      <c r="B180" s="4" t="s">
        <v>65</v>
      </c>
      <c r="C180" s="234">
        <v>0.0101</v>
      </c>
      <c r="D180" s="234">
        <v>674506.56</v>
      </c>
      <c r="E180" s="17">
        <v>27440.0</v>
      </c>
      <c r="F180" s="17">
        <v>41160.0</v>
      </c>
      <c r="G180" s="6">
        <f t="shared" si="7"/>
        <v>743106.5701</v>
      </c>
      <c r="H180" s="233"/>
    </row>
    <row r="181" spans="8:8">
      <c r="A181" s="3" t="s">
        <v>198</v>
      </c>
      <c r="B181" s="4" t="s">
        <v>65</v>
      </c>
      <c r="C181" s="234">
        <v>0.0101</v>
      </c>
      <c r="D181" s="234">
        <v>6716324.16</v>
      </c>
      <c r="E181" s="17">
        <v>27440.0</v>
      </c>
      <c r="F181" s="17">
        <v>41160.0</v>
      </c>
      <c r="G181" s="6">
        <f t="shared" si="7"/>
        <v>6784924.1701</v>
      </c>
      <c r="H181" s="233"/>
    </row>
    <row r="182" spans="8:8">
      <c r="A182" s="3" t="s">
        <v>199</v>
      </c>
      <c r="B182" s="4" t="s">
        <v>196</v>
      </c>
      <c r="C182" s="234">
        <v>0.0101</v>
      </c>
      <c r="D182" s="234">
        <v>2404584.0</v>
      </c>
      <c r="E182" s="17">
        <v>27440.0</v>
      </c>
      <c r="F182" s="17">
        <v>41160.0</v>
      </c>
      <c r="G182" s="6">
        <f t="shared" si="7"/>
        <v>2473184.0101</v>
      </c>
      <c r="H182" s="233"/>
      <c r="N182" s="233"/>
      <c r="O182" s="238"/>
    </row>
    <row r="183" spans="8:8">
      <c r="A183" s="14" t="s">
        <v>344</v>
      </c>
      <c r="B183" s="4" t="s">
        <v>196</v>
      </c>
      <c r="C183" s="234">
        <v>0.0101</v>
      </c>
      <c r="D183" s="234">
        <f>2404584*2</f>
        <v>4809168.0</v>
      </c>
      <c r="E183" s="17">
        <f>27440*2</f>
        <v>54880.0</v>
      </c>
      <c r="F183" s="17">
        <f>41160*2</f>
        <v>82320.0</v>
      </c>
      <c r="G183" s="205">
        <f>SUM(D183:F183)</f>
        <v>4946368.0</v>
      </c>
      <c r="H183" s="212"/>
    </row>
    <row r="184" spans="8:8">
      <c r="A184" s="3" t="s">
        <v>201</v>
      </c>
      <c r="B184" s="4" t="s">
        <v>196</v>
      </c>
      <c r="C184" s="234">
        <v>0.0101</v>
      </c>
      <c r="D184" s="234">
        <v>2404584.0</v>
      </c>
      <c r="E184" s="17">
        <v>27440.0</v>
      </c>
      <c r="F184" s="17">
        <v>41160.0</v>
      </c>
      <c r="G184" s="6">
        <f>SUM(D184:F184)</f>
        <v>2473184.0</v>
      </c>
      <c r="H184" s="233"/>
    </row>
    <row r="185" spans="8:8">
      <c r="A185" s="3" t="s">
        <v>202</v>
      </c>
      <c r="B185" s="16" t="s">
        <v>196</v>
      </c>
      <c r="C185" s="234">
        <v>0.0101</v>
      </c>
      <c r="D185" s="234">
        <v>2404584.0</v>
      </c>
      <c r="E185" s="17">
        <v>27440.0</v>
      </c>
      <c r="F185" s="17">
        <v>41160.0</v>
      </c>
      <c r="G185" s="6">
        <f t="shared" si="8" ref="G185:G248">SUM(C185:F185)</f>
        <v>2473184.0101</v>
      </c>
      <c r="H185" s="233"/>
    </row>
    <row r="186" spans="8:8">
      <c r="A186" s="3" t="s">
        <v>203</v>
      </c>
      <c r="B186" s="4" t="s">
        <v>196</v>
      </c>
      <c r="C186" s="234">
        <v>0.0101</v>
      </c>
      <c r="D186" s="234">
        <v>2404584.0</v>
      </c>
      <c r="E186" s="17">
        <v>27440.0</v>
      </c>
      <c r="F186" s="17">
        <v>41160.0</v>
      </c>
      <c r="G186" s="6">
        <f t="shared" si="8"/>
        <v>2473184.0101</v>
      </c>
      <c r="H186" s="233"/>
    </row>
    <row r="187" spans="8:8">
      <c r="A187" s="3" t="s">
        <v>204</v>
      </c>
      <c r="B187" s="4" t="s">
        <v>196</v>
      </c>
      <c r="C187" s="234">
        <v>0.0101</v>
      </c>
      <c r="D187" s="234">
        <v>2404584.0</v>
      </c>
      <c r="E187" s="17">
        <v>27440.0</v>
      </c>
      <c r="F187" s="17">
        <v>41160.0</v>
      </c>
      <c r="G187" s="6">
        <f t="shared" si="8"/>
        <v>2473184.0101</v>
      </c>
      <c r="H187" s="233"/>
    </row>
    <row r="188" spans="8:8">
      <c r="A188" s="3" t="s">
        <v>206</v>
      </c>
      <c r="B188" s="4" t="s">
        <v>196</v>
      </c>
      <c r="C188" s="234">
        <v>0.0101</v>
      </c>
      <c r="D188" s="234">
        <v>2404584.0</v>
      </c>
      <c r="E188" s="17">
        <v>27440.0</v>
      </c>
      <c r="F188" s="17">
        <v>41160.0</v>
      </c>
      <c r="G188" s="6">
        <f t="shared" si="8"/>
        <v>2473184.0101</v>
      </c>
      <c r="H188" s="233"/>
    </row>
    <row r="189" spans="8:8">
      <c r="A189" s="3" t="s">
        <v>207</v>
      </c>
      <c r="B189" s="4" t="s">
        <v>196</v>
      </c>
      <c r="C189" s="234">
        <v>0.0101</v>
      </c>
      <c r="D189" s="234">
        <v>2404584.0</v>
      </c>
      <c r="E189" s="17">
        <v>27440.0</v>
      </c>
      <c r="F189" s="17">
        <v>41160.0</v>
      </c>
      <c r="G189" s="6">
        <f t="shared" si="8"/>
        <v>2473184.0101</v>
      </c>
      <c r="H189" s="233"/>
    </row>
    <row r="190" spans="8:8">
      <c r="A190" s="3" t="s">
        <v>208</v>
      </c>
      <c r="B190" s="4" t="s">
        <v>196</v>
      </c>
      <c r="C190" s="234">
        <v>0.0101</v>
      </c>
      <c r="D190" s="234">
        <v>2404584.0</v>
      </c>
      <c r="E190" s="17">
        <v>27440.0</v>
      </c>
      <c r="F190" s="17">
        <v>41160.0</v>
      </c>
      <c r="G190" s="6">
        <f t="shared" si="8"/>
        <v>2473184.0101</v>
      </c>
      <c r="H190" s="233"/>
    </row>
    <row r="191" spans="8:8">
      <c r="A191" s="3" t="s">
        <v>209</v>
      </c>
      <c r="B191" s="4" t="s">
        <v>196</v>
      </c>
      <c r="C191" s="234">
        <v>0.0101</v>
      </c>
      <c r="D191" s="234">
        <v>2404584.0</v>
      </c>
      <c r="E191" s="17">
        <v>27440.0</v>
      </c>
      <c r="F191" s="17">
        <v>41160.0</v>
      </c>
      <c r="G191" s="6">
        <f t="shared" si="8"/>
        <v>2473184.0101</v>
      </c>
      <c r="H191" s="233"/>
    </row>
    <row r="192" spans="8:8">
      <c r="A192" s="3" t="s">
        <v>210</v>
      </c>
      <c r="B192" s="4" t="s">
        <v>196</v>
      </c>
      <c r="C192" s="234">
        <v>0.0101</v>
      </c>
      <c r="D192" s="234">
        <v>2404584.0</v>
      </c>
      <c r="E192" s="17">
        <v>27440.0</v>
      </c>
      <c r="F192" s="17">
        <v>41160.0</v>
      </c>
      <c r="G192" s="6">
        <f t="shared" si="8"/>
        <v>2473184.0101</v>
      </c>
      <c r="H192" s="233"/>
    </row>
    <row r="193" spans="8:8">
      <c r="A193" s="3" t="s">
        <v>211</v>
      </c>
      <c r="B193" s="4" t="s">
        <v>196</v>
      </c>
      <c r="C193" s="234">
        <v>0.0101</v>
      </c>
      <c r="D193" s="234">
        <v>2404584.0</v>
      </c>
      <c r="E193" s="17">
        <v>27440.0</v>
      </c>
      <c r="F193" s="17">
        <v>41160.0</v>
      </c>
      <c r="G193" s="6">
        <f t="shared" si="8"/>
        <v>2473184.0101</v>
      </c>
      <c r="H193" s="233"/>
    </row>
    <row r="194" spans="8:8">
      <c r="A194" s="3" t="s">
        <v>212</v>
      </c>
      <c r="B194" s="4" t="s">
        <v>196</v>
      </c>
      <c r="C194" s="234">
        <v>0.0101</v>
      </c>
      <c r="D194" s="234">
        <v>2404584.0</v>
      </c>
      <c r="E194" s="17">
        <v>27440.0</v>
      </c>
      <c r="F194" s="17">
        <v>41160.0</v>
      </c>
      <c r="G194" s="6">
        <f t="shared" si="8"/>
        <v>2473184.0101</v>
      </c>
      <c r="H194" s="233"/>
    </row>
    <row r="195" spans="8:8">
      <c r="A195" s="3" t="s">
        <v>214</v>
      </c>
      <c r="B195" s="4" t="s">
        <v>196</v>
      </c>
      <c r="C195" s="234">
        <v>0.0101</v>
      </c>
      <c r="D195" s="234">
        <v>2404584.0</v>
      </c>
      <c r="E195" s="17">
        <v>27440.0</v>
      </c>
      <c r="F195" s="17">
        <v>41160.0</v>
      </c>
      <c r="G195" s="6">
        <f t="shared" si="8"/>
        <v>2473184.0101</v>
      </c>
      <c r="H195" s="233"/>
    </row>
    <row r="196" spans="8:8">
      <c r="A196" s="3" t="s">
        <v>215</v>
      </c>
      <c r="B196" s="4" t="s">
        <v>196</v>
      </c>
      <c r="C196" s="234">
        <v>0.0101</v>
      </c>
      <c r="D196" s="234">
        <v>2404584.0</v>
      </c>
      <c r="E196" s="17">
        <v>27440.0</v>
      </c>
      <c r="F196" s="17">
        <v>41160.0</v>
      </c>
      <c r="G196" s="6">
        <f t="shared" si="8"/>
        <v>2473184.0101</v>
      </c>
      <c r="H196" s="233"/>
    </row>
    <row r="197" spans="8:8">
      <c r="A197" s="3" t="s">
        <v>216</v>
      </c>
      <c r="B197" s="4" t="s">
        <v>196</v>
      </c>
      <c r="C197" s="234">
        <v>0.0101</v>
      </c>
      <c r="D197" s="234">
        <v>2404584.0</v>
      </c>
      <c r="E197" s="17">
        <v>27440.0</v>
      </c>
      <c r="F197" s="17">
        <v>41160.0</v>
      </c>
      <c r="G197" s="6">
        <f t="shared" si="8"/>
        <v>2473184.0101</v>
      </c>
      <c r="H197" s="233"/>
    </row>
    <row r="198" spans="8:8">
      <c r="A198" s="3" t="s">
        <v>217</v>
      </c>
      <c r="B198" s="4" t="s">
        <v>196</v>
      </c>
      <c r="C198" s="234">
        <v>0.0101</v>
      </c>
      <c r="D198" s="234">
        <v>2404584.0</v>
      </c>
      <c r="E198" s="17">
        <v>27440.0</v>
      </c>
      <c r="F198" s="17">
        <v>41160.0</v>
      </c>
      <c r="G198" s="6">
        <f t="shared" si="8"/>
        <v>2473184.0101</v>
      </c>
      <c r="H198" s="233"/>
    </row>
    <row r="199" spans="8:8">
      <c r="A199" s="3" t="s">
        <v>218</v>
      </c>
      <c r="B199" s="4" t="s">
        <v>196</v>
      </c>
      <c r="C199" s="234">
        <v>0.0101</v>
      </c>
      <c r="D199" s="234">
        <v>2404584.0</v>
      </c>
      <c r="E199" s="17">
        <v>27440.0</v>
      </c>
      <c r="F199" s="17">
        <v>41160.0</v>
      </c>
      <c r="G199" s="6">
        <f t="shared" si="8"/>
        <v>2473184.0101</v>
      </c>
      <c r="H199" s="233"/>
    </row>
    <row r="200" spans="8:8">
      <c r="A200" s="3" t="s">
        <v>219</v>
      </c>
      <c r="B200" s="4" t="s">
        <v>196</v>
      </c>
      <c r="C200" s="234">
        <v>0.0101</v>
      </c>
      <c r="D200" s="234">
        <v>2404584.0</v>
      </c>
      <c r="E200" s="17">
        <v>27440.0</v>
      </c>
      <c r="F200" s="17">
        <v>41160.0</v>
      </c>
      <c r="G200" s="6">
        <f t="shared" si="8"/>
        <v>2473184.0101</v>
      </c>
      <c r="H200" s="233"/>
    </row>
    <row r="201" spans="8:8">
      <c r="A201" s="3" t="s">
        <v>220</v>
      </c>
      <c r="B201" s="4" t="s">
        <v>196</v>
      </c>
      <c r="C201" s="234">
        <v>0.0101</v>
      </c>
      <c r="D201" s="234">
        <v>2404584.0</v>
      </c>
      <c r="E201" s="17">
        <v>27440.0</v>
      </c>
      <c r="F201" s="17">
        <v>41160.0</v>
      </c>
      <c r="G201" s="6">
        <f t="shared" si="8"/>
        <v>2473184.0101</v>
      </c>
      <c r="H201" s="233"/>
    </row>
    <row r="202" spans="8:8">
      <c r="A202" s="18" t="s">
        <v>345</v>
      </c>
      <c r="B202" s="4" t="s">
        <v>196</v>
      </c>
      <c r="C202" s="234">
        <v>0.0101</v>
      </c>
      <c r="D202" s="234">
        <v>2404584.0</v>
      </c>
      <c r="E202" s="17">
        <v>27440.0</v>
      </c>
      <c r="F202" s="17">
        <v>41160.0</v>
      </c>
      <c r="G202" s="6">
        <f t="shared" si="8"/>
        <v>2473184.0101</v>
      </c>
      <c r="H202" s="233"/>
    </row>
    <row r="203" spans="8:8">
      <c r="A203" s="3" t="s">
        <v>222</v>
      </c>
      <c r="B203" s="4" t="s">
        <v>196</v>
      </c>
      <c r="C203" s="234">
        <v>0.0101</v>
      </c>
      <c r="D203" s="234">
        <v>4809168.0</v>
      </c>
      <c r="E203" s="17">
        <v>27440.0</v>
      </c>
      <c r="F203" s="17">
        <v>41160.0</v>
      </c>
      <c r="G203" s="6">
        <f t="shared" si="8"/>
        <v>4877768.0101</v>
      </c>
      <c r="H203" s="233"/>
    </row>
    <row r="204" spans="8:8">
      <c r="A204" s="3" t="s">
        <v>223</v>
      </c>
      <c r="B204" s="4" t="s">
        <v>196</v>
      </c>
      <c r="C204" s="234">
        <v>0.0101</v>
      </c>
      <c r="D204" s="234">
        <v>2404584.0</v>
      </c>
      <c r="E204" s="17">
        <v>27440.0</v>
      </c>
      <c r="F204" s="17">
        <v>41160.0</v>
      </c>
      <c r="G204" s="6">
        <f t="shared" si="8"/>
        <v>2473184.0101</v>
      </c>
      <c r="H204" s="233"/>
    </row>
    <row r="205" spans="8:8">
      <c r="A205" s="3" t="s">
        <v>224</v>
      </c>
      <c r="B205" s="4" t="s">
        <v>196</v>
      </c>
      <c r="C205" s="234">
        <v>0.0101</v>
      </c>
      <c r="D205" s="234">
        <v>2404584.0</v>
      </c>
      <c r="E205" s="17">
        <v>27440.0</v>
      </c>
      <c r="F205" s="17">
        <v>41160.0</v>
      </c>
      <c r="G205" s="6">
        <f t="shared" si="8"/>
        <v>2473184.0101</v>
      </c>
      <c r="H205" s="233"/>
    </row>
    <row r="206" spans="8:8">
      <c r="A206" s="3" t="s">
        <v>225</v>
      </c>
      <c r="B206" s="4" t="s">
        <v>196</v>
      </c>
      <c r="C206" s="234">
        <v>0.0101</v>
      </c>
      <c r="D206" s="234">
        <v>2404584.0</v>
      </c>
      <c r="E206" s="17">
        <v>27440.0</v>
      </c>
      <c r="F206" s="17">
        <v>41160.0</v>
      </c>
      <c r="G206" s="6">
        <f t="shared" si="8"/>
        <v>2473184.0101</v>
      </c>
      <c r="H206" s="233"/>
    </row>
    <row r="207" spans="8:8">
      <c r="A207" s="3" t="s">
        <v>226</v>
      </c>
      <c r="B207" s="4" t="s">
        <v>196</v>
      </c>
      <c r="C207" s="234">
        <v>0.0101</v>
      </c>
      <c r="D207" s="234">
        <v>3160248.0</v>
      </c>
      <c r="E207" s="17">
        <v>27440.0</v>
      </c>
      <c r="F207" s="17">
        <v>41160.0</v>
      </c>
      <c r="G207" s="6">
        <f t="shared" si="8"/>
        <v>3228848.0101</v>
      </c>
      <c r="H207" s="233"/>
    </row>
    <row r="208" spans="8:8">
      <c r="A208" s="3" t="s">
        <v>228</v>
      </c>
      <c r="B208" s="4" t="s">
        <v>196</v>
      </c>
      <c r="C208" s="234">
        <v>0.0101</v>
      </c>
      <c r="D208" s="234">
        <v>2404584.0</v>
      </c>
      <c r="E208" s="17">
        <v>27440.0</v>
      </c>
      <c r="F208" s="17">
        <v>41160.0</v>
      </c>
      <c r="G208" s="6">
        <f t="shared" si="8"/>
        <v>2473184.0101</v>
      </c>
      <c r="H208" s="233"/>
    </row>
    <row r="209" spans="8:8">
      <c r="A209" s="3" t="s">
        <v>229</v>
      </c>
      <c r="B209" s="4" t="s">
        <v>196</v>
      </c>
      <c r="C209" s="234">
        <v>0.0101</v>
      </c>
      <c r="D209" s="234">
        <v>2404584.0</v>
      </c>
      <c r="E209" s="17">
        <v>27440.0</v>
      </c>
      <c r="F209" s="17">
        <v>41160.0</v>
      </c>
      <c r="G209" s="6">
        <f t="shared" si="8"/>
        <v>2473184.0101</v>
      </c>
      <c r="H209" s="233"/>
    </row>
    <row r="210" spans="8:8">
      <c r="A210" s="3" t="s">
        <v>230</v>
      </c>
      <c r="B210" s="4" t="s">
        <v>196</v>
      </c>
      <c r="C210" s="234">
        <v>0.0101</v>
      </c>
      <c r="D210" s="234">
        <v>2404584.0</v>
      </c>
      <c r="E210" s="17">
        <v>27440.0</v>
      </c>
      <c r="F210" s="17">
        <v>41160.0</v>
      </c>
      <c r="G210" s="6">
        <f t="shared" si="8"/>
        <v>2473184.0101</v>
      </c>
      <c r="H210" s="233"/>
    </row>
    <row r="211" spans="8:8">
      <c r="A211" s="3" t="s">
        <v>231</v>
      </c>
      <c r="B211" s="4" t="s">
        <v>196</v>
      </c>
      <c r="C211" s="234">
        <v>0.0101</v>
      </c>
      <c r="D211" s="234">
        <v>2404584.0</v>
      </c>
      <c r="E211" s="17">
        <v>27440.0</v>
      </c>
      <c r="F211" s="17">
        <v>41160.0</v>
      </c>
      <c r="G211" s="6">
        <f t="shared" si="8"/>
        <v>2473184.0101</v>
      </c>
      <c r="H211" s="233"/>
    </row>
    <row r="212" spans="8:8">
      <c r="A212" s="3" t="s">
        <v>232</v>
      </c>
      <c r="B212" s="4" t="s">
        <v>196</v>
      </c>
      <c r="C212" s="234">
        <v>0.0101</v>
      </c>
      <c r="D212" s="234">
        <v>2404584.0</v>
      </c>
      <c r="E212" s="17">
        <v>27440.0</v>
      </c>
      <c r="F212" s="17">
        <v>41160.0</v>
      </c>
      <c r="G212" s="6">
        <f t="shared" si="8"/>
        <v>2473184.0101</v>
      </c>
      <c r="H212" s="233"/>
    </row>
    <row r="213" spans="8:8">
      <c r="A213" s="3" t="s">
        <v>233</v>
      </c>
      <c r="B213" s="4" t="s">
        <v>196</v>
      </c>
      <c r="C213" s="234">
        <v>0.0101</v>
      </c>
      <c r="D213" s="234">
        <v>2404584.0</v>
      </c>
      <c r="E213" s="17">
        <v>27440.0</v>
      </c>
      <c r="F213" s="17">
        <v>41160.0</v>
      </c>
      <c r="G213" s="6">
        <f t="shared" si="8"/>
        <v>2473184.0101</v>
      </c>
      <c r="H213" s="233"/>
    </row>
    <row r="214" spans="8:8">
      <c r="A214" s="3" t="s">
        <v>234</v>
      </c>
      <c r="B214" s="4" t="s">
        <v>196</v>
      </c>
      <c r="C214" s="234">
        <v>0.0101</v>
      </c>
      <c r="D214" s="234">
        <v>2404584.0</v>
      </c>
      <c r="E214" s="17">
        <v>27440.0</v>
      </c>
      <c r="F214" s="17">
        <v>41160.0</v>
      </c>
      <c r="G214" s="6">
        <f t="shared" si="8"/>
        <v>2473184.0101</v>
      </c>
      <c r="H214" s="233"/>
    </row>
    <row r="215" spans="8:8">
      <c r="A215" s="3" t="s">
        <v>235</v>
      </c>
      <c r="B215" s="4" t="s">
        <v>196</v>
      </c>
      <c r="C215" s="234">
        <v>0.0101</v>
      </c>
      <c r="D215" s="234">
        <v>2404584.0</v>
      </c>
      <c r="E215" s="17">
        <v>27440.0</v>
      </c>
      <c r="F215" s="17">
        <v>41160.0</v>
      </c>
      <c r="G215" s="6">
        <f t="shared" si="8"/>
        <v>2473184.0101</v>
      </c>
      <c r="H215" s="233"/>
    </row>
    <row r="216" spans="8:8">
      <c r="A216" s="3" t="s">
        <v>236</v>
      </c>
      <c r="B216" s="4" t="s">
        <v>196</v>
      </c>
      <c r="C216" s="234">
        <v>0.0101</v>
      </c>
      <c r="D216" s="234">
        <v>2404584.0</v>
      </c>
      <c r="E216" s="17">
        <v>27440.0</v>
      </c>
      <c r="F216" s="17">
        <v>41160.0</v>
      </c>
      <c r="G216" s="6">
        <f t="shared" si="8"/>
        <v>2473184.0101</v>
      </c>
      <c r="H216" s="233"/>
    </row>
    <row r="217" spans="8:8">
      <c r="A217" s="3" t="s">
        <v>237</v>
      </c>
      <c r="B217" s="4" t="s">
        <v>196</v>
      </c>
      <c r="C217" s="234">
        <v>0.0101</v>
      </c>
      <c r="D217" s="234">
        <v>2404584.0</v>
      </c>
      <c r="E217" s="17">
        <v>27440.0</v>
      </c>
      <c r="F217" s="17">
        <v>41160.0</v>
      </c>
      <c r="G217" s="6">
        <f t="shared" si="8"/>
        <v>2473184.0101</v>
      </c>
      <c r="H217" s="233"/>
    </row>
    <row r="218" spans="8:8">
      <c r="A218" s="3" t="s">
        <v>238</v>
      </c>
      <c r="B218" s="4" t="s">
        <v>196</v>
      </c>
      <c r="C218" s="234">
        <v>0.0101</v>
      </c>
      <c r="D218" s="234">
        <v>2404584.0</v>
      </c>
      <c r="E218" s="17">
        <v>27440.0</v>
      </c>
      <c r="F218" s="17">
        <v>41160.0</v>
      </c>
      <c r="G218" s="6">
        <f t="shared" si="8"/>
        <v>2473184.0101</v>
      </c>
      <c r="H218" s="233"/>
    </row>
    <row r="219" spans="8:8">
      <c r="A219" s="3" t="s">
        <v>239</v>
      </c>
      <c r="B219" s="4" t="s">
        <v>196</v>
      </c>
      <c r="C219" s="234">
        <v>0.0101</v>
      </c>
      <c r="D219" s="234">
        <v>2404584.0</v>
      </c>
      <c r="E219" s="17">
        <v>27440.0</v>
      </c>
      <c r="F219" s="17">
        <v>41160.0</v>
      </c>
      <c r="G219" s="6">
        <f t="shared" si="8"/>
        <v>2473184.0101</v>
      </c>
      <c r="H219" s="233"/>
    </row>
    <row r="220" spans="8:8">
      <c r="A220" s="3" t="s">
        <v>240</v>
      </c>
      <c r="B220" s="4" t="s">
        <v>196</v>
      </c>
      <c r="C220" s="234">
        <v>0.0101</v>
      </c>
      <c r="D220" s="234">
        <v>2404584.0</v>
      </c>
      <c r="E220" s="17">
        <v>27440.0</v>
      </c>
      <c r="F220" s="17">
        <v>41160.0</v>
      </c>
      <c r="G220" s="6">
        <f t="shared" si="8"/>
        <v>2473184.0101</v>
      </c>
      <c r="H220" s="233"/>
    </row>
    <row r="221" spans="8:8">
      <c r="A221" s="3" t="s">
        <v>241</v>
      </c>
      <c r="B221" s="16" t="s">
        <v>196</v>
      </c>
      <c r="C221" s="234">
        <v>0.0101</v>
      </c>
      <c r="D221" s="234">
        <v>2404584.0</v>
      </c>
      <c r="E221" s="17">
        <v>27440.0</v>
      </c>
      <c r="F221" s="17">
        <v>41160.0</v>
      </c>
      <c r="G221" s="6">
        <f t="shared" si="8"/>
        <v>2473184.0101</v>
      </c>
      <c r="H221" s="233"/>
    </row>
    <row r="222" spans="8:8">
      <c r="A222" s="3" t="s">
        <v>242</v>
      </c>
      <c r="B222" s="4" t="s">
        <v>196</v>
      </c>
      <c r="C222" s="234">
        <v>0.0101</v>
      </c>
      <c r="D222" s="234">
        <v>2404584.0</v>
      </c>
      <c r="E222" s="17">
        <v>27440.0</v>
      </c>
      <c r="F222" s="17">
        <v>41160.0</v>
      </c>
      <c r="G222" s="6">
        <f t="shared" si="8"/>
        <v>2473184.0101</v>
      </c>
      <c r="H222" s="233"/>
    </row>
    <row r="223" spans="8:8">
      <c r="A223" s="3" t="s">
        <v>243</v>
      </c>
      <c r="B223" s="4" t="s">
        <v>196</v>
      </c>
      <c r="C223" s="234">
        <v>0.0101</v>
      </c>
      <c r="D223" s="234">
        <v>2404584.0</v>
      </c>
      <c r="E223" s="17">
        <v>27440.0</v>
      </c>
      <c r="F223" s="17">
        <v>41160.0</v>
      </c>
      <c r="G223" s="6">
        <f t="shared" si="8"/>
        <v>2473184.0101</v>
      </c>
      <c r="H223" s="233"/>
      <c r="K223" s="49"/>
    </row>
    <row r="224" spans="8:8" s="49" ht="15.0" customFormat="1">
      <c r="A224" s="3" t="s">
        <v>244</v>
      </c>
      <c r="B224" s="4" t="s">
        <v>196</v>
      </c>
      <c r="C224" s="234">
        <v>0.0101</v>
      </c>
      <c r="D224" s="234">
        <v>2404584.0</v>
      </c>
      <c r="E224" s="17">
        <v>27440.0</v>
      </c>
      <c r="F224" s="17">
        <v>41160.0</v>
      </c>
      <c r="G224" s="17">
        <f t="shared" si="8"/>
        <v>2473184.0101</v>
      </c>
      <c r="H224" s="233"/>
      <c r="J224" s="39"/>
      <c r="K224" s="39"/>
    </row>
    <row r="225" spans="8:8">
      <c r="A225" s="3" t="s">
        <v>246</v>
      </c>
      <c r="B225" s="4" t="s">
        <v>196</v>
      </c>
      <c r="C225" s="234">
        <v>0.0101</v>
      </c>
      <c r="D225" s="234">
        <v>2404584.0</v>
      </c>
      <c r="E225" s="17">
        <v>27440.0</v>
      </c>
      <c r="F225" s="17">
        <v>41160.0</v>
      </c>
      <c r="G225" s="6">
        <f t="shared" si="8"/>
        <v>2473184.0101</v>
      </c>
      <c r="H225" s="233"/>
      <c r="J225" s="49"/>
    </row>
    <row r="226" spans="8:8">
      <c r="A226" s="3" t="s">
        <v>247</v>
      </c>
      <c r="B226" s="4" t="s">
        <v>196</v>
      </c>
      <c r="C226" s="234">
        <v>0.0101</v>
      </c>
      <c r="D226" s="234">
        <v>2404584.0</v>
      </c>
      <c r="E226" s="17">
        <v>27440.0</v>
      </c>
      <c r="F226" s="17">
        <v>41160.0</v>
      </c>
      <c r="G226" s="6">
        <f t="shared" si="8"/>
        <v>2473184.0101</v>
      </c>
      <c r="H226" s="233"/>
    </row>
    <row r="227" spans="8:8">
      <c r="A227" s="3" t="s">
        <v>248</v>
      </c>
      <c r="B227" s="4" t="s">
        <v>196</v>
      </c>
      <c r="C227" s="234">
        <v>0.0101</v>
      </c>
      <c r="D227" s="234">
        <v>2404584.0</v>
      </c>
      <c r="E227" s="17">
        <v>27440.0</v>
      </c>
      <c r="F227" s="17">
        <v>41160.0</v>
      </c>
      <c r="G227" s="6">
        <f t="shared" si="8"/>
        <v>2473184.0101</v>
      </c>
      <c r="H227" s="233"/>
    </row>
    <row r="228" spans="8:8">
      <c r="A228" s="3" t="s">
        <v>249</v>
      </c>
      <c r="B228" s="4" t="s">
        <v>196</v>
      </c>
      <c r="C228" s="234">
        <v>0.0101</v>
      </c>
      <c r="D228" s="234">
        <v>2404584.0</v>
      </c>
      <c r="E228" s="17">
        <v>27440.0</v>
      </c>
      <c r="F228" s="17">
        <v>41160.0</v>
      </c>
      <c r="G228" s="6">
        <f t="shared" si="8"/>
        <v>2473184.0101</v>
      </c>
      <c r="H228" s="233"/>
    </row>
    <row r="229" spans="8:8">
      <c r="A229" s="3" t="s">
        <v>250</v>
      </c>
      <c r="B229" s="4" t="s">
        <v>196</v>
      </c>
      <c r="C229" s="234">
        <v>0.0101</v>
      </c>
      <c r="D229" s="234">
        <v>2404584.0</v>
      </c>
      <c r="E229" s="17">
        <v>27440.0</v>
      </c>
      <c r="F229" s="17">
        <v>41160.0</v>
      </c>
      <c r="G229" s="6">
        <f t="shared" si="8"/>
        <v>2473184.0101</v>
      </c>
      <c r="H229" s="233"/>
    </row>
    <row r="230" spans="8:8">
      <c r="A230" s="3" t="s">
        <v>251</v>
      </c>
      <c r="B230" s="4" t="s">
        <v>196</v>
      </c>
      <c r="C230" s="234">
        <v>0.0101</v>
      </c>
      <c r="D230" s="234">
        <v>2404584.0</v>
      </c>
      <c r="E230" s="17">
        <v>27440.0</v>
      </c>
      <c r="F230" s="17">
        <v>41160.0</v>
      </c>
      <c r="G230" s="6">
        <f t="shared" si="8"/>
        <v>2473184.0101</v>
      </c>
      <c r="H230" s="233"/>
    </row>
    <row r="231" spans="8:8">
      <c r="A231" s="3" t="s">
        <v>252</v>
      </c>
      <c r="B231" s="4" t="s">
        <v>196</v>
      </c>
      <c r="C231" s="234">
        <v>0.0101</v>
      </c>
      <c r="D231" s="234">
        <v>2404584.0</v>
      </c>
      <c r="E231" s="17">
        <v>27440.0</v>
      </c>
      <c r="F231" s="17">
        <v>41160.0</v>
      </c>
      <c r="G231" s="6">
        <f t="shared" si="8"/>
        <v>2473184.0101</v>
      </c>
      <c r="H231" s="233"/>
    </row>
    <row r="232" spans="8:8">
      <c r="A232" s="14" t="s">
        <v>346</v>
      </c>
      <c r="B232" s="4" t="s">
        <v>196</v>
      </c>
      <c r="C232" s="234">
        <v>0.0101</v>
      </c>
      <c r="D232" s="234">
        <v>2404584.0</v>
      </c>
      <c r="E232" s="17">
        <v>27440.0</v>
      </c>
      <c r="F232" s="17">
        <v>41160.0</v>
      </c>
      <c r="G232" s="6">
        <f t="shared" si="8"/>
        <v>2473184.0101</v>
      </c>
      <c r="H232" s="233"/>
    </row>
    <row r="233" spans="8:8">
      <c r="A233" s="3" t="s">
        <v>254</v>
      </c>
      <c r="B233" s="4" t="s">
        <v>196</v>
      </c>
      <c r="C233" s="234">
        <v>0.0101</v>
      </c>
      <c r="D233" s="234">
        <v>2404584.0</v>
      </c>
      <c r="E233" s="17">
        <v>27440.0</v>
      </c>
      <c r="F233" s="17">
        <v>41160.0</v>
      </c>
      <c r="G233" s="6">
        <f t="shared" si="8"/>
        <v>2473184.0101</v>
      </c>
      <c r="H233" s="233"/>
    </row>
    <row r="234" spans="8:8">
      <c r="A234" s="3" t="s">
        <v>255</v>
      </c>
      <c r="B234" s="4" t="s">
        <v>196</v>
      </c>
      <c r="C234" s="234">
        <v>0.0101</v>
      </c>
      <c r="D234" s="234">
        <v>2404584.0</v>
      </c>
      <c r="E234" s="17">
        <v>27440.0</v>
      </c>
      <c r="F234" s="17">
        <v>41160.0</v>
      </c>
      <c r="G234" s="6">
        <f t="shared" si="8"/>
        <v>2473184.0101</v>
      </c>
      <c r="H234" s="233"/>
    </row>
    <row r="235" spans="8:8">
      <c r="A235" s="3" t="s">
        <v>256</v>
      </c>
      <c r="B235" s="4" t="s">
        <v>196</v>
      </c>
      <c r="C235" s="234">
        <v>0.0101</v>
      </c>
      <c r="D235" s="234">
        <v>2404584.0</v>
      </c>
      <c r="E235" s="17">
        <v>27440.0</v>
      </c>
      <c r="F235" s="17">
        <v>41160.0</v>
      </c>
      <c r="G235" s="6">
        <f t="shared" si="8"/>
        <v>2473184.0101</v>
      </c>
      <c r="H235" s="233"/>
    </row>
    <row r="236" spans="8:8">
      <c r="A236" s="3" t="s">
        <v>257</v>
      </c>
      <c r="B236" s="4" t="s">
        <v>196</v>
      </c>
      <c r="C236" s="234">
        <v>0.0101</v>
      </c>
      <c r="D236" s="234">
        <v>2404584.0</v>
      </c>
      <c r="E236" s="17">
        <v>27440.0</v>
      </c>
      <c r="F236" s="17">
        <v>41160.0</v>
      </c>
      <c r="G236" s="6">
        <f t="shared" si="8"/>
        <v>2473184.0101</v>
      </c>
      <c r="H236" s="233"/>
    </row>
    <row r="237" spans="8:8">
      <c r="A237" s="3" t="s">
        <v>258</v>
      </c>
      <c r="B237" s="4" t="s">
        <v>196</v>
      </c>
      <c r="C237" s="234">
        <v>0.0101</v>
      </c>
      <c r="D237" s="234">
        <v>2404584.0</v>
      </c>
      <c r="E237" s="17">
        <v>27440.0</v>
      </c>
      <c r="F237" s="17">
        <v>41160.0</v>
      </c>
      <c r="G237" s="6">
        <f t="shared" si="8"/>
        <v>2473184.0101</v>
      </c>
      <c r="H237" s="233"/>
    </row>
    <row r="238" spans="8:8">
      <c r="A238" s="3" t="s">
        <v>259</v>
      </c>
      <c r="B238" s="4" t="s">
        <v>196</v>
      </c>
      <c r="C238" s="234">
        <v>0.0101</v>
      </c>
      <c r="D238" s="234">
        <v>2404584.0</v>
      </c>
      <c r="E238" s="17">
        <v>27440.0</v>
      </c>
      <c r="F238" s="17">
        <v>41160.0</v>
      </c>
      <c r="G238" s="6">
        <f t="shared" si="8"/>
        <v>2473184.0101</v>
      </c>
      <c r="H238" s="233"/>
    </row>
    <row r="239" spans="8:8">
      <c r="A239" s="3" t="s">
        <v>260</v>
      </c>
      <c r="B239" s="4" t="s">
        <v>196</v>
      </c>
      <c r="C239" s="234">
        <v>0.0101</v>
      </c>
      <c r="D239" s="234">
        <v>2404584.0</v>
      </c>
      <c r="E239" s="17">
        <v>27440.0</v>
      </c>
      <c r="F239" s="17">
        <v>41160.0</v>
      </c>
      <c r="G239" s="6">
        <f t="shared" si="8"/>
        <v>2473184.0101</v>
      </c>
      <c r="H239" s="233"/>
    </row>
    <row r="240" spans="8:8">
      <c r="A240" s="3" t="s">
        <v>262</v>
      </c>
      <c r="B240" s="4" t="s">
        <v>196</v>
      </c>
      <c r="C240" s="234">
        <v>0.0101</v>
      </c>
      <c r="D240" s="234">
        <v>2885500.8</v>
      </c>
      <c r="E240" s="17">
        <v>27440.0</v>
      </c>
      <c r="F240" s="17">
        <v>41160.0</v>
      </c>
      <c r="G240" s="6">
        <f t="shared" si="8"/>
        <v>2954100.8101</v>
      </c>
      <c r="H240" s="233"/>
    </row>
    <row r="241" spans="8:8">
      <c r="A241" s="3" t="s">
        <v>265</v>
      </c>
      <c r="B241" s="4" t="s">
        <v>196</v>
      </c>
      <c r="C241" s="234">
        <v>0.0101</v>
      </c>
      <c r="D241" s="234">
        <v>2404584.0</v>
      </c>
      <c r="E241" s="17">
        <v>27440.0</v>
      </c>
      <c r="F241" s="17">
        <v>41160.0</v>
      </c>
      <c r="G241" s="6">
        <f t="shared" si="8"/>
        <v>2473184.0101</v>
      </c>
      <c r="H241" s="233"/>
    </row>
    <row r="242" spans="8:8">
      <c r="A242" s="3" t="s">
        <v>266</v>
      </c>
      <c r="B242" s="4" t="s">
        <v>196</v>
      </c>
      <c r="C242" s="234">
        <v>0.0101</v>
      </c>
      <c r="D242" s="234">
        <v>2404584.0</v>
      </c>
      <c r="E242" s="17">
        <v>27440.0</v>
      </c>
      <c r="F242" s="17">
        <v>41160.0</v>
      </c>
      <c r="G242" s="6">
        <f t="shared" si="8"/>
        <v>2473184.0101</v>
      </c>
      <c r="H242" s="233"/>
    </row>
    <row r="243" spans="8:8">
      <c r="A243" s="3" t="s">
        <v>267</v>
      </c>
      <c r="B243" s="4" t="s">
        <v>196</v>
      </c>
      <c r="C243" s="234">
        <v>0.0101</v>
      </c>
      <c r="D243" s="234">
        <v>2404584.0</v>
      </c>
      <c r="E243" s="17">
        <v>27440.0</v>
      </c>
      <c r="F243" s="17">
        <v>41160.0</v>
      </c>
      <c r="G243" s="6">
        <f t="shared" si="8"/>
        <v>2473184.0101</v>
      </c>
      <c r="H243" s="233"/>
    </row>
    <row r="244" spans="8:8">
      <c r="A244" s="3" t="s">
        <v>268</v>
      </c>
      <c r="B244" s="4" t="s">
        <v>196</v>
      </c>
      <c r="C244" s="234">
        <v>0.0101</v>
      </c>
      <c r="D244" s="234">
        <v>2404584.0</v>
      </c>
      <c r="E244" s="17">
        <v>27440.0</v>
      </c>
      <c r="F244" s="17">
        <v>41160.0</v>
      </c>
      <c r="G244" s="6">
        <f t="shared" si="8"/>
        <v>2473184.0101</v>
      </c>
      <c r="H244" s="233"/>
    </row>
    <row r="245" spans="8:8">
      <c r="A245" s="3" t="s">
        <v>269</v>
      </c>
      <c r="B245" s="4" t="s">
        <v>196</v>
      </c>
      <c r="C245" s="234">
        <v>0.0101</v>
      </c>
      <c r="D245" s="234">
        <v>2404584.0</v>
      </c>
      <c r="E245" s="17">
        <v>27440.0</v>
      </c>
      <c r="F245" s="17">
        <v>41160.0</v>
      </c>
      <c r="G245" s="6">
        <f t="shared" si="8"/>
        <v>2473184.0101</v>
      </c>
      <c r="H245" s="233"/>
    </row>
    <row r="246" spans="8:8">
      <c r="A246" s="3" t="s">
        <v>270</v>
      </c>
      <c r="B246" s="4" t="s">
        <v>196</v>
      </c>
      <c r="C246" s="234">
        <v>0.0101</v>
      </c>
      <c r="D246" s="234">
        <v>2404584.0</v>
      </c>
      <c r="E246" s="17">
        <v>27440.0</v>
      </c>
      <c r="F246" s="17">
        <v>41160.0</v>
      </c>
      <c r="G246" s="6">
        <f t="shared" si="8"/>
        <v>2473184.0101</v>
      </c>
      <c r="H246" s="233"/>
    </row>
    <row r="247" spans="8:8">
      <c r="A247" s="3" t="s">
        <v>271</v>
      </c>
      <c r="B247" s="4" t="s">
        <v>196</v>
      </c>
      <c r="C247" s="234">
        <v>0.0101</v>
      </c>
      <c r="D247" s="234">
        <v>2404584.0</v>
      </c>
      <c r="E247" s="17">
        <v>27440.0</v>
      </c>
      <c r="F247" s="17">
        <v>41160.0</v>
      </c>
      <c r="G247" s="6">
        <f t="shared" si="8"/>
        <v>2473184.0101</v>
      </c>
      <c r="H247" s="233"/>
    </row>
    <row r="248" spans="8:8">
      <c r="A248" s="3" t="s">
        <v>272</v>
      </c>
      <c r="B248" s="4" t="s">
        <v>196</v>
      </c>
      <c r="C248" s="234">
        <v>0.0101</v>
      </c>
      <c r="D248" s="234">
        <v>2404584.0</v>
      </c>
      <c r="E248" s="17">
        <v>27440.0</v>
      </c>
      <c r="F248" s="17">
        <v>41160.0</v>
      </c>
      <c r="G248" s="6">
        <f t="shared" si="8"/>
        <v>2473184.0101</v>
      </c>
      <c r="H248" s="233"/>
    </row>
    <row r="249" spans="8:8">
      <c r="A249" s="3" t="s">
        <v>273</v>
      </c>
      <c r="B249" s="4" t="s">
        <v>196</v>
      </c>
      <c r="C249" s="234">
        <v>0.0101</v>
      </c>
      <c r="D249" s="234">
        <v>2404584.0</v>
      </c>
      <c r="E249" s="17">
        <v>27440.0</v>
      </c>
      <c r="F249" s="17">
        <v>41160.0</v>
      </c>
      <c r="G249" s="6">
        <f t="shared" si="9" ref="G249:G253">SUM(C249:F249)</f>
        <v>2473184.0101</v>
      </c>
      <c r="H249" s="233"/>
    </row>
    <row r="250" spans="8:8">
      <c r="A250" s="3" t="s">
        <v>274</v>
      </c>
      <c r="B250" s="4" t="s">
        <v>196</v>
      </c>
      <c r="C250" s="234">
        <v>0.0101</v>
      </c>
      <c r="D250" s="234">
        <v>2404584.0</v>
      </c>
      <c r="E250" s="17">
        <v>27440.0</v>
      </c>
      <c r="F250" s="17">
        <v>41160.0</v>
      </c>
      <c r="G250" s="6">
        <f t="shared" si="9"/>
        <v>2473184.0101</v>
      </c>
      <c r="H250" s="233"/>
    </row>
    <row r="251" spans="8:8">
      <c r="A251" s="3" t="s">
        <v>275</v>
      </c>
      <c r="B251" s="4" t="s">
        <v>196</v>
      </c>
      <c r="C251" s="234">
        <v>0.0101</v>
      </c>
      <c r="D251" s="234">
        <v>2404584.0</v>
      </c>
      <c r="E251" s="17">
        <v>27440.0</v>
      </c>
      <c r="F251" s="17">
        <v>41160.0</v>
      </c>
      <c r="G251" s="6">
        <f t="shared" si="9"/>
        <v>2473184.0101</v>
      </c>
      <c r="H251" s="233"/>
    </row>
    <row r="252" spans="8:8">
      <c r="A252" s="3" t="s">
        <v>276</v>
      </c>
      <c r="B252" s="4" t="s">
        <v>196</v>
      </c>
      <c r="C252" s="234">
        <v>0.0101</v>
      </c>
      <c r="D252" s="234">
        <v>2404584.0</v>
      </c>
      <c r="E252" s="17">
        <v>27440.0</v>
      </c>
      <c r="F252" s="17">
        <v>41160.0</v>
      </c>
      <c r="G252" s="6">
        <f t="shared" si="9"/>
        <v>2473184.0101</v>
      </c>
      <c r="H252" s="233"/>
    </row>
    <row r="253" spans="8:8">
      <c r="A253" s="15" t="s">
        <v>277</v>
      </c>
      <c r="B253" s="4" t="s">
        <v>196</v>
      </c>
      <c r="C253" s="234">
        <v>0.0101</v>
      </c>
      <c r="D253" s="234">
        <v>2404584.0</v>
      </c>
      <c r="E253" s="17">
        <v>27440.0</v>
      </c>
      <c r="F253" s="17">
        <v>41160.0</v>
      </c>
      <c r="G253" s="6">
        <f t="shared" si="9"/>
        <v>2473184.0101</v>
      </c>
      <c r="H253" s="233"/>
    </row>
    <row r="254" spans="8:8">
      <c r="A254" s="18" t="s">
        <v>347</v>
      </c>
      <c r="B254" s="4" t="s">
        <v>196</v>
      </c>
      <c r="C254" s="234">
        <v>0.0101</v>
      </c>
      <c r="D254" s="234">
        <f>2404584*3</f>
        <v>7213752.0</v>
      </c>
      <c r="E254" s="17">
        <f>27440*3</f>
        <v>82320.0</v>
      </c>
      <c r="F254" s="17">
        <f>41160*3</f>
        <v>123480.0</v>
      </c>
      <c r="G254" s="205">
        <f>SUM(C254:F254)</f>
        <v>7419552.0101</v>
      </c>
      <c r="H254" s="212"/>
    </row>
    <row r="255" spans="8:8">
      <c r="A255" s="3" t="s">
        <v>280</v>
      </c>
      <c r="B255" s="4" t="s">
        <v>196</v>
      </c>
      <c r="C255" s="234">
        <v>170614.08000000002</v>
      </c>
      <c r="D255" s="234">
        <v>2888121.6</v>
      </c>
      <c r="E255" s="17">
        <v>27440.0</v>
      </c>
      <c r="F255" s="17">
        <v>41160.0</v>
      </c>
      <c r="G255" s="6">
        <f>SUM(D255:F255)</f>
        <v>2956721.6</v>
      </c>
      <c r="H255" s="233"/>
    </row>
    <row r="256" spans="8:8">
      <c r="A256" s="207" t="s">
        <v>281</v>
      </c>
      <c r="B256" s="208" t="s">
        <v>282</v>
      </c>
      <c r="C256" s="209">
        <v>1000000.0</v>
      </c>
      <c r="D256" s="218" t="s">
        <v>292</v>
      </c>
      <c r="E256" s="180" t="s">
        <v>292</v>
      </c>
      <c r="F256" s="180" t="s">
        <v>292</v>
      </c>
      <c r="G256" s="210">
        <f t="shared" si="10" ref="G256:G265">SUM(C256:F256)</f>
        <v>1000000.0</v>
      </c>
    </row>
    <row r="257" spans="8:8">
      <c r="A257" s="207" t="s">
        <v>283</v>
      </c>
      <c r="B257" s="208" t="s">
        <v>282</v>
      </c>
      <c r="C257" s="209">
        <v>756.0</v>
      </c>
      <c r="D257" s="218" t="s">
        <v>292</v>
      </c>
      <c r="E257" s="180" t="s">
        <v>292</v>
      </c>
      <c r="F257" s="180" t="s">
        <v>292</v>
      </c>
      <c r="G257" s="210">
        <f t="shared" si="10"/>
        <v>756.0</v>
      </c>
    </row>
    <row r="258" spans="8:8">
      <c r="A258" s="207" t="s">
        <v>284</v>
      </c>
      <c r="B258" s="208" t="s">
        <v>285</v>
      </c>
      <c r="C258" s="211">
        <v>8232.0</v>
      </c>
      <c r="D258" s="218" t="s">
        <v>292</v>
      </c>
      <c r="E258" s="180" t="s">
        <v>292</v>
      </c>
      <c r="F258" s="180" t="s">
        <v>292</v>
      </c>
      <c r="G258" s="210">
        <f t="shared" si="10"/>
        <v>8232.0</v>
      </c>
      <c r="H258" s="239"/>
    </row>
    <row r="259" spans="8:8">
      <c r="A259" s="207" t="s">
        <v>286</v>
      </c>
      <c r="B259" s="208" t="s">
        <v>285</v>
      </c>
      <c r="C259" s="211">
        <v>13720.0</v>
      </c>
      <c r="D259" s="218" t="s">
        <v>292</v>
      </c>
      <c r="E259" s="180" t="s">
        <v>292</v>
      </c>
      <c r="F259" s="180" t="s">
        <v>292</v>
      </c>
      <c r="G259" s="210">
        <f t="shared" si="10"/>
        <v>13720.0</v>
      </c>
      <c r="H259" s="239"/>
    </row>
    <row r="260" spans="8:8">
      <c r="A260" s="15" t="s">
        <v>4</v>
      </c>
      <c r="B260" s="16" t="s">
        <v>285</v>
      </c>
      <c r="C260" s="20">
        <v>27440.0</v>
      </c>
      <c r="D260" s="218" t="s">
        <v>292</v>
      </c>
      <c r="E260" s="180" t="s">
        <v>292</v>
      </c>
      <c r="F260" s="180" t="s">
        <v>292</v>
      </c>
      <c r="G260" s="210">
        <f t="shared" si="10"/>
        <v>27440.0</v>
      </c>
      <c r="H260" s="239"/>
    </row>
    <row r="261" spans="8:8">
      <c r="A261" s="15" t="s">
        <v>287</v>
      </c>
      <c r="B261" s="16" t="s">
        <v>285</v>
      </c>
      <c r="C261" s="20">
        <v>82320.0</v>
      </c>
      <c r="D261" s="218" t="s">
        <v>292</v>
      </c>
      <c r="E261" s="180" t="s">
        <v>292</v>
      </c>
      <c r="F261" s="180" t="s">
        <v>292</v>
      </c>
      <c r="G261" s="210">
        <f t="shared" si="10"/>
        <v>82320.0</v>
      </c>
      <c r="H261" s="239"/>
    </row>
    <row r="262" spans="8:8">
      <c r="A262" s="15" t="s">
        <v>319</v>
      </c>
      <c r="B262" s="16" t="s">
        <v>285</v>
      </c>
      <c r="C262" s="20">
        <v>32928.0</v>
      </c>
      <c r="D262" s="218" t="s">
        <v>292</v>
      </c>
      <c r="E262" s="180" t="s">
        <v>292</v>
      </c>
      <c r="F262" s="180" t="s">
        <v>292</v>
      </c>
      <c r="G262" s="210">
        <f t="shared" si="10"/>
        <v>32928.0</v>
      </c>
      <c r="H262" s="239"/>
    </row>
    <row r="263" spans="8:8">
      <c r="A263" s="15" t="s">
        <v>5</v>
      </c>
      <c r="B263" s="16" t="s">
        <v>285</v>
      </c>
      <c r="C263" s="20">
        <v>41160.0</v>
      </c>
      <c r="D263" s="218" t="s">
        <v>292</v>
      </c>
      <c r="E263" s="180" t="s">
        <v>292</v>
      </c>
      <c r="F263" s="180" t="s">
        <v>292</v>
      </c>
      <c r="G263" s="210">
        <f t="shared" si="10"/>
        <v>41160.0</v>
      </c>
      <c r="H263" s="239"/>
    </row>
    <row r="264" spans="8:8">
      <c r="A264" s="15" t="s">
        <v>288</v>
      </c>
      <c r="B264" s="16" t="s">
        <v>285</v>
      </c>
      <c r="C264" s="20">
        <v>137200.0</v>
      </c>
      <c r="D264" s="218" t="s">
        <v>292</v>
      </c>
      <c r="E264" s="180" t="s">
        <v>292</v>
      </c>
      <c r="F264" s="180" t="s">
        <v>292</v>
      </c>
      <c r="G264" s="210">
        <f t="shared" si="10"/>
        <v>137200.0</v>
      </c>
    </row>
    <row r="265" spans="8:8">
      <c r="A265" s="207" t="s">
        <v>291</v>
      </c>
      <c r="B265" s="208" t="s">
        <v>290</v>
      </c>
      <c r="C265" s="209">
        <v>431733.12000000005</v>
      </c>
      <c r="D265" s="209">
        <v>431733.12000000005</v>
      </c>
      <c r="E265" s="17">
        <v>27440.0</v>
      </c>
      <c r="F265" s="17">
        <v>41160.0</v>
      </c>
      <c r="G265" s="210">
        <f t="shared" si="10"/>
        <v>932066.2400000001</v>
      </c>
      <c r="H265" s="239"/>
    </row>
    <row r="266" spans="8:8">
      <c r="B266" s="189"/>
      <c r="C266" s="161"/>
      <c r="D266" s="161"/>
      <c r="E266" s="191"/>
    </row>
    <row r="267" spans="8:8">
      <c r="B267" s="71"/>
      <c r="C267" s="161"/>
      <c r="D267" s="161"/>
      <c r="E267" s="191"/>
    </row>
    <row r="268" spans="8:8">
      <c r="E268" s="191"/>
    </row>
    <row r="271" spans="8:8">
      <c r="A271" s="38" t="s">
        <v>351</v>
      </c>
    </row>
    <row r="280" spans="8:8">
      <c r="K280" s="49"/>
    </row>
    <row r="281" spans="8:8" s="49" ht="15.0" customFormat="1">
      <c r="A281" s="38"/>
      <c r="B281" s="39"/>
      <c r="C281" s="40"/>
      <c r="D281" s="40"/>
      <c r="E281" s="163"/>
      <c r="F281" s="163"/>
      <c r="G281" s="161"/>
      <c r="H281" s="161"/>
      <c r="I281" s="39"/>
      <c r="J281" s="39"/>
    </row>
    <row r="289" spans="8:8" s="49" ht="15.0" customFormat="1">
      <c r="A289" s="38"/>
      <c r="B289" s="39"/>
      <c r="C289" s="40"/>
      <c r="D289" s="40"/>
      <c r="E289" s="163"/>
      <c r="F289" s="163"/>
      <c r="G289" s="161"/>
      <c r="H289" s="161"/>
      <c r="I289" s="39"/>
      <c r="J289" s="39"/>
    </row>
    <row r="292" spans="8:8" s="49" ht="15.0" customFormat="1">
      <c r="A292" s="38"/>
      <c r="B292" s="39"/>
      <c r="C292" s="40"/>
      <c r="D292" s="40"/>
      <c r="E292" s="163"/>
      <c r="F292" s="163"/>
      <c r="G292" s="161"/>
      <c r="H292" s="161"/>
      <c r="I292" s="39"/>
      <c r="J292" s="39"/>
    </row>
    <row r="293" spans="8:8" s="49" ht="15.0" customFormat="1">
      <c r="A293" s="38"/>
      <c r="B293" s="39"/>
      <c r="C293" s="40"/>
      <c r="D293" s="40"/>
      <c r="E293" s="163"/>
      <c r="F293" s="163"/>
      <c r="G293" s="161"/>
      <c r="H293" s="161"/>
      <c r="I293" s="39"/>
      <c r="J293" s="39"/>
    </row>
    <row r="294" spans="8:8">
      <c r="K294" s="71"/>
    </row>
    <row r="295" spans="8:8">
      <c r="K295" s="71"/>
    </row>
  </sheetData>
  <pageMargins left="0.7" right="0.7" top="0.43" bottom="0.38" header="0.3" footer="0.22"/>
</worksheet>
</file>

<file path=xl/worksheets/sheet17.xml><?xml version="1.0" encoding="utf-8"?>
<worksheet xmlns:r="http://schemas.openxmlformats.org/officeDocument/2006/relationships" xmlns="http://schemas.openxmlformats.org/spreadsheetml/2006/main">
  <dimension ref="A1:O298"/>
  <sheetViews>
    <sheetView workbookViewId="0" topLeftCell="A271">
      <selection activeCell="D282" sqref="D282"/>
    </sheetView>
  </sheetViews>
  <sheetFormatPr defaultRowHeight="15.0" defaultColWidth="10"/>
  <cols>
    <col min="1" max="1" customWidth="1" bestFit="1" width="60.140625" style="38"/>
    <col min="2" max="2" customWidth="1" width="15.0" style="39"/>
    <col min="3" max="3" customWidth="1" width="12.425781" style="40"/>
    <col min="4" max="4" customWidth="1" width="15.285156" style="40"/>
    <col min="5" max="5" customWidth="1" width="12.855469" style="163"/>
    <col min="6" max="6" customWidth="1" width="18.140625" style="163"/>
    <col min="7" max="7" customWidth="1" width="19.710938" style="163"/>
    <col min="8" max="8" customWidth="1" width="13.140625" style="161"/>
    <col min="9" max="9" customWidth="1" width="14.5703125" style="39"/>
    <col min="10" max="16384" customWidth="0" width="11.425781" style="39"/>
  </cols>
  <sheetData>
    <row r="1" spans="8:8">
      <c r="A1" s="1" t="s">
        <v>0</v>
      </c>
      <c r="B1" s="1" t="s">
        <v>1</v>
      </c>
      <c r="C1" s="2" t="s">
        <v>2</v>
      </c>
      <c r="D1" s="2" t="s">
        <v>3</v>
      </c>
      <c r="E1" s="80" t="s">
        <v>4</v>
      </c>
      <c r="F1" s="80" t="s">
        <v>5</v>
      </c>
      <c r="G1" s="80" t="s">
        <v>319</v>
      </c>
      <c r="H1" s="2" t="s">
        <v>294</v>
      </c>
    </row>
    <row r="2" spans="8:8">
      <c r="A2" s="3" t="s">
        <v>7</v>
      </c>
      <c r="B2" s="4" t="s">
        <v>8</v>
      </c>
      <c r="C2" s="235">
        <v>0.01</v>
      </c>
      <c r="D2" s="240">
        <v>303069.31200000003</v>
      </c>
      <c r="E2" s="241">
        <v>27440.0</v>
      </c>
      <c r="F2" s="241">
        <v>41160.0</v>
      </c>
      <c r="G2" s="180" t="s">
        <v>292</v>
      </c>
      <c r="H2" s="43">
        <f t="shared" si="0" ref="H2:H4">SUM(C2:F2)</f>
        <v>371669.32200000004</v>
      </c>
    </row>
    <row r="3" spans="8:8">
      <c r="A3" s="3" t="s">
        <v>9</v>
      </c>
      <c r="B3" s="4" t="s">
        <v>8</v>
      </c>
      <c r="C3" s="235">
        <v>0.01</v>
      </c>
      <c r="D3" s="240">
        <v>303069.31200000003</v>
      </c>
      <c r="E3" s="241">
        <v>27440.0</v>
      </c>
      <c r="F3" s="241">
        <v>41160.0</v>
      </c>
      <c r="G3" s="180" t="s">
        <v>292</v>
      </c>
      <c r="H3" s="43">
        <f t="shared" si="0"/>
        <v>371669.32200000004</v>
      </c>
    </row>
    <row r="4" spans="8:8">
      <c r="A4" s="3" t="s">
        <v>10</v>
      </c>
      <c r="B4" s="4" t="s">
        <v>8</v>
      </c>
      <c r="C4" s="235">
        <v>0.01</v>
      </c>
      <c r="D4" s="240">
        <v>303069.31200000003</v>
      </c>
      <c r="E4" s="241">
        <v>27440.0</v>
      </c>
      <c r="F4" s="241">
        <v>41160.0</v>
      </c>
      <c r="G4" s="180" t="s">
        <v>292</v>
      </c>
      <c r="H4" s="43">
        <f t="shared" si="0"/>
        <v>371669.32200000004</v>
      </c>
    </row>
    <row r="5" spans="8:8">
      <c r="A5" s="3" t="s">
        <v>11</v>
      </c>
      <c r="B5" s="4" t="s">
        <v>8</v>
      </c>
      <c r="C5" s="235">
        <v>0.01</v>
      </c>
      <c r="D5" s="240">
        <v>432956.17400000006</v>
      </c>
      <c r="E5" s="241">
        <v>27440.0</v>
      </c>
      <c r="F5" s="241">
        <v>41160.0</v>
      </c>
      <c r="G5" s="180" t="s">
        <v>292</v>
      </c>
      <c r="H5" s="43">
        <f>SUM(C5:F5)</f>
        <v>501556.18400000007</v>
      </c>
    </row>
    <row r="6" spans="8:8">
      <c r="A6" s="14" t="s">
        <v>352</v>
      </c>
      <c r="B6" s="4" t="s">
        <v>13</v>
      </c>
      <c r="C6" s="240">
        <v>193484.928</v>
      </c>
      <c r="D6" s="240">
        <v>107872.12800000001</v>
      </c>
      <c r="E6" s="241">
        <v>27440.0</v>
      </c>
      <c r="F6" s="241">
        <v>41160.0</v>
      </c>
      <c r="G6" s="20">
        <v>32928.0</v>
      </c>
      <c r="H6" s="43">
        <f t="shared" si="1" ref="H6:H26">SUM(C6:G6)</f>
        <v>402885.05600000004</v>
      </c>
      <c r="I6" s="71"/>
      <c r="J6" s="71"/>
      <c r="K6" s="71"/>
      <c r="L6" s="71"/>
      <c r="M6" s="71"/>
      <c r="N6" s="71"/>
    </row>
    <row r="7" spans="8:8">
      <c r="A7" s="204" t="s">
        <v>353</v>
      </c>
      <c r="B7" s="4" t="s">
        <v>13</v>
      </c>
      <c r="C7" s="240">
        <v>193484.928</v>
      </c>
      <c r="D7" s="240">
        <v>107872.12800000001</v>
      </c>
      <c r="E7" s="241">
        <v>27440.0</v>
      </c>
      <c r="F7" s="241">
        <v>41160.0</v>
      </c>
      <c r="G7" s="20">
        <v>32928.0</v>
      </c>
      <c r="H7" s="205">
        <v>805770.12</v>
      </c>
      <c r="I7" s="71"/>
      <c r="J7" s="71"/>
      <c r="K7" s="71"/>
      <c r="L7" s="71"/>
      <c r="M7" s="71"/>
      <c r="N7" s="71"/>
    </row>
    <row r="8" spans="8:8">
      <c r="A8" s="3" t="s">
        <v>15</v>
      </c>
      <c r="B8" s="4" t="s">
        <v>13</v>
      </c>
      <c r="C8" s="240">
        <v>193484.928</v>
      </c>
      <c r="D8" s="240">
        <v>107872.12800000001</v>
      </c>
      <c r="E8" s="241">
        <v>27440.0</v>
      </c>
      <c r="F8" s="241">
        <v>41160.0</v>
      </c>
      <c r="G8" s="20">
        <v>32928.0</v>
      </c>
      <c r="H8" s="43">
        <f t="shared" si="1"/>
        <v>402885.05600000004</v>
      </c>
      <c r="I8" s="71"/>
      <c r="J8" s="71"/>
      <c r="K8" s="71"/>
      <c r="L8" s="71"/>
      <c r="M8" s="71"/>
      <c r="N8" s="71"/>
    </row>
    <row r="9" spans="8:8">
      <c r="A9" s="3" t="s">
        <v>16</v>
      </c>
      <c r="B9" s="4" t="s">
        <v>13</v>
      </c>
      <c r="C9" s="240">
        <v>193484.928</v>
      </c>
      <c r="D9" s="240">
        <v>107872.12800000001</v>
      </c>
      <c r="E9" s="241">
        <v>27440.0</v>
      </c>
      <c r="F9" s="241">
        <v>41160.0</v>
      </c>
      <c r="G9" s="20">
        <v>32928.0</v>
      </c>
      <c r="H9" s="43">
        <f t="shared" si="1"/>
        <v>402885.05600000004</v>
      </c>
      <c r="I9" s="71"/>
      <c r="J9" s="71"/>
      <c r="K9" s="71"/>
      <c r="L9" s="71"/>
      <c r="M9" s="71"/>
      <c r="N9" s="71"/>
    </row>
    <row r="10" spans="8:8">
      <c r="A10" s="3" t="s">
        <v>17</v>
      </c>
      <c r="B10" s="4" t="s">
        <v>13</v>
      </c>
      <c r="C10" s="240">
        <v>673772.736</v>
      </c>
      <c r="D10" s="240">
        <v>246564.864</v>
      </c>
      <c r="E10" s="241">
        <v>27440.0</v>
      </c>
      <c r="F10" s="241">
        <v>41160.0</v>
      </c>
      <c r="G10" s="20">
        <v>32928.0</v>
      </c>
      <c r="H10" s="43">
        <f t="shared" si="1"/>
        <v>1021865.6000000001</v>
      </c>
      <c r="I10" s="71"/>
      <c r="J10" s="71"/>
      <c r="K10" s="71"/>
      <c r="L10" s="71"/>
      <c r="M10" s="71"/>
      <c r="N10" s="71"/>
    </row>
    <row r="11" spans="8:8">
      <c r="A11" s="3" t="s">
        <v>18</v>
      </c>
      <c r="B11" s="4" t="s">
        <v>13</v>
      </c>
      <c r="C11" s="240">
        <v>229442.304</v>
      </c>
      <c r="D11" s="240">
        <v>246564.864</v>
      </c>
      <c r="E11" s="241">
        <v>27440.0</v>
      </c>
      <c r="F11" s="241">
        <v>41160.0</v>
      </c>
      <c r="G11" s="20">
        <v>32928.0</v>
      </c>
      <c r="H11" s="43">
        <f t="shared" si="1"/>
        <v>577535.1680000001</v>
      </c>
      <c r="I11" s="71"/>
      <c r="J11" s="71"/>
      <c r="K11" s="71"/>
      <c r="L11" s="71"/>
      <c r="M11" s="71"/>
      <c r="N11" s="71"/>
    </row>
    <row r="12" spans="8:8">
      <c r="A12" s="3" t="s">
        <v>19</v>
      </c>
      <c r="B12" s="4" t="s">
        <v>13</v>
      </c>
      <c r="C12" s="240">
        <v>229442.304</v>
      </c>
      <c r="D12" s="240">
        <v>246564.864</v>
      </c>
      <c r="E12" s="241">
        <v>27440.0</v>
      </c>
      <c r="F12" s="241">
        <v>41160.0</v>
      </c>
      <c r="G12" s="20">
        <v>32928.0</v>
      </c>
      <c r="H12" s="43">
        <f t="shared" si="1"/>
        <v>577535.1680000001</v>
      </c>
      <c r="I12" s="71"/>
      <c r="J12" s="71"/>
      <c r="K12" s="71"/>
      <c r="L12" s="71"/>
      <c r="M12" s="71"/>
      <c r="N12" s="71"/>
    </row>
    <row r="13" spans="8:8">
      <c r="A13" s="3" t="s">
        <v>20</v>
      </c>
      <c r="B13" s="4" t="s">
        <v>13</v>
      </c>
      <c r="C13" s="240">
        <v>229442.304</v>
      </c>
      <c r="D13" s="240">
        <v>246564.864</v>
      </c>
      <c r="E13" s="241">
        <v>27440.0</v>
      </c>
      <c r="F13" s="241">
        <v>41160.0</v>
      </c>
      <c r="G13" s="20">
        <v>32928.0</v>
      </c>
      <c r="H13" s="43">
        <f t="shared" si="1"/>
        <v>577535.1680000001</v>
      </c>
    </row>
    <row r="14" spans="8:8">
      <c r="A14" s="206" t="s">
        <v>21</v>
      </c>
      <c r="B14" s="4" t="s">
        <v>13</v>
      </c>
      <c r="C14" s="240">
        <v>229442.304</v>
      </c>
      <c r="D14" s="240">
        <v>246564.864</v>
      </c>
      <c r="E14" s="241">
        <v>27440.0</v>
      </c>
      <c r="F14" s="241">
        <v>41160.0</v>
      </c>
      <c r="G14" s="20">
        <v>32928.0</v>
      </c>
      <c r="H14" s="205">
        <v>1155070.34</v>
      </c>
    </row>
    <row r="15" spans="8:8">
      <c r="A15" s="15" t="s">
        <v>22</v>
      </c>
      <c r="B15" s="16" t="s">
        <v>13</v>
      </c>
      <c r="C15" s="240">
        <v>229442.304</v>
      </c>
      <c r="D15" s="240">
        <v>246564.864</v>
      </c>
      <c r="E15" s="241">
        <v>27440.0</v>
      </c>
      <c r="F15" s="241">
        <v>41160.0</v>
      </c>
      <c r="G15" s="20">
        <v>32928.0</v>
      </c>
      <c r="H15" s="43">
        <f t="shared" si="1"/>
        <v>577535.1680000001</v>
      </c>
    </row>
    <row r="16" spans="8:8">
      <c r="A16" s="206" t="s">
        <v>23</v>
      </c>
      <c r="B16" s="16" t="s">
        <v>13</v>
      </c>
      <c r="C16" s="240">
        <v>229442.304</v>
      </c>
      <c r="D16" s="240">
        <v>246564.864</v>
      </c>
      <c r="E16" s="241">
        <v>27440.0</v>
      </c>
      <c r="F16" s="241">
        <v>41160.0</v>
      </c>
      <c r="G16" s="20">
        <v>32928.0</v>
      </c>
      <c r="H16" s="205">
        <v>1155070.34</v>
      </c>
    </row>
    <row r="17" spans="8:8">
      <c r="A17" s="3" t="s">
        <v>24</v>
      </c>
      <c r="B17" s="16" t="s">
        <v>13</v>
      </c>
      <c r="C17" s="240">
        <v>229442.304</v>
      </c>
      <c r="D17" s="240">
        <v>246564.864</v>
      </c>
      <c r="E17" s="241">
        <v>27440.0</v>
      </c>
      <c r="F17" s="241">
        <v>41160.0</v>
      </c>
      <c r="G17" s="20">
        <v>32928.0</v>
      </c>
      <c r="H17" s="43">
        <f t="shared" si="1"/>
        <v>577535.1680000001</v>
      </c>
    </row>
    <row r="18" spans="8:8">
      <c r="A18" s="3" t="s">
        <v>25</v>
      </c>
      <c r="B18" s="4" t="s">
        <v>13</v>
      </c>
      <c r="C18" s="240">
        <v>229442.304</v>
      </c>
      <c r="D18" s="240">
        <v>246564.864</v>
      </c>
      <c r="E18" s="241">
        <v>27440.0</v>
      </c>
      <c r="F18" s="241">
        <v>41160.0</v>
      </c>
      <c r="G18" s="20">
        <v>32928.0</v>
      </c>
      <c r="H18" s="43">
        <f t="shared" si="1"/>
        <v>577535.1680000001</v>
      </c>
    </row>
    <row r="19" spans="8:8">
      <c r="A19" s="3" t="s">
        <v>26</v>
      </c>
      <c r="B19" s="4" t="s">
        <v>13</v>
      </c>
      <c r="C19" s="240">
        <v>229442.304</v>
      </c>
      <c r="D19" s="240">
        <v>246564.864</v>
      </c>
      <c r="E19" s="241">
        <v>27440.0</v>
      </c>
      <c r="F19" s="241">
        <v>41160.0</v>
      </c>
      <c r="G19" s="20">
        <v>32928.0</v>
      </c>
      <c r="H19" s="43">
        <f t="shared" si="1"/>
        <v>577535.1680000001</v>
      </c>
    </row>
    <row r="20" spans="8:8">
      <c r="A20" s="3" t="s">
        <v>27</v>
      </c>
      <c r="B20" s="4" t="s">
        <v>13</v>
      </c>
      <c r="C20" s="240">
        <v>229442.304</v>
      </c>
      <c r="D20" s="240">
        <v>246564.864</v>
      </c>
      <c r="E20" s="241">
        <v>27440.0</v>
      </c>
      <c r="F20" s="241">
        <v>41160.0</v>
      </c>
      <c r="G20" s="20">
        <v>32928.0</v>
      </c>
      <c r="H20" s="43">
        <f t="shared" si="1"/>
        <v>577535.1680000001</v>
      </c>
    </row>
    <row r="21" spans="8:8">
      <c r="A21" s="3" t="s">
        <v>28</v>
      </c>
      <c r="B21" s="4" t="s">
        <v>13</v>
      </c>
      <c r="C21" s="240">
        <v>229442.304</v>
      </c>
      <c r="D21" s="240">
        <v>246564.864</v>
      </c>
      <c r="E21" s="241">
        <v>27440.0</v>
      </c>
      <c r="F21" s="241">
        <v>41160.0</v>
      </c>
      <c r="G21" s="20">
        <v>32928.0</v>
      </c>
      <c r="H21" s="43">
        <f t="shared" si="1"/>
        <v>577535.1680000001</v>
      </c>
    </row>
    <row r="22" spans="8:8">
      <c r="A22" s="3" t="s">
        <v>29</v>
      </c>
      <c r="B22" s="4" t="s">
        <v>13</v>
      </c>
      <c r="C22" s="240">
        <v>229442.304</v>
      </c>
      <c r="D22" s="240">
        <v>246564.864</v>
      </c>
      <c r="E22" s="241">
        <v>27440.0</v>
      </c>
      <c r="F22" s="241">
        <v>41160.0</v>
      </c>
      <c r="G22" s="20">
        <v>32928.0</v>
      </c>
      <c r="H22" s="43">
        <f t="shared" si="1"/>
        <v>577535.1680000001</v>
      </c>
    </row>
    <row r="23" spans="8:8">
      <c r="A23" s="14" t="s">
        <v>354</v>
      </c>
      <c r="B23" s="4" t="s">
        <v>13</v>
      </c>
      <c r="C23" s="240">
        <v>229442.304</v>
      </c>
      <c r="D23" s="240">
        <v>246564.864</v>
      </c>
      <c r="E23" s="241">
        <v>27440.0</v>
      </c>
      <c r="F23" s="241">
        <v>41160.0</v>
      </c>
      <c r="G23" s="20">
        <v>32928.0</v>
      </c>
      <c r="H23" s="43">
        <f t="shared" si="1"/>
        <v>577535.1680000001</v>
      </c>
    </row>
    <row r="24" spans="8:8">
      <c r="A24" s="3" t="s">
        <v>31</v>
      </c>
      <c r="B24" s="4" t="s">
        <v>13</v>
      </c>
      <c r="C24" s="240">
        <v>229442.304</v>
      </c>
      <c r="D24" s="240">
        <v>246564.864</v>
      </c>
      <c r="E24" s="241">
        <v>27440.0</v>
      </c>
      <c r="F24" s="241">
        <v>41160.0</v>
      </c>
      <c r="G24" s="20">
        <v>32928.0</v>
      </c>
      <c r="H24" s="43">
        <f t="shared" si="1"/>
        <v>577535.1680000001</v>
      </c>
    </row>
    <row r="25" spans="8:8">
      <c r="A25" s="3" t="s">
        <v>32</v>
      </c>
      <c r="B25" s="4" t="s">
        <v>13</v>
      </c>
      <c r="C25" s="240">
        <v>229442.304</v>
      </c>
      <c r="D25" s="240">
        <v>246564.864</v>
      </c>
      <c r="E25" s="241">
        <v>27440.0</v>
      </c>
      <c r="F25" s="241">
        <v>41160.0</v>
      </c>
      <c r="G25" s="20">
        <v>32928.0</v>
      </c>
      <c r="H25" s="43">
        <f t="shared" si="1"/>
        <v>577535.1680000001</v>
      </c>
    </row>
    <row r="26" spans="8:8">
      <c r="A26" s="3" t="s">
        <v>33</v>
      </c>
      <c r="B26" s="4" t="s">
        <v>13</v>
      </c>
      <c r="C26" s="240">
        <v>229442.304</v>
      </c>
      <c r="D26" s="240">
        <v>246564.864</v>
      </c>
      <c r="E26" s="241">
        <v>27440.0</v>
      </c>
      <c r="F26" s="241">
        <v>41160.0</v>
      </c>
      <c r="G26" s="20">
        <v>32928.0</v>
      </c>
      <c r="H26" s="43">
        <f t="shared" si="1"/>
        <v>577535.1680000001</v>
      </c>
    </row>
    <row r="27" spans="8:8">
      <c r="A27" s="3" t="s">
        <v>34</v>
      </c>
      <c r="B27" s="4" t="s">
        <v>13</v>
      </c>
      <c r="C27" s="240">
        <v>193484.928</v>
      </c>
      <c r="D27" s="240">
        <v>107872.12800000001</v>
      </c>
      <c r="E27" s="241">
        <v>27440.0</v>
      </c>
      <c r="F27" s="241">
        <v>41160.0</v>
      </c>
      <c r="G27" s="20">
        <v>32928.0</v>
      </c>
      <c r="H27" s="43">
        <f>SUM(C27:G27)</f>
        <v>402885.05600000004</v>
      </c>
    </row>
    <row r="28" spans="8:8">
      <c r="A28" s="3" t="s">
        <v>35</v>
      </c>
      <c r="B28" s="4" t="s">
        <v>13</v>
      </c>
      <c r="C28" s="240">
        <v>193484.928</v>
      </c>
      <c r="D28" s="240">
        <v>107872.12800000001</v>
      </c>
      <c r="E28" s="241">
        <v>27440.0</v>
      </c>
      <c r="F28" s="241">
        <v>41160.0</v>
      </c>
      <c r="G28" s="20">
        <v>32929.0</v>
      </c>
      <c r="H28" s="43">
        <f t="shared" si="2" ref="H28:H36">SUM(C28:G28)</f>
        <v>402886.05600000004</v>
      </c>
    </row>
    <row r="29" spans="8:8">
      <c r="A29" s="3" t="s">
        <v>36</v>
      </c>
      <c r="B29" s="4" t="s">
        <v>13</v>
      </c>
      <c r="C29" s="240">
        <v>193484.928</v>
      </c>
      <c r="D29" s="240">
        <v>107872.12800000001</v>
      </c>
      <c r="E29" s="241">
        <v>27440.0</v>
      </c>
      <c r="F29" s="241">
        <v>41160.0</v>
      </c>
      <c r="G29" s="20">
        <v>32930.0</v>
      </c>
      <c r="H29" s="43">
        <f t="shared" si="2"/>
        <v>402887.05600000004</v>
      </c>
    </row>
    <row r="30" spans="8:8">
      <c r="A30" s="14" t="s">
        <v>355</v>
      </c>
      <c r="B30" s="4" t="s">
        <v>13</v>
      </c>
      <c r="C30" s="240">
        <v>193484.928</v>
      </c>
      <c r="D30" s="240">
        <v>107872.12800000001</v>
      </c>
      <c r="E30" s="241">
        <v>27440.0</v>
      </c>
      <c r="F30" s="241">
        <v>41160.0</v>
      </c>
      <c r="G30" s="20">
        <v>32931.0</v>
      </c>
      <c r="H30" s="43">
        <f t="shared" si="2"/>
        <v>402888.05600000004</v>
      </c>
    </row>
    <row r="31" spans="8:8">
      <c r="A31" s="3" t="s">
        <v>38</v>
      </c>
      <c r="B31" s="4" t="s">
        <v>13</v>
      </c>
      <c r="C31" s="240">
        <v>193484.928</v>
      </c>
      <c r="D31" s="240">
        <v>107872.12800000001</v>
      </c>
      <c r="E31" s="241">
        <v>27440.0</v>
      </c>
      <c r="F31" s="241">
        <v>41160.0</v>
      </c>
      <c r="G31" s="20">
        <v>32932.0</v>
      </c>
      <c r="H31" s="43">
        <f t="shared" si="2"/>
        <v>402889.05600000004</v>
      </c>
    </row>
    <row r="32" spans="8:8">
      <c r="A32" s="15" t="s">
        <v>39</v>
      </c>
      <c r="B32" s="4" t="s">
        <v>13</v>
      </c>
      <c r="C32" s="240">
        <v>193484.928</v>
      </c>
      <c r="D32" s="240">
        <v>107872.12800000001</v>
      </c>
      <c r="E32" s="241">
        <v>27440.0</v>
      </c>
      <c r="F32" s="241">
        <v>41160.0</v>
      </c>
      <c r="G32" s="20">
        <v>32933.0</v>
      </c>
      <c r="H32" s="43">
        <f t="shared" si="2"/>
        <v>402890.05600000004</v>
      </c>
    </row>
    <row r="33" spans="8:8" s="49" ht="15.0" customFormat="1">
      <c r="A33" s="3" t="s">
        <v>40</v>
      </c>
      <c r="B33" s="16" t="s">
        <v>13</v>
      </c>
      <c r="C33" s="240">
        <v>193484.928</v>
      </c>
      <c r="D33" s="240">
        <v>107872.12800000001</v>
      </c>
      <c r="E33" s="241">
        <v>27440.0</v>
      </c>
      <c r="F33" s="241">
        <v>41160.0</v>
      </c>
      <c r="G33" s="20">
        <v>32934.0</v>
      </c>
      <c r="H33" s="43">
        <f t="shared" si="2"/>
        <v>402891.05600000004</v>
      </c>
    </row>
    <row r="34" spans="8:8">
      <c r="A34" s="15" t="s">
        <v>41</v>
      </c>
      <c r="B34" s="4" t="s">
        <v>13</v>
      </c>
      <c r="C34" s="240">
        <v>193484.928</v>
      </c>
      <c r="D34" s="240">
        <v>107872.12800000001</v>
      </c>
      <c r="E34" s="241">
        <v>27440.0</v>
      </c>
      <c r="F34" s="241">
        <v>41160.0</v>
      </c>
      <c r="G34" s="20">
        <v>32935.0</v>
      </c>
      <c r="H34" s="43">
        <f t="shared" si="2"/>
        <v>402892.05600000004</v>
      </c>
    </row>
    <row r="35" spans="8:8" s="49" ht="15.0" customFormat="1">
      <c r="A35" s="14" t="s">
        <v>356</v>
      </c>
      <c r="B35" s="16" t="s">
        <v>13</v>
      </c>
      <c r="C35" s="240">
        <v>193484.928</v>
      </c>
      <c r="D35" s="240">
        <v>107872.12800000001</v>
      </c>
      <c r="E35" s="241">
        <v>27440.0</v>
      </c>
      <c r="F35" s="241">
        <v>41160.0</v>
      </c>
      <c r="G35" s="20">
        <v>32936.0</v>
      </c>
      <c r="H35" s="43">
        <f t="shared" si="2"/>
        <v>402893.05600000004</v>
      </c>
    </row>
    <row r="36" spans="8:8">
      <c r="A36" s="14" t="s">
        <v>357</v>
      </c>
      <c r="B36" s="4" t="s">
        <v>13</v>
      </c>
      <c r="C36" s="240">
        <v>193484.928</v>
      </c>
      <c r="D36" s="240">
        <v>107872.12800000001</v>
      </c>
      <c r="E36" s="241">
        <v>27440.0</v>
      </c>
      <c r="F36" s="241">
        <v>41160.0</v>
      </c>
      <c r="G36" s="20">
        <v>32938.0</v>
      </c>
      <c r="H36" s="43">
        <f t="shared" si="2"/>
        <v>402895.05600000004</v>
      </c>
    </row>
    <row r="37" spans="8:8">
      <c r="A37" s="3" t="s">
        <v>45</v>
      </c>
      <c r="B37" s="4" t="s">
        <v>13</v>
      </c>
      <c r="C37" s="240">
        <v>437481.40799999994</v>
      </c>
      <c r="D37" s="240">
        <v>256838.40000000002</v>
      </c>
      <c r="E37" s="241">
        <v>27440.0</v>
      </c>
      <c r="F37" s="241">
        <v>41160.0</v>
      </c>
      <c r="G37" s="20">
        <v>32928.0</v>
      </c>
      <c r="H37" s="43">
        <f>SUM(C37:G37)</f>
        <v>795847.808</v>
      </c>
    </row>
    <row r="38" spans="8:8">
      <c r="A38" s="3" t="s">
        <v>46</v>
      </c>
      <c r="B38" s="4" t="s">
        <v>13</v>
      </c>
      <c r="C38" s="240">
        <v>437481.40799999994</v>
      </c>
      <c r="D38" s="240">
        <v>256838.40000000002</v>
      </c>
      <c r="E38" s="241">
        <v>27440.0</v>
      </c>
      <c r="F38" s="241">
        <v>41160.0</v>
      </c>
      <c r="G38" s="20">
        <v>32929.0</v>
      </c>
      <c r="H38" s="43">
        <f>SUM(C38:G38)</f>
        <v>795848.808</v>
      </c>
    </row>
    <row r="39" spans="8:8">
      <c r="A39" s="3" t="s">
        <v>47</v>
      </c>
      <c r="B39" s="4" t="s">
        <v>13</v>
      </c>
      <c r="C39" s="240">
        <v>615556.032</v>
      </c>
      <c r="D39" s="240">
        <v>256838.40000000002</v>
      </c>
      <c r="E39" s="241">
        <v>27440.0</v>
      </c>
      <c r="F39" s="241">
        <v>41160.0</v>
      </c>
      <c r="G39" s="20">
        <v>32928.0</v>
      </c>
      <c r="H39" s="43">
        <f>SUM(C39:G39)</f>
        <v>973922.432</v>
      </c>
    </row>
    <row r="40" spans="8:8">
      <c r="A40" s="3" t="s">
        <v>48</v>
      </c>
      <c r="B40" s="4" t="s">
        <v>13</v>
      </c>
      <c r="C40" s="240">
        <v>193484.928</v>
      </c>
      <c r="D40" s="240">
        <v>256838.40000000002</v>
      </c>
      <c r="E40" s="241">
        <v>27440.0</v>
      </c>
      <c r="F40" s="241">
        <v>41160.0</v>
      </c>
      <c r="G40" s="20">
        <v>32928.0</v>
      </c>
      <c r="H40" s="43">
        <f>SUM(C40:G40)</f>
        <v>551851.328</v>
      </c>
    </row>
    <row r="41" spans="8:8">
      <c r="A41" s="3" t="s">
        <v>49</v>
      </c>
      <c r="B41" s="4" t="s">
        <v>13</v>
      </c>
      <c r="C41" s="240">
        <v>193484.928</v>
      </c>
      <c r="D41" s="240">
        <v>107872.12800000001</v>
      </c>
      <c r="E41" s="241">
        <v>27440.0</v>
      </c>
      <c r="F41" s="241">
        <v>41160.0</v>
      </c>
      <c r="G41" s="20">
        <v>32928.0</v>
      </c>
      <c r="H41" s="43">
        <f>SUM(C41:G41)</f>
        <v>402885.05600000004</v>
      </c>
    </row>
    <row r="42" spans="8:8">
      <c r="A42" s="18" t="s">
        <v>358</v>
      </c>
      <c r="B42" s="4" t="s">
        <v>13</v>
      </c>
      <c r="C42" s="240">
        <v>193484.928</v>
      </c>
      <c r="D42" s="240">
        <v>107872.12800000001</v>
      </c>
      <c r="E42" s="241">
        <v>27440.0</v>
      </c>
      <c r="F42" s="241">
        <v>41160.0</v>
      </c>
      <c r="G42" s="20">
        <v>32929.0</v>
      </c>
      <c r="H42" s="43">
        <f t="shared" si="3" ref="H42:H47">SUM(C42:G42)</f>
        <v>402886.05600000004</v>
      </c>
    </row>
    <row r="43" spans="8:8" s="49" ht="15.0" customFormat="1">
      <c r="A43" s="3" t="s">
        <v>51</v>
      </c>
      <c r="B43" s="16" t="s">
        <v>13</v>
      </c>
      <c r="C43" s="240">
        <v>193484.928</v>
      </c>
      <c r="D43" s="240">
        <v>107872.12800000001</v>
      </c>
      <c r="E43" s="241">
        <v>27440.0</v>
      </c>
      <c r="F43" s="241">
        <v>41160.0</v>
      </c>
      <c r="G43" s="20">
        <v>32930.0</v>
      </c>
      <c r="H43" s="43">
        <f t="shared" si="3"/>
        <v>402887.05600000004</v>
      </c>
    </row>
    <row r="44" spans="8:8">
      <c r="A44" s="3" t="s">
        <v>52</v>
      </c>
      <c r="B44" s="4" t="s">
        <v>13</v>
      </c>
      <c r="C44" s="240">
        <v>193484.928</v>
      </c>
      <c r="D44" s="240">
        <v>107872.12800000001</v>
      </c>
      <c r="E44" s="241">
        <v>27440.0</v>
      </c>
      <c r="F44" s="241">
        <v>41160.0</v>
      </c>
      <c r="G44" s="20">
        <v>32931.0</v>
      </c>
      <c r="H44" s="43">
        <f t="shared" si="3"/>
        <v>402888.05600000004</v>
      </c>
    </row>
    <row r="45" spans="8:8">
      <c r="A45" s="14" t="s">
        <v>359</v>
      </c>
      <c r="B45" s="4" t="s">
        <v>13</v>
      </c>
      <c r="C45" s="240">
        <v>193484.928</v>
      </c>
      <c r="D45" s="240">
        <v>107872.12800000001</v>
      </c>
      <c r="E45" s="241">
        <v>27440.0</v>
      </c>
      <c r="F45" s="241">
        <v>41160.0</v>
      </c>
      <c r="G45" s="20">
        <v>32932.0</v>
      </c>
      <c r="H45" s="43">
        <f t="shared" si="3"/>
        <v>402889.05600000004</v>
      </c>
    </row>
    <row r="46" spans="8:8">
      <c r="A46" s="3" t="s">
        <v>54</v>
      </c>
      <c r="B46" s="4" t="s">
        <v>13</v>
      </c>
      <c r="C46" s="240">
        <v>193484.928</v>
      </c>
      <c r="D46" s="240">
        <v>107872.12800000001</v>
      </c>
      <c r="E46" s="241">
        <v>27440.0</v>
      </c>
      <c r="F46" s="241">
        <v>41160.0</v>
      </c>
      <c r="G46" s="20">
        <v>32933.0</v>
      </c>
      <c r="H46" s="43">
        <f t="shared" si="3"/>
        <v>402890.05600000004</v>
      </c>
    </row>
    <row r="47" spans="8:8">
      <c r="A47" s="15" t="s">
        <v>55</v>
      </c>
      <c r="B47" s="4" t="s">
        <v>13</v>
      </c>
      <c r="C47" s="240">
        <v>193484.928</v>
      </c>
      <c r="D47" s="240">
        <v>107872.12800000001</v>
      </c>
      <c r="E47" s="241">
        <v>27440.0</v>
      </c>
      <c r="F47" s="241">
        <v>41160.0</v>
      </c>
      <c r="G47" s="20">
        <v>32934.0</v>
      </c>
      <c r="H47" s="43">
        <f t="shared" si="3"/>
        <v>402891.05600000004</v>
      </c>
    </row>
    <row r="48" spans="8:8" s="49" ht="15.0" customFormat="1">
      <c r="A48" s="3" t="s">
        <v>56</v>
      </c>
      <c r="B48" s="16" t="s">
        <v>13</v>
      </c>
      <c r="C48" s="240">
        <v>38525.76</v>
      </c>
      <c r="D48" s="240">
        <v>282522.24</v>
      </c>
      <c r="E48" s="241">
        <v>27440.0</v>
      </c>
      <c r="F48" s="241">
        <v>41160.0</v>
      </c>
      <c r="G48" s="20">
        <v>32928.0</v>
      </c>
      <c r="H48" s="241">
        <f>SUM(C48:G48)</f>
        <v>422576.0</v>
      </c>
    </row>
    <row r="49" spans="8:8">
      <c r="A49" s="3" t="s">
        <v>57</v>
      </c>
      <c r="B49" s="4" t="s">
        <v>60</v>
      </c>
      <c r="C49" s="240">
        <v>0.01</v>
      </c>
      <c r="D49" s="240">
        <v>308206.08</v>
      </c>
      <c r="E49" s="241">
        <v>27440.0</v>
      </c>
      <c r="F49" s="241">
        <v>41160.0</v>
      </c>
      <c r="G49" s="180" t="s">
        <v>292</v>
      </c>
      <c r="H49" s="43">
        <f t="shared" si="4" ref="H49:H112">SUM(C49:F49)</f>
        <v>376806.09</v>
      </c>
    </row>
    <row r="50" spans="8:8">
      <c r="A50" s="3" t="s">
        <v>58</v>
      </c>
      <c r="B50" s="4" t="s">
        <v>60</v>
      </c>
      <c r="C50" s="240">
        <v>0.01</v>
      </c>
      <c r="D50" s="240">
        <v>308206.08</v>
      </c>
      <c r="E50" s="241">
        <v>27440.0</v>
      </c>
      <c r="F50" s="241">
        <v>41160.0</v>
      </c>
      <c r="G50" s="180" t="s">
        <v>292</v>
      </c>
      <c r="H50" s="43">
        <f t="shared" si="4"/>
        <v>376806.09</v>
      </c>
    </row>
    <row r="51" spans="8:8">
      <c r="A51" s="3" t="s">
        <v>59</v>
      </c>
      <c r="B51" s="4" t="s">
        <v>60</v>
      </c>
      <c r="C51" s="240">
        <v>0.01</v>
      </c>
      <c r="D51" s="240">
        <v>308206.08</v>
      </c>
      <c r="E51" s="241">
        <v>27440.0</v>
      </c>
      <c r="F51" s="241">
        <v>41160.0</v>
      </c>
      <c r="G51" s="180" t="s">
        <v>292</v>
      </c>
      <c r="H51" s="43">
        <f t="shared" si="4"/>
        <v>376806.09</v>
      </c>
    </row>
    <row r="52" spans="8:8">
      <c r="A52" s="3" t="s">
        <v>61</v>
      </c>
      <c r="B52" s="4" t="s">
        <v>60</v>
      </c>
      <c r="C52" s="240">
        <v>64209.600000000006</v>
      </c>
      <c r="D52" s="240">
        <v>539360.64</v>
      </c>
      <c r="E52" s="241">
        <v>27440.0</v>
      </c>
      <c r="F52" s="241">
        <v>41160.0</v>
      </c>
      <c r="G52" s="180" t="s">
        <v>292</v>
      </c>
      <c r="H52" s="43">
        <f t="shared" si="4"/>
        <v>672170.24</v>
      </c>
    </row>
    <row r="53" spans="8:8">
      <c r="A53" s="3" t="s">
        <v>62</v>
      </c>
      <c r="B53" s="4" t="s">
        <v>60</v>
      </c>
      <c r="C53" s="240">
        <v>0.01</v>
      </c>
      <c r="D53" s="240">
        <v>308206.08</v>
      </c>
      <c r="E53" s="241">
        <v>27440.0</v>
      </c>
      <c r="F53" s="241">
        <v>41160.0</v>
      </c>
      <c r="G53" s="180" t="s">
        <v>292</v>
      </c>
      <c r="H53" s="43">
        <f t="shared" si="4"/>
        <v>376806.09</v>
      </c>
    </row>
    <row r="54" spans="8:8">
      <c r="A54" s="3" t="s">
        <v>63</v>
      </c>
      <c r="B54" s="4" t="s">
        <v>60</v>
      </c>
      <c r="C54" s="240">
        <v>0.01</v>
      </c>
      <c r="D54" s="240">
        <v>308206.08</v>
      </c>
      <c r="E54" s="241">
        <v>27440.0</v>
      </c>
      <c r="F54" s="241">
        <v>41160.0</v>
      </c>
      <c r="G54" s="180" t="s">
        <v>292</v>
      </c>
      <c r="H54" s="43">
        <f t="shared" si="4"/>
        <v>376806.09</v>
      </c>
    </row>
    <row r="55" spans="8:8">
      <c r="A55" s="3" t="s">
        <v>64</v>
      </c>
      <c r="B55" s="4" t="s">
        <v>65</v>
      </c>
      <c r="C55" s="240">
        <v>0.01</v>
      </c>
      <c r="D55" s="240">
        <v>226873.91999999998</v>
      </c>
      <c r="E55" s="241">
        <v>27440.0</v>
      </c>
      <c r="F55" s="241">
        <v>41160.0</v>
      </c>
      <c r="G55" s="180" t="s">
        <v>292</v>
      </c>
      <c r="H55" s="43">
        <f t="shared" si="4"/>
        <v>295473.93</v>
      </c>
    </row>
    <row r="56" spans="8:8">
      <c r="A56" s="3" t="s">
        <v>66</v>
      </c>
      <c r="B56" s="4" t="s">
        <v>65</v>
      </c>
      <c r="C56" s="240">
        <v>0.01</v>
      </c>
      <c r="D56" s="240">
        <v>241428.09600000002</v>
      </c>
      <c r="E56" s="241">
        <v>27440.0</v>
      </c>
      <c r="F56" s="241">
        <v>41160.0</v>
      </c>
      <c r="G56" s="180" t="s">
        <v>292</v>
      </c>
      <c r="H56" s="43">
        <f t="shared" si="4"/>
        <v>310028.106</v>
      </c>
    </row>
    <row r="57" spans="8:8">
      <c r="A57" s="3" t="s">
        <v>67</v>
      </c>
      <c r="B57" s="4" t="s">
        <v>65</v>
      </c>
      <c r="C57" s="240">
        <v>0.01</v>
      </c>
      <c r="D57" s="240">
        <v>226873.91999999998</v>
      </c>
      <c r="E57" s="241">
        <v>27440.0</v>
      </c>
      <c r="F57" s="241">
        <v>41160.0</v>
      </c>
      <c r="G57" s="180" t="s">
        <v>292</v>
      </c>
      <c r="H57" s="43">
        <f t="shared" si="4"/>
        <v>295473.93</v>
      </c>
    </row>
    <row r="58" spans="8:8">
      <c r="A58" s="3" t="s">
        <v>68</v>
      </c>
      <c r="B58" s="4" t="s">
        <v>65</v>
      </c>
      <c r="C58" s="240">
        <v>0.01</v>
      </c>
      <c r="D58" s="240">
        <v>241428.09600000002</v>
      </c>
      <c r="E58" s="241">
        <v>27440.0</v>
      </c>
      <c r="F58" s="241">
        <v>41160.0</v>
      </c>
      <c r="G58" s="180" t="s">
        <v>292</v>
      </c>
      <c r="H58" s="43">
        <f t="shared" si="4"/>
        <v>310028.106</v>
      </c>
    </row>
    <row r="59" spans="8:8">
      <c r="A59" s="3" t="s">
        <v>69</v>
      </c>
      <c r="B59" s="4" t="s">
        <v>65</v>
      </c>
      <c r="C59" s="240">
        <v>0.01</v>
      </c>
      <c r="D59" s="240">
        <v>294508.032</v>
      </c>
      <c r="E59" s="241">
        <v>27440.0</v>
      </c>
      <c r="F59" s="241">
        <v>41160.0</v>
      </c>
      <c r="G59" s="180" t="s">
        <v>292</v>
      </c>
      <c r="H59" s="43">
        <f t="shared" si="4"/>
        <v>363108.042</v>
      </c>
    </row>
    <row r="60" spans="8:8">
      <c r="A60" s="3" t="s">
        <v>70</v>
      </c>
      <c r="B60" s="4" t="s">
        <v>65</v>
      </c>
      <c r="C60" s="240">
        <v>0.01</v>
      </c>
      <c r="D60" s="240">
        <v>226873.91999999998</v>
      </c>
      <c r="E60" s="241">
        <v>27440.0</v>
      </c>
      <c r="F60" s="241">
        <v>41160.0</v>
      </c>
      <c r="G60" s="180" t="s">
        <v>292</v>
      </c>
      <c r="H60" s="43">
        <f t="shared" si="4"/>
        <v>295473.93</v>
      </c>
    </row>
    <row r="61" spans="8:8">
      <c r="A61" s="15" t="s">
        <v>71</v>
      </c>
      <c r="B61" s="16" t="s">
        <v>65</v>
      </c>
      <c r="C61" s="240">
        <v>0.01</v>
      </c>
      <c r="D61" s="240">
        <v>267111.93600000005</v>
      </c>
      <c r="E61" s="241">
        <v>27440.0</v>
      </c>
      <c r="F61" s="241">
        <v>41160.0</v>
      </c>
      <c r="G61" s="180" t="s">
        <v>292</v>
      </c>
      <c r="H61" s="43">
        <f t="shared" si="4"/>
        <v>335711.94600000005</v>
      </c>
    </row>
    <row r="62" spans="8:8">
      <c r="A62" s="15" t="s">
        <v>72</v>
      </c>
      <c r="B62" s="16" t="s">
        <v>65</v>
      </c>
      <c r="C62" s="240">
        <v>0.01</v>
      </c>
      <c r="D62" s="240">
        <v>241428.09600000002</v>
      </c>
      <c r="E62" s="241">
        <v>27440.0</v>
      </c>
      <c r="F62" s="241">
        <v>41160.0</v>
      </c>
      <c r="G62" s="180" t="s">
        <v>292</v>
      </c>
      <c r="H62" s="43">
        <f t="shared" si="4"/>
        <v>310028.106</v>
      </c>
    </row>
    <row r="63" spans="8:8">
      <c r="A63" s="3" t="s">
        <v>73</v>
      </c>
      <c r="B63" s="4" t="s">
        <v>65</v>
      </c>
      <c r="C63" s="240">
        <v>0.01</v>
      </c>
      <c r="D63" s="240">
        <v>226873.91999999998</v>
      </c>
      <c r="E63" s="241">
        <v>27440.0</v>
      </c>
      <c r="F63" s="241">
        <v>41160.0</v>
      </c>
      <c r="G63" s="180" t="s">
        <v>292</v>
      </c>
      <c r="H63" s="43">
        <f t="shared" si="4"/>
        <v>295473.93</v>
      </c>
    </row>
    <row r="64" spans="8:8">
      <c r="A64" s="3" t="s">
        <v>74</v>
      </c>
      <c r="B64" s="4" t="s">
        <v>65</v>
      </c>
      <c r="C64" s="240">
        <v>0.01</v>
      </c>
      <c r="D64" s="240">
        <v>241428.09600000002</v>
      </c>
      <c r="E64" s="241">
        <v>27440.0</v>
      </c>
      <c r="F64" s="241">
        <v>41160.0</v>
      </c>
      <c r="G64" s="180" t="s">
        <v>292</v>
      </c>
      <c r="H64" s="43">
        <f t="shared" si="4"/>
        <v>310028.106</v>
      </c>
    </row>
    <row r="65" spans="8:8">
      <c r="A65" s="3" t="s">
        <v>75</v>
      </c>
      <c r="B65" s="4" t="s">
        <v>65</v>
      </c>
      <c r="C65" s="240">
        <v>0.01</v>
      </c>
      <c r="D65" s="240">
        <v>372415.68000000005</v>
      </c>
      <c r="E65" s="241">
        <v>27440.0</v>
      </c>
      <c r="F65" s="241">
        <v>41160.0</v>
      </c>
      <c r="G65" s="180" t="s">
        <v>292</v>
      </c>
      <c r="H65" s="43">
        <f t="shared" si="4"/>
        <v>441015.69000000006</v>
      </c>
    </row>
    <row r="66" spans="8:8">
      <c r="A66" s="3" t="s">
        <v>76</v>
      </c>
      <c r="B66" s="4" t="s">
        <v>65</v>
      </c>
      <c r="C66" s="240">
        <v>0.01</v>
      </c>
      <c r="D66" s="240">
        <v>226873.91999999998</v>
      </c>
      <c r="E66" s="241">
        <v>27440.0</v>
      </c>
      <c r="F66" s="241">
        <v>41160.0</v>
      </c>
      <c r="G66" s="180" t="s">
        <v>292</v>
      </c>
      <c r="H66" s="43">
        <f t="shared" si="4"/>
        <v>295473.93</v>
      </c>
    </row>
    <row r="67" spans="8:8">
      <c r="A67" s="3" t="s">
        <v>77</v>
      </c>
      <c r="B67" s="4" t="s">
        <v>65</v>
      </c>
      <c r="C67" s="240">
        <v>0.01</v>
      </c>
      <c r="D67" s="240">
        <v>241428.09600000002</v>
      </c>
      <c r="E67" s="241">
        <v>27440.0</v>
      </c>
      <c r="F67" s="241">
        <v>41160.0</v>
      </c>
      <c r="G67" s="180" t="s">
        <v>292</v>
      </c>
      <c r="H67" s="43">
        <f t="shared" si="4"/>
        <v>310028.106</v>
      </c>
    </row>
    <row r="68" spans="8:8">
      <c r="A68" s="3" t="s">
        <v>78</v>
      </c>
      <c r="B68" s="4" t="s">
        <v>65</v>
      </c>
      <c r="C68" s="240">
        <v>0.01</v>
      </c>
      <c r="D68" s="240">
        <v>267111.93600000005</v>
      </c>
      <c r="E68" s="241">
        <v>27440.0</v>
      </c>
      <c r="F68" s="241">
        <v>41160.0</v>
      </c>
      <c r="G68" s="180" t="s">
        <v>292</v>
      </c>
      <c r="H68" s="43">
        <f t="shared" si="4"/>
        <v>335711.94600000005</v>
      </c>
    </row>
    <row r="69" spans="8:8">
      <c r="A69" s="3" t="s">
        <v>79</v>
      </c>
      <c r="B69" s="4" t="s">
        <v>65</v>
      </c>
      <c r="C69" s="240">
        <v>0.01</v>
      </c>
      <c r="D69" s="240">
        <v>294508.032</v>
      </c>
      <c r="E69" s="241">
        <v>27440.0</v>
      </c>
      <c r="F69" s="241">
        <v>41160.0</v>
      </c>
      <c r="G69" s="180" t="s">
        <v>292</v>
      </c>
      <c r="H69" s="43">
        <f t="shared" si="4"/>
        <v>363108.042</v>
      </c>
    </row>
    <row r="70" spans="8:8">
      <c r="A70" s="3" t="s">
        <v>80</v>
      </c>
      <c r="B70" s="4" t="s">
        <v>65</v>
      </c>
      <c r="C70" s="240">
        <v>0.01</v>
      </c>
      <c r="D70" s="240">
        <v>226873.91999999998</v>
      </c>
      <c r="E70" s="241">
        <v>27440.0</v>
      </c>
      <c r="F70" s="241">
        <v>41160.0</v>
      </c>
      <c r="G70" s="180" t="s">
        <v>292</v>
      </c>
      <c r="H70" s="43">
        <f t="shared" si="4"/>
        <v>295473.93</v>
      </c>
    </row>
    <row r="71" spans="8:8">
      <c r="A71" s="3" t="s">
        <v>81</v>
      </c>
      <c r="B71" s="4" t="s">
        <v>65</v>
      </c>
      <c r="C71" s="240">
        <v>0.01</v>
      </c>
      <c r="D71" s="240">
        <v>241428.09600000002</v>
      </c>
      <c r="E71" s="241">
        <v>27440.0</v>
      </c>
      <c r="F71" s="241">
        <v>41160.0</v>
      </c>
      <c r="G71" s="180" t="s">
        <v>292</v>
      </c>
      <c r="H71" s="43">
        <f t="shared" si="4"/>
        <v>310028.106</v>
      </c>
    </row>
    <row r="72" spans="8:8">
      <c r="A72" s="3" t="s">
        <v>82</v>
      </c>
      <c r="B72" s="4" t="s">
        <v>65</v>
      </c>
      <c r="C72" s="240">
        <v>0.01</v>
      </c>
      <c r="D72" s="240">
        <v>453747.83999999997</v>
      </c>
      <c r="E72" s="241">
        <v>27440.0</v>
      </c>
      <c r="F72" s="241">
        <v>41160.0</v>
      </c>
      <c r="G72" s="180" t="s">
        <v>292</v>
      </c>
      <c r="H72" s="43">
        <f t="shared" si="4"/>
        <v>522347.85</v>
      </c>
    </row>
    <row r="73" spans="8:8">
      <c r="A73" s="3" t="s">
        <v>83</v>
      </c>
      <c r="B73" s="4" t="s">
        <v>65</v>
      </c>
      <c r="C73" s="240">
        <v>0.01</v>
      </c>
      <c r="D73" s="240">
        <v>482856.19200000004</v>
      </c>
      <c r="E73" s="241">
        <v>27440.0</v>
      </c>
      <c r="F73" s="241">
        <v>41160.0</v>
      </c>
      <c r="G73" s="180" t="s">
        <v>292</v>
      </c>
      <c r="H73" s="43">
        <f t="shared" si="4"/>
        <v>551456.202</v>
      </c>
    </row>
    <row r="74" spans="8:8">
      <c r="A74" s="3" t="s">
        <v>84</v>
      </c>
      <c r="B74" s="4" t="s">
        <v>65</v>
      </c>
      <c r="C74" s="240">
        <v>0.01</v>
      </c>
      <c r="D74" s="240">
        <v>241428.09600000002</v>
      </c>
      <c r="E74" s="241">
        <v>27440.0</v>
      </c>
      <c r="F74" s="241">
        <v>41160.0</v>
      </c>
      <c r="G74" s="180" t="s">
        <v>292</v>
      </c>
      <c r="H74" s="43">
        <f t="shared" si="4"/>
        <v>310028.106</v>
      </c>
    </row>
    <row r="75" spans="8:8">
      <c r="A75" s="3" t="s">
        <v>85</v>
      </c>
      <c r="B75" s="4" t="s">
        <v>65</v>
      </c>
      <c r="C75" s="240">
        <v>0.01</v>
      </c>
      <c r="D75" s="240">
        <v>482856.19200000004</v>
      </c>
      <c r="E75" s="241">
        <v>27440.0</v>
      </c>
      <c r="F75" s="241">
        <v>41160.0</v>
      </c>
      <c r="G75" s="180" t="s">
        <v>292</v>
      </c>
      <c r="H75" s="43">
        <f t="shared" si="4"/>
        <v>551456.202</v>
      </c>
    </row>
    <row r="76" spans="8:8">
      <c r="A76" s="15" t="s">
        <v>86</v>
      </c>
      <c r="B76" s="16" t="s">
        <v>65</v>
      </c>
      <c r="C76" s="240">
        <v>0.01</v>
      </c>
      <c r="D76" s="240">
        <v>241428.09600000002</v>
      </c>
      <c r="E76" s="241">
        <v>27440.0</v>
      </c>
      <c r="F76" s="241">
        <v>41160.0</v>
      </c>
      <c r="G76" s="180" t="s">
        <v>292</v>
      </c>
      <c r="H76" s="43">
        <f t="shared" si="4"/>
        <v>310028.106</v>
      </c>
    </row>
    <row r="77" spans="8:8" s="49" ht="15.0" customFormat="1">
      <c r="A77" s="3" t="s">
        <v>87</v>
      </c>
      <c r="B77" s="4" t="s">
        <v>65</v>
      </c>
      <c r="C77" s="240">
        <v>0.01</v>
      </c>
      <c r="D77" s="240">
        <v>267111.93600000005</v>
      </c>
      <c r="E77" s="241">
        <v>27440.0</v>
      </c>
      <c r="F77" s="241">
        <v>41160.0</v>
      </c>
      <c r="G77" s="180" t="s">
        <v>292</v>
      </c>
      <c r="H77" s="241">
        <f t="shared" si="4"/>
        <v>335711.94600000005</v>
      </c>
    </row>
    <row r="78" spans="8:8">
      <c r="A78" s="3" t="s">
        <v>88</v>
      </c>
      <c r="B78" s="4" t="s">
        <v>65</v>
      </c>
      <c r="C78" s="240">
        <v>0.01</v>
      </c>
      <c r="D78" s="240">
        <v>294508.032</v>
      </c>
      <c r="E78" s="241">
        <v>27440.0</v>
      </c>
      <c r="F78" s="241">
        <v>41160.0</v>
      </c>
      <c r="G78" s="180" t="s">
        <v>292</v>
      </c>
      <c r="H78" s="43">
        <f t="shared" si="4"/>
        <v>363108.042</v>
      </c>
    </row>
    <row r="79" spans="8:8">
      <c r="A79" s="3" t="s">
        <v>89</v>
      </c>
      <c r="B79" s="4" t="s">
        <v>65</v>
      </c>
      <c r="C79" s="240">
        <v>0.01</v>
      </c>
      <c r="D79" s="240">
        <v>333889.92</v>
      </c>
      <c r="E79" s="241">
        <v>27440.0</v>
      </c>
      <c r="F79" s="241">
        <v>41160.0</v>
      </c>
      <c r="G79" s="180" t="s">
        <v>292</v>
      </c>
      <c r="H79" s="43">
        <f t="shared" si="4"/>
        <v>402489.93</v>
      </c>
    </row>
    <row r="80" spans="8:8">
      <c r="A80" s="3" t="s">
        <v>90</v>
      </c>
      <c r="B80" s="4" t="s">
        <v>65</v>
      </c>
      <c r="C80" s="240">
        <v>0.01</v>
      </c>
      <c r="D80" s="240">
        <v>358717.632</v>
      </c>
      <c r="E80" s="241">
        <v>27440.0</v>
      </c>
      <c r="F80" s="241">
        <v>41160.0</v>
      </c>
      <c r="G80" s="180" t="s">
        <v>292</v>
      </c>
      <c r="H80" s="43">
        <f t="shared" si="4"/>
        <v>427317.642</v>
      </c>
    </row>
    <row r="81" spans="8:8">
      <c r="A81" s="3" t="s">
        <v>91</v>
      </c>
      <c r="B81" s="4" t="s">
        <v>65</v>
      </c>
      <c r="C81" s="240">
        <v>0.01</v>
      </c>
      <c r="D81" s="240">
        <v>380120.832</v>
      </c>
      <c r="E81" s="241">
        <v>27440.0</v>
      </c>
      <c r="F81" s="241">
        <v>41160.0</v>
      </c>
      <c r="G81" s="180" t="s">
        <v>292</v>
      </c>
      <c r="H81" s="43">
        <f t="shared" si="4"/>
        <v>448720.842</v>
      </c>
    </row>
    <row r="82" spans="8:8">
      <c r="A82" s="3" t="s">
        <v>92</v>
      </c>
      <c r="B82" s="4" t="s">
        <v>65</v>
      </c>
      <c r="C82" s="240">
        <v>0.01</v>
      </c>
      <c r="D82" s="240">
        <v>226873.91999999998</v>
      </c>
      <c r="E82" s="241">
        <v>27440.0</v>
      </c>
      <c r="F82" s="241">
        <v>41160.0</v>
      </c>
      <c r="G82" s="180" t="s">
        <v>292</v>
      </c>
      <c r="H82" s="43">
        <f t="shared" si="4"/>
        <v>295473.93</v>
      </c>
    </row>
    <row r="83" spans="8:8">
      <c r="A83" s="3" t="s">
        <v>93</v>
      </c>
      <c r="B83" s="4" t="s">
        <v>65</v>
      </c>
      <c r="C83" s="240">
        <v>0.01</v>
      </c>
      <c r="D83" s="240">
        <v>241428.09600000002</v>
      </c>
      <c r="E83" s="241">
        <v>27440.0</v>
      </c>
      <c r="F83" s="241">
        <v>41160.0</v>
      </c>
      <c r="G83" s="180" t="s">
        <v>292</v>
      </c>
      <c r="H83" s="43">
        <f t="shared" si="4"/>
        <v>310028.106</v>
      </c>
    </row>
    <row r="84" spans="8:8">
      <c r="A84" s="3" t="s">
        <v>94</v>
      </c>
      <c r="B84" s="4" t="s">
        <v>65</v>
      </c>
      <c r="C84" s="240">
        <v>0.01</v>
      </c>
      <c r="D84" s="240">
        <v>294508.032</v>
      </c>
      <c r="E84" s="241">
        <v>27440.0</v>
      </c>
      <c r="F84" s="241">
        <v>41160.0</v>
      </c>
      <c r="G84" s="180" t="s">
        <v>292</v>
      </c>
      <c r="H84" s="43">
        <f t="shared" si="4"/>
        <v>363108.042</v>
      </c>
    </row>
    <row r="85" spans="8:8">
      <c r="A85" s="3" t="s">
        <v>95</v>
      </c>
      <c r="B85" s="4" t="s">
        <v>65</v>
      </c>
      <c r="C85" s="240">
        <v>0.01</v>
      </c>
      <c r="D85" s="240">
        <v>241428.09600000002</v>
      </c>
      <c r="E85" s="241">
        <v>27440.0</v>
      </c>
      <c r="F85" s="241">
        <v>41160.0</v>
      </c>
      <c r="G85" s="180" t="s">
        <v>292</v>
      </c>
      <c r="H85" s="43">
        <f t="shared" si="4"/>
        <v>310028.106</v>
      </c>
    </row>
    <row r="86" spans="8:8">
      <c r="A86" s="3" t="s">
        <v>96</v>
      </c>
      <c r="B86" s="4" t="s">
        <v>65</v>
      </c>
      <c r="C86" s="240">
        <v>0.01</v>
      </c>
      <c r="D86" s="240">
        <v>294508.032</v>
      </c>
      <c r="E86" s="241">
        <v>27440.0</v>
      </c>
      <c r="F86" s="241">
        <v>41160.0</v>
      </c>
      <c r="G86" s="180" t="s">
        <v>292</v>
      </c>
      <c r="H86" s="43">
        <f t="shared" si="4"/>
        <v>363108.042</v>
      </c>
    </row>
    <row r="87" spans="8:8">
      <c r="A87" s="3" t="s">
        <v>97</v>
      </c>
      <c r="B87" s="4" t="s">
        <v>65</v>
      </c>
      <c r="C87" s="240">
        <v>0.01</v>
      </c>
      <c r="D87" s="240">
        <v>226873.91999999998</v>
      </c>
      <c r="E87" s="241">
        <v>27440.0</v>
      </c>
      <c r="F87" s="241">
        <v>41160.0</v>
      </c>
      <c r="G87" s="180" t="s">
        <v>292</v>
      </c>
      <c r="H87" s="43">
        <f t="shared" si="4"/>
        <v>295473.93</v>
      </c>
    </row>
    <row r="88" spans="8:8">
      <c r="A88" s="15" t="s">
        <v>98</v>
      </c>
      <c r="B88" s="16" t="s">
        <v>65</v>
      </c>
      <c r="C88" s="240">
        <v>0.01</v>
      </c>
      <c r="D88" s="240">
        <v>241428.09600000002</v>
      </c>
      <c r="E88" s="241">
        <v>27440.0</v>
      </c>
      <c r="F88" s="241">
        <v>41160.0</v>
      </c>
      <c r="G88" s="180" t="s">
        <v>292</v>
      </c>
      <c r="H88" s="43">
        <f t="shared" si="4"/>
        <v>310028.106</v>
      </c>
    </row>
    <row r="89" spans="8:8" s="49" ht="15.0" customFormat="1">
      <c r="A89" s="3" t="s">
        <v>99</v>
      </c>
      <c r="B89" s="4" t="s">
        <v>65</v>
      </c>
      <c r="C89" s="240">
        <v>0.01</v>
      </c>
      <c r="D89" s="240">
        <v>294508.032</v>
      </c>
      <c r="E89" s="241">
        <v>27440.0</v>
      </c>
      <c r="F89" s="241">
        <v>41160.0</v>
      </c>
      <c r="G89" s="180" t="s">
        <v>292</v>
      </c>
      <c r="H89" s="241">
        <f t="shared" si="4"/>
        <v>363108.042</v>
      </c>
    </row>
    <row r="90" spans="8:8">
      <c r="A90" s="3" t="s">
        <v>100</v>
      </c>
      <c r="B90" s="4" t="s">
        <v>65</v>
      </c>
      <c r="C90" s="240">
        <v>0.01</v>
      </c>
      <c r="D90" s="240">
        <v>358717.632</v>
      </c>
      <c r="E90" s="241">
        <v>27440.0</v>
      </c>
      <c r="F90" s="241">
        <v>41160.0</v>
      </c>
      <c r="G90" s="180" t="s">
        <v>292</v>
      </c>
      <c r="H90" s="43">
        <f t="shared" si="4"/>
        <v>427317.642</v>
      </c>
    </row>
    <row r="91" spans="8:8">
      <c r="A91" s="3" t="s">
        <v>101</v>
      </c>
      <c r="B91" s="4" t="s">
        <v>65</v>
      </c>
      <c r="C91" s="240">
        <v>0.01</v>
      </c>
      <c r="D91" s="240">
        <v>380120.832</v>
      </c>
      <c r="E91" s="241">
        <v>27440.0</v>
      </c>
      <c r="F91" s="241">
        <v>41160.0</v>
      </c>
      <c r="G91" s="180" t="s">
        <v>292</v>
      </c>
      <c r="H91" s="43">
        <f t="shared" si="4"/>
        <v>448720.842</v>
      </c>
    </row>
    <row r="92" spans="8:8">
      <c r="A92" s="3" t="s">
        <v>102</v>
      </c>
      <c r="B92" s="4" t="s">
        <v>65</v>
      </c>
      <c r="C92" s="240">
        <v>0.01</v>
      </c>
      <c r="D92" s="240">
        <v>238859.71200000003</v>
      </c>
      <c r="E92" s="241">
        <v>27440.0</v>
      </c>
      <c r="F92" s="241">
        <v>41160.0</v>
      </c>
      <c r="G92" s="180" t="s">
        <v>292</v>
      </c>
      <c r="H92" s="43">
        <f t="shared" si="4"/>
        <v>307459.72200000007</v>
      </c>
    </row>
    <row r="93" spans="8:8">
      <c r="A93" s="3" t="s">
        <v>103</v>
      </c>
      <c r="B93" s="4" t="s">
        <v>65</v>
      </c>
      <c r="C93" s="240">
        <v>0.01</v>
      </c>
      <c r="D93" s="240">
        <v>226873.91999999998</v>
      </c>
      <c r="E93" s="241">
        <v>27440.0</v>
      </c>
      <c r="F93" s="241">
        <v>41160.0</v>
      </c>
      <c r="G93" s="180" t="s">
        <v>292</v>
      </c>
      <c r="H93" s="43">
        <f t="shared" si="4"/>
        <v>295473.93</v>
      </c>
    </row>
    <row r="94" spans="8:8">
      <c r="A94" s="15" t="s">
        <v>104</v>
      </c>
      <c r="B94" s="16" t="s">
        <v>65</v>
      </c>
      <c r="C94" s="240">
        <v>0.01</v>
      </c>
      <c r="D94" s="240">
        <v>241428.09600000002</v>
      </c>
      <c r="E94" s="241">
        <v>27440.0</v>
      </c>
      <c r="F94" s="241">
        <v>41160.0</v>
      </c>
      <c r="G94" s="180" t="s">
        <v>292</v>
      </c>
      <c r="H94" s="43">
        <f t="shared" si="4"/>
        <v>310028.106</v>
      </c>
    </row>
    <row r="95" spans="8:8" s="49" ht="15.0" customFormat="1">
      <c r="A95" s="3" t="s">
        <v>105</v>
      </c>
      <c r="B95" s="4" t="s">
        <v>65</v>
      </c>
      <c r="C95" s="240">
        <v>0.01</v>
      </c>
      <c r="D95" s="240">
        <v>267111.93600000005</v>
      </c>
      <c r="E95" s="241">
        <v>27440.0</v>
      </c>
      <c r="F95" s="241">
        <v>41160.0</v>
      </c>
      <c r="G95" s="180" t="s">
        <v>292</v>
      </c>
      <c r="H95" s="241">
        <f t="shared" si="4"/>
        <v>335711.94600000005</v>
      </c>
    </row>
    <row r="96" spans="8:8">
      <c r="A96" s="3" t="s">
        <v>108</v>
      </c>
      <c r="B96" s="4" t="s">
        <v>65</v>
      </c>
      <c r="C96" s="240">
        <v>0.01</v>
      </c>
      <c r="D96" s="240">
        <v>241428.09600000002</v>
      </c>
      <c r="E96" s="241">
        <v>27440.0</v>
      </c>
      <c r="F96" s="241">
        <v>41160.0</v>
      </c>
      <c r="G96" s="180" t="s">
        <v>292</v>
      </c>
      <c r="H96" s="43">
        <f t="shared" si="4"/>
        <v>310028.106</v>
      </c>
    </row>
    <row r="97" spans="8:8">
      <c r="A97" s="3" t="s">
        <v>109</v>
      </c>
      <c r="B97" s="4" t="s">
        <v>65</v>
      </c>
      <c r="C97" s="240">
        <v>0.01</v>
      </c>
      <c r="D97" s="240">
        <v>267111.93600000005</v>
      </c>
      <c r="E97" s="241">
        <v>27440.0</v>
      </c>
      <c r="F97" s="241">
        <v>41160.0</v>
      </c>
      <c r="G97" s="180" t="s">
        <v>292</v>
      </c>
      <c r="H97" s="43">
        <f t="shared" si="4"/>
        <v>335711.94600000005</v>
      </c>
    </row>
    <row r="98" spans="8:8">
      <c r="A98" s="3" t="s">
        <v>110</v>
      </c>
      <c r="B98" s="4" t="s">
        <v>65</v>
      </c>
      <c r="C98" s="240">
        <v>128419.20000000001</v>
      </c>
      <c r="D98" s="240">
        <v>221737.152</v>
      </c>
      <c r="E98" s="241">
        <v>27440.0</v>
      </c>
      <c r="F98" s="241">
        <v>41160.0</v>
      </c>
      <c r="G98" s="180" t="s">
        <v>292</v>
      </c>
      <c r="H98" s="43">
        <f t="shared" si="4"/>
        <v>418756.352</v>
      </c>
    </row>
    <row r="99" spans="8:8">
      <c r="A99" s="3" t="s">
        <v>111</v>
      </c>
      <c r="B99" s="4" t="s">
        <v>65</v>
      </c>
      <c r="C99" s="240">
        <v>0.01</v>
      </c>
      <c r="D99" s="240">
        <v>226873.91999999998</v>
      </c>
      <c r="E99" s="241">
        <v>27440.0</v>
      </c>
      <c r="F99" s="241">
        <v>41160.0</v>
      </c>
      <c r="G99" s="180" t="s">
        <v>292</v>
      </c>
      <c r="H99" s="43">
        <f t="shared" si="4"/>
        <v>295473.93</v>
      </c>
    </row>
    <row r="100" spans="8:8">
      <c r="A100" s="3" t="s">
        <v>112</v>
      </c>
      <c r="B100" s="4" t="s">
        <v>65</v>
      </c>
      <c r="C100" s="240">
        <v>0.01</v>
      </c>
      <c r="D100" s="240">
        <v>241428.09600000002</v>
      </c>
      <c r="E100" s="241">
        <v>27440.0</v>
      </c>
      <c r="F100" s="241">
        <v>41160.0</v>
      </c>
      <c r="G100" s="180" t="s">
        <v>292</v>
      </c>
      <c r="H100" s="43">
        <f t="shared" si="4"/>
        <v>310028.106</v>
      </c>
    </row>
    <row r="101" spans="8:8">
      <c r="A101" s="3" t="s">
        <v>113</v>
      </c>
      <c r="B101" s="4" t="s">
        <v>65</v>
      </c>
      <c r="C101" s="240">
        <v>0.01</v>
      </c>
      <c r="D101" s="240">
        <v>267111.93600000005</v>
      </c>
      <c r="E101" s="241">
        <v>27440.0</v>
      </c>
      <c r="F101" s="241">
        <v>41160.0</v>
      </c>
      <c r="G101" s="180" t="s">
        <v>292</v>
      </c>
      <c r="H101" s="43">
        <f t="shared" si="4"/>
        <v>335711.94600000005</v>
      </c>
    </row>
    <row r="102" spans="8:8">
      <c r="A102" s="3" t="s">
        <v>114</v>
      </c>
      <c r="B102" s="4" t="s">
        <v>65</v>
      </c>
      <c r="C102" s="240">
        <v>0.01</v>
      </c>
      <c r="D102" s="240">
        <v>226873.91999999998</v>
      </c>
      <c r="E102" s="241">
        <v>27440.0</v>
      </c>
      <c r="F102" s="241">
        <v>41160.0</v>
      </c>
      <c r="G102" s="180" t="s">
        <v>292</v>
      </c>
      <c r="H102" s="43">
        <f t="shared" si="4"/>
        <v>295473.93</v>
      </c>
    </row>
    <row r="103" spans="8:8">
      <c r="A103" s="3" t="s">
        <v>115</v>
      </c>
      <c r="B103" s="4" t="s">
        <v>65</v>
      </c>
      <c r="C103" s="240">
        <v>0.01</v>
      </c>
      <c r="D103" s="240">
        <v>241428.09600000002</v>
      </c>
      <c r="E103" s="241">
        <v>27440.0</v>
      </c>
      <c r="F103" s="241">
        <v>41160.0</v>
      </c>
      <c r="G103" s="180" t="s">
        <v>292</v>
      </c>
      <c r="H103" s="43">
        <f t="shared" si="4"/>
        <v>310028.106</v>
      </c>
    </row>
    <row r="104" spans="8:8">
      <c r="A104" s="3" t="s">
        <v>116</v>
      </c>
      <c r="B104" s="4" t="s">
        <v>65</v>
      </c>
      <c r="C104" s="240">
        <v>0.01</v>
      </c>
      <c r="D104" s="240">
        <v>267111.93600000005</v>
      </c>
      <c r="E104" s="241">
        <v>27440.0</v>
      </c>
      <c r="F104" s="241">
        <v>41160.0</v>
      </c>
      <c r="G104" s="180" t="s">
        <v>292</v>
      </c>
      <c r="H104" s="43">
        <f t="shared" si="4"/>
        <v>335711.94600000005</v>
      </c>
    </row>
    <row r="105" spans="8:8">
      <c r="A105" s="3" t="s">
        <v>117</v>
      </c>
      <c r="B105" s="4" t="s">
        <v>65</v>
      </c>
      <c r="C105" s="240">
        <v>0.01</v>
      </c>
      <c r="D105" s="240">
        <v>241428.09600000002</v>
      </c>
      <c r="E105" s="241">
        <v>27440.0</v>
      </c>
      <c r="F105" s="241">
        <v>41160.0</v>
      </c>
      <c r="G105" s="180" t="s">
        <v>292</v>
      </c>
      <c r="H105" s="43">
        <f t="shared" si="4"/>
        <v>310028.106</v>
      </c>
    </row>
    <row r="106" spans="8:8">
      <c r="A106" s="3" t="s">
        <v>118</v>
      </c>
      <c r="B106" s="4" t="s">
        <v>65</v>
      </c>
      <c r="C106" s="240">
        <v>0.01</v>
      </c>
      <c r="D106" s="240">
        <v>226873.91999999998</v>
      </c>
      <c r="E106" s="241">
        <v>27440.0</v>
      </c>
      <c r="F106" s="241">
        <v>41160.0</v>
      </c>
      <c r="G106" s="180" t="s">
        <v>292</v>
      </c>
      <c r="H106" s="43">
        <f t="shared" si="4"/>
        <v>295473.93</v>
      </c>
    </row>
    <row r="107" spans="8:8">
      <c r="A107" s="3" t="s">
        <v>119</v>
      </c>
      <c r="B107" s="4" t="s">
        <v>65</v>
      </c>
      <c r="C107" s="240">
        <v>0.01</v>
      </c>
      <c r="D107" s="240">
        <v>241428.09600000002</v>
      </c>
      <c r="E107" s="241">
        <v>27440.0</v>
      </c>
      <c r="F107" s="241">
        <v>41160.0</v>
      </c>
      <c r="G107" s="180" t="s">
        <v>292</v>
      </c>
      <c r="H107" s="43">
        <f t="shared" si="4"/>
        <v>310028.106</v>
      </c>
    </row>
    <row r="108" spans="8:8">
      <c r="A108" s="3" t="s">
        <v>120</v>
      </c>
      <c r="B108" s="4" t="s">
        <v>65</v>
      </c>
      <c r="C108" s="240">
        <v>0.01</v>
      </c>
      <c r="D108" s="240">
        <v>453747.83999999997</v>
      </c>
      <c r="E108" s="241">
        <v>27440.0</v>
      </c>
      <c r="F108" s="241">
        <v>41160.0</v>
      </c>
      <c r="G108" s="180" t="s">
        <v>292</v>
      </c>
      <c r="H108" s="43">
        <f t="shared" si="4"/>
        <v>522347.85</v>
      </c>
    </row>
    <row r="109" spans="8:8">
      <c r="A109" s="3" t="s">
        <v>121</v>
      </c>
      <c r="B109" s="4" t="s">
        <v>65</v>
      </c>
      <c r="C109" s="240">
        <v>0.01</v>
      </c>
      <c r="D109" s="240">
        <v>482856.19200000004</v>
      </c>
      <c r="E109" s="241">
        <v>27440.0</v>
      </c>
      <c r="F109" s="241">
        <v>41160.0</v>
      </c>
      <c r="G109" s="180" t="s">
        <v>292</v>
      </c>
      <c r="H109" s="43">
        <f t="shared" si="4"/>
        <v>551456.202</v>
      </c>
    </row>
    <row r="110" spans="8:8">
      <c r="A110" s="3" t="s">
        <v>122</v>
      </c>
      <c r="B110" s="4" t="s">
        <v>65</v>
      </c>
      <c r="C110" s="240">
        <v>0.01</v>
      </c>
      <c r="D110" s="240">
        <v>226873.91999999998</v>
      </c>
      <c r="E110" s="241">
        <v>27440.0</v>
      </c>
      <c r="F110" s="241">
        <v>41160.0</v>
      </c>
      <c r="G110" s="180" t="s">
        <v>292</v>
      </c>
      <c r="H110" s="43">
        <f t="shared" si="4"/>
        <v>295473.93</v>
      </c>
    </row>
    <row r="111" spans="8:8">
      <c r="A111" s="3" t="s">
        <v>123</v>
      </c>
      <c r="B111" s="4" t="s">
        <v>65</v>
      </c>
      <c r="C111" s="240">
        <v>0.01</v>
      </c>
      <c r="D111" s="240">
        <v>241428.09600000002</v>
      </c>
      <c r="E111" s="241">
        <v>27440.0</v>
      </c>
      <c r="F111" s="241">
        <v>41160.0</v>
      </c>
      <c r="G111" s="180" t="s">
        <v>292</v>
      </c>
      <c r="H111" s="43">
        <f t="shared" si="4"/>
        <v>310028.106</v>
      </c>
    </row>
    <row r="112" spans="8:8">
      <c r="A112" s="3" t="s">
        <v>124</v>
      </c>
      <c r="B112" s="4" t="s">
        <v>65</v>
      </c>
      <c r="C112" s="240">
        <v>0.01</v>
      </c>
      <c r="D112" s="240">
        <v>267111.93600000005</v>
      </c>
      <c r="E112" s="241">
        <v>27440.0</v>
      </c>
      <c r="F112" s="241">
        <v>41160.0</v>
      </c>
      <c r="G112" s="180" t="s">
        <v>292</v>
      </c>
      <c r="H112" s="43">
        <f t="shared" si="4"/>
        <v>335711.94600000005</v>
      </c>
    </row>
    <row r="113" spans="8:8">
      <c r="A113" s="3" t="s">
        <v>125</v>
      </c>
      <c r="B113" s="4" t="s">
        <v>65</v>
      </c>
      <c r="C113" s="240">
        <v>0.01</v>
      </c>
      <c r="D113" s="240">
        <v>294508.032</v>
      </c>
      <c r="E113" s="241">
        <v>27440.0</v>
      </c>
      <c r="F113" s="241">
        <v>41160.0</v>
      </c>
      <c r="G113" s="180" t="s">
        <v>292</v>
      </c>
      <c r="H113" s="43">
        <f t="shared" si="5" ref="H113:H176">SUM(C113:F113)</f>
        <v>363108.042</v>
      </c>
    </row>
    <row r="114" spans="8:8">
      <c r="A114" s="3" t="s">
        <v>126</v>
      </c>
      <c r="B114" s="4" t="s">
        <v>65</v>
      </c>
      <c r="C114" s="240">
        <v>0.01</v>
      </c>
      <c r="D114" s="240">
        <v>333889.92</v>
      </c>
      <c r="E114" s="241">
        <v>27440.0</v>
      </c>
      <c r="F114" s="241">
        <v>41160.0</v>
      </c>
      <c r="G114" s="180" t="s">
        <v>292</v>
      </c>
      <c r="H114" s="43">
        <f t="shared" si="5"/>
        <v>402489.93</v>
      </c>
    </row>
    <row r="115" spans="8:8">
      <c r="A115" s="3" t="s">
        <v>127</v>
      </c>
      <c r="B115" s="4" t="s">
        <v>65</v>
      </c>
      <c r="C115" s="240">
        <v>0.01</v>
      </c>
      <c r="D115" s="240">
        <v>453747.83999999997</v>
      </c>
      <c r="E115" s="241">
        <v>27440.0</v>
      </c>
      <c r="F115" s="241">
        <v>41160.0</v>
      </c>
      <c r="G115" s="180" t="s">
        <v>292</v>
      </c>
      <c r="H115" s="43">
        <f t="shared" si="5"/>
        <v>522347.85</v>
      </c>
    </row>
    <row r="116" spans="8:8">
      <c r="A116" s="3" t="s">
        <v>128</v>
      </c>
      <c r="B116" s="4" t="s">
        <v>65</v>
      </c>
      <c r="C116" s="240">
        <v>0.01</v>
      </c>
      <c r="D116" s="240">
        <v>482856.19200000004</v>
      </c>
      <c r="E116" s="241">
        <v>27440.0</v>
      </c>
      <c r="F116" s="241">
        <v>41160.0</v>
      </c>
      <c r="G116" s="180" t="s">
        <v>292</v>
      </c>
      <c r="H116" s="43">
        <f t="shared" si="5"/>
        <v>551456.202</v>
      </c>
    </row>
    <row r="117" spans="8:8">
      <c r="A117" s="3" t="s">
        <v>129</v>
      </c>
      <c r="B117" s="4" t="s">
        <v>65</v>
      </c>
      <c r="C117" s="240">
        <v>0.01</v>
      </c>
      <c r="D117" s="240">
        <v>534223.8720000001</v>
      </c>
      <c r="E117" s="241">
        <v>27440.0</v>
      </c>
      <c r="F117" s="241">
        <v>41160.0</v>
      </c>
      <c r="G117" s="180" t="s">
        <v>292</v>
      </c>
      <c r="H117" s="43">
        <f t="shared" si="5"/>
        <v>602823.8820000001</v>
      </c>
    </row>
    <row r="118" spans="8:8">
      <c r="A118" s="3" t="s">
        <v>130</v>
      </c>
      <c r="B118" s="4" t="s">
        <v>65</v>
      </c>
      <c r="C118" s="240">
        <v>0.01</v>
      </c>
      <c r="D118" s="240">
        <v>589016.064</v>
      </c>
      <c r="E118" s="241">
        <v>27440.0</v>
      </c>
      <c r="F118" s="241">
        <v>41160.0</v>
      </c>
      <c r="G118" s="180" t="s">
        <v>292</v>
      </c>
      <c r="H118" s="43">
        <f t="shared" si="5"/>
        <v>657616.074</v>
      </c>
    </row>
    <row r="119" spans="8:8">
      <c r="A119" s="3" t="s">
        <v>131</v>
      </c>
      <c r="B119" s="4" t="s">
        <v>65</v>
      </c>
      <c r="C119" s="240">
        <v>0.01</v>
      </c>
      <c r="D119" s="240">
        <v>667779.84</v>
      </c>
      <c r="E119" s="241">
        <v>27440.0</v>
      </c>
      <c r="F119" s="241">
        <v>41160.0</v>
      </c>
      <c r="G119" s="180" t="s">
        <v>292</v>
      </c>
      <c r="H119" s="43">
        <f t="shared" si="5"/>
        <v>736379.85</v>
      </c>
    </row>
    <row r="120" spans="8:8">
      <c r="A120" s="3" t="s">
        <v>132</v>
      </c>
      <c r="B120" s="4" t="s">
        <v>65</v>
      </c>
      <c r="C120" s="240">
        <v>0.01</v>
      </c>
      <c r="D120" s="240">
        <v>226873.91999999998</v>
      </c>
      <c r="E120" s="241">
        <v>27440.0</v>
      </c>
      <c r="F120" s="241">
        <v>41160.0</v>
      </c>
      <c r="G120" s="180" t="s">
        <v>292</v>
      </c>
      <c r="H120" s="43">
        <f t="shared" si="5"/>
        <v>295473.93</v>
      </c>
    </row>
    <row r="121" spans="8:8">
      <c r="A121" s="3" t="s">
        <v>133</v>
      </c>
      <c r="B121" s="4" t="s">
        <v>65</v>
      </c>
      <c r="C121" s="240">
        <v>0.01</v>
      </c>
      <c r="D121" s="240">
        <v>241428.09600000002</v>
      </c>
      <c r="E121" s="241">
        <v>27440.0</v>
      </c>
      <c r="F121" s="241">
        <v>41160.0</v>
      </c>
      <c r="G121" s="180" t="s">
        <v>292</v>
      </c>
      <c r="H121" s="43">
        <f t="shared" si="5"/>
        <v>310028.106</v>
      </c>
    </row>
    <row r="122" spans="8:8">
      <c r="A122" s="3" t="s">
        <v>134</v>
      </c>
      <c r="B122" s="4" t="s">
        <v>65</v>
      </c>
      <c r="C122" s="240">
        <v>0.01</v>
      </c>
      <c r="D122" s="240">
        <v>267111.93600000005</v>
      </c>
      <c r="E122" s="241">
        <v>27440.0</v>
      </c>
      <c r="F122" s="241">
        <v>41160.0</v>
      </c>
      <c r="G122" s="180" t="s">
        <v>292</v>
      </c>
      <c r="H122" s="43">
        <f t="shared" si="5"/>
        <v>335711.94600000005</v>
      </c>
    </row>
    <row r="123" spans="8:8">
      <c r="A123" s="3" t="s">
        <v>135</v>
      </c>
      <c r="B123" s="4" t="s">
        <v>65</v>
      </c>
      <c r="C123" s="240">
        <v>0.01</v>
      </c>
      <c r="D123" s="240">
        <v>226873.91999999998</v>
      </c>
      <c r="E123" s="241">
        <v>27440.0</v>
      </c>
      <c r="F123" s="241">
        <v>41160.0</v>
      </c>
      <c r="G123" s="180" t="s">
        <v>292</v>
      </c>
      <c r="H123" s="43">
        <f t="shared" si="5"/>
        <v>295473.93</v>
      </c>
    </row>
    <row r="124" spans="8:8">
      <c r="A124" s="3" t="s">
        <v>136</v>
      </c>
      <c r="B124" s="4" t="s">
        <v>65</v>
      </c>
      <c r="C124" s="240">
        <v>0.01</v>
      </c>
      <c r="D124" s="240">
        <v>241428.09600000002</v>
      </c>
      <c r="E124" s="241">
        <v>27440.0</v>
      </c>
      <c r="F124" s="241">
        <v>41160.0</v>
      </c>
      <c r="G124" s="180" t="s">
        <v>292</v>
      </c>
      <c r="H124" s="43">
        <f t="shared" si="5"/>
        <v>310028.106</v>
      </c>
    </row>
    <row r="125" spans="8:8">
      <c r="A125" s="3" t="s">
        <v>137</v>
      </c>
      <c r="B125" s="4" t="s">
        <v>65</v>
      </c>
      <c r="C125" s="240">
        <v>0.01</v>
      </c>
      <c r="D125" s="240">
        <v>453747.83999999997</v>
      </c>
      <c r="E125" s="241">
        <v>27440.0</v>
      </c>
      <c r="F125" s="241">
        <v>41160.0</v>
      </c>
      <c r="G125" s="180" t="s">
        <v>292</v>
      </c>
      <c r="H125" s="43">
        <f t="shared" si="5"/>
        <v>522347.85</v>
      </c>
    </row>
    <row r="126" spans="8:8">
      <c r="A126" s="3" t="s">
        <v>138</v>
      </c>
      <c r="B126" s="4" t="s">
        <v>65</v>
      </c>
      <c r="C126" s="240">
        <v>0.01</v>
      </c>
      <c r="D126" s="240">
        <v>482856.19200000004</v>
      </c>
      <c r="E126" s="241">
        <v>27440.0</v>
      </c>
      <c r="F126" s="241">
        <v>41160.0</v>
      </c>
      <c r="G126" s="180" t="s">
        <v>292</v>
      </c>
      <c r="H126" s="43">
        <f t="shared" si="5"/>
        <v>551456.202</v>
      </c>
    </row>
    <row r="127" spans="8:8">
      <c r="A127" s="3" t="s">
        <v>139</v>
      </c>
      <c r="B127" s="4" t="s">
        <v>65</v>
      </c>
      <c r="C127" s="240">
        <v>0.01</v>
      </c>
      <c r="D127" s="240">
        <v>226873.91999999998</v>
      </c>
      <c r="E127" s="241">
        <v>27440.0</v>
      </c>
      <c r="F127" s="241">
        <v>41160.0</v>
      </c>
      <c r="G127" s="180" t="s">
        <v>292</v>
      </c>
      <c r="H127" s="43">
        <f t="shared" si="5"/>
        <v>295473.93</v>
      </c>
    </row>
    <row r="128" spans="8:8">
      <c r="A128" s="3" t="s">
        <v>140</v>
      </c>
      <c r="B128" s="4" t="s">
        <v>65</v>
      </c>
      <c r="C128" s="240">
        <v>0.01</v>
      </c>
      <c r="D128" s="240">
        <v>241428.09600000002</v>
      </c>
      <c r="E128" s="241">
        <v>27440.0</v>
      </c>
      <c r="F128" s="241">
        <v>41160.0</v>
      </c>
      <c r="G128" s="180" t="s">
        <v>292</v>
      </c>
      <c r="H128" s="43">
        <f t="shared" si="5"/>
        <v>310028.106</v>
      </c>
    </row>
    <row r="129" spans="8:8">
      <c r="A129" s="3" t="s">
        <v>141</v>
      </c>
      <c r="B129" s="4" t="s">
        <v>65</v>
      </c>
      <c r="C129" s="240">
        <v>0.01</v>
      </c>
      <c r="D129" s="240">
        <v>267111.93600000005</v>
      </c>
      <c r="E129" s="241">
        <v>27440.0</v>
      </c>
      <c r="F129" s="241">
        <v>41160.0</v>
      </c>
      <c r="G129" s="180" t="s">
        <v>292</v>
      </c>
      <c r="H129" s="43">
        <f t="shared" si="5"/>
        <v>335711.94600000005</v>
      </c>
    </row>
    <row r="130" spans="8:8">
      <c r="A130" s="3" t="s">
        <v>142</v>
      </c>
      <c r="B130" s="4" t="s">
        <v>65</v>
      </c>
      <c r="C130" s="240">
        <v>0.01</v>
      </c>
      <c r="D130" s="240">
        <v>453747.83999999997</v>
      </c>
      <c r="E130" s="241">
        <v>27440.0</v>
      </c>
      <c r="F130" s="241">
        <v>41160.0</v>
      </c>
      <c r="G130" s="180" t="s">
        <v>292</v>
      </c>
      <c r="H130" s="43">
        <f t="shared" si="5"/>
        <v>522347.85</v>
      </c>
    </row>
    <row r="131" spans="8:8">
      <c r="A131" s="3" t="s">
        <v>143</v>
      </c>
      <c r="B131" s="4" t="s">
        <v>65</v>
      </c>
      <c r="C131" s="240">
        <v>0.01</v>
      </c>
      <c r="D131" s="240">
        <v>482856.19200000004</v>
      </c>
      <c r="E131" s="241">
        <v>27440.0</v>
      </c>
      <c r="F131" s="241">
        <v>41160.0</v>
      </c>
      <c r="G131" s="180" t="s">
        <v>292</v>
      </c>
      <c r="H131" s="43">
        <f t="shared" si="5"/>
        <v>551456.202</v>
      </c>
    </row>
    <row r="132" spans="8:8">
      <c r="A132" s="3" t="s">
        <v>144</v>
      </c>
      <c r="B132" s="4" t="s">
        <v>65</v>
      </c>
      <c r="C132" s="240">
        <v>0.01</v>
      </c>
      <c r="D132" s="240">
        <v>534223.8720000001</v>
      </c>
      <c r="E132" s="241">
        <v>27440.0</v>
      </c>
      <c r="F132" s="241">
        <v>41160.0</v>
      </c>
      <c r="G132" s="180" t="s">
        <v>292</v>
      </c>
      <c r="H132" s="43">
        <f t="shared" si="5"/>
        <v>602823.8820000001</v>
      </c>
    </row>
    <row r="133" spans="8:8">
      <c r="A133" s="3" t="s">
        <v>145</v>
      </c>
      <c r="B133" s="4" t="s">
        <v>65</v>
      </c>
      <c r="C133" s="240">
        <v>0.01</v>
      </c>
      <c r="D133" s="240">
        <v>226873.91999999998</v>
      </c>
      <c r="E133" s="241">
        <v>27440.0</v>
      </c>
      <c r="F133" s="241">
        <v>41160.0</v>
      </c>
      <c r="G133" s="180" t="s">
        <v>292</v>
      </c>
      <c r="H133" s="43">
        <f t="shared" si="5"/>
        <v>295473.93</v>
      </c>
    </row>
    <row r="134" spans="8:8">
      <c r="A134" s="3" t="s">
        <v>146</v>
      </c>
      <c r="B134" s="4" t="s">
        <v>65</v>
      </c>
      <c r="C134" s="240">
        <v>0.01</v>
      </c>
      <c r="D134" s="240">
        <v>241428.09600000002</v>
      </c>
      <c r="E134" s="241">
        <v>27440.0</v>
      </c>
      <c r="F134" s="241">
        <v>41160.0</v>
      </c>
      <c r="G134" s="180" t="s">
        <v>292</v>
      </c>
      <c r="H134" s="43">
        <f t="shared" si="5"/>
        <v>310028.106</v>
      </c>
    </row>
    <row r="135" spans="8:8">
      <c r="A135" s="3" t="s">
        <v>147</v>
      </c>
      <c r="B135" s="4" t="s">
        <v>65</v>
      </c>
      <c r="C135" s="240">
        <v>0.01</v>
      </c>
      <c r="D135" s="240">
        <v>267111.93600000005</v>
      </c>
      <c r="E135" s="241">
        <v>27440.0</v>
      </c>
      <c r="F135" s="241">
        <v>41160.0</v>
      </c>
      <c r="G135" s="180" t="s">
        <v>292</v>
      </c>
      <c r="H135" s="43">
        <f t="shared" si="5"/>
        <v>335711.94600000005</v>
      </c>
    </row>
    <row r="136" spans="8:8">
      <c r="A136" s="3" t="s">
        <v>148</v>
      </c>
      <c r="B136" s="4" t="s">
        <v>65</v>
      </c>
      <c r="C136" s="240">
        <v>0.01</v>
      </c>
      <c r="D136" s="240">
        <v>241428.09600000002</v>
      </c>
      <c r="E136" s="241">
        <v>27440.0</v>
      </c>
      <c r="F136" s="241">
        <v>41160.0</v>
      </c>
      <c r="G136" s="180" t="s">
        <v>292</v>
      </c>
      <c r="H136" s="43">
        <f t="shared" si="5"/>
        <v>310028.106</v>
      </c>
    </row>
    <row r="137" spans="8:8">
      <c r="A137" s="3" t="s">
        <v>149</v>
      </c>
      <c r="B137" s="4" t="s">
        <v>65</v>
      </c>
      <c r="C137" s="240">
        <v>0.01</v>
      </c>
      <c r="D137" s="240">
        <v>267111.93600000005</v>
      </c>
      <c r="E137" s="241">
        <v>27440.0</v>
      </c>
      <c r="F137" s="241">
        <v>41160.0</v>
      </c>
      <c r="G137" s="180" t="s">
        <v>292</v>
      </c>
      <c r="H137" s="43">
        <f t="shared" si="5"/>
        <v>335711.94600000005</v>
      </c>
    </row>
    <row r="138" spans="8:8">
      <c r="A138" s="3" t="s">
        <v>150</v>
      </c>
      <c r="B138" s="4" t="s">
        <v>65</v>
      </c>
      <c r="C138" s="240">
        <v>0.01</v>
      </c>
      <c r="D138" s="240">
        <v>358717.632</v>
      </c>
      <c r="E138" s="241">
        <v>27440.0</v>
      </c>
      <c r="F138" s="241">
        <v>41160.0</v>
      </c>
      <c r="G138" s="180" t="s">
        <v>292</v>
      </c>
      <c r="H138" s="43">
        <f t="shared" si="5"/>
        <v>427317.642</v>
      </c>
    </row>
    <row r="139" spans="8:8">
      <c r="A139" s="3" t="s">
        <v>151</v>
      </c>
      <c r="B139" s="4" t="s">
        <v>65</v>
      </c>
      <c r="C139" s="240">
        <v>0.01</v>
      </c>
      <c r="D139" s="240">
        <v>482856.19200000004</v>
      </c>
      <c r="E139" s="241">
        <v>27440.0</v>
      </c>
      <c r="F139" s="241">
        <v>41160.0</v>
      </c>
      <c r="G139" s="180" t="s">
        <v>292</v>
      </c>
      <c r="H139" s="43">
        <f t="shared" si="5"/>
        <v>551456.202</v>
      </c>
    </row>
    <row r="140" spans="8:8">
      <c r="A140" s="3" t="s">
        <v>152</v>
      </c>
      <c r="B140" s="4" t="s">
        <v>65</v>
      </c>
      <c r="C140" s="240">
        <v>0.01</v>
      </c>
      <c r="D140" s="240">
        <v>534223.8720000001</v>
      </c>
      <c r="E140" s="241">
        <v>27440.0</v>
      </c>
      <c r="F140" s="241">
        <v>41160.0</v>
      </c>
      <c r="G140" s="180" t="s">
        <v>292</v>
      </c>
      <c r="H140" s="43">
        <f t="shared" si="5"/>
        <v>602823.8820000001</v>
      </c>
    </row>
    <row r="141" spans="8:8">
      <c r="A141" s="3" t="s">
        <v>153</v>
      </c>
      <c r="B141" s="4" t="s">
        <v>65</v>
      </c>
      <c r="C141" s="240">
        <v>0.01</v>
      </c>
      <c r="D141" s="240">
        <v>1112966.4</v>
      </c>
      <c r="E141" s="241">
        <v>27440.0</v>
      </c>
      <c r="F141" s="241">
        <v>41160.0</v>
      </c>
      <c r="G141" s="180" t="s">
        <v>292</v>
      </c>
      <c r="H141" s="43">
        <f t="shared" si="5"/>
        <v>1181566.41</v>
      </c>
    </row>
    <row r="142" spans="8:8">
      <c r="A142" s="3" t="s">
        <v>154</v>
      </c>
      <c r="B142" s="4" t="s">
        <v>65</v>
      </c>
      <c r="C142" s="240">
        <v>0.01</v>
      </c>
      <c r="D142" s="240">
        <v>214032.0</v>
      </c>
      <c r="E142" s="241">
        <v>27440.0</v>
      </c>
      <c r="F142" s="241">
        <v>41160.0</v>
      </c>
      <c r="G142" s="180" t="s">
        <v>292</v>
      </c>
      <c r="H142" s="43">
        <f t="shared" si="5"/>
        <v>282632.01</v>
      </c>
    </row>
    <row r="143" spans="8:8">
      <c r="A143" s="3" t="s">
        <v>155</v>
      </c>
      <c r="B143" s="4" t="s">
        <v>65</v>
      </c>
      <c r="C143" s="240">
        <v>0.01</v>
      </c>
      <c r="D143" s="240">
        <v>226873.91999999998</v>
      </c>
      <c r="E143" s="241">
        <v>27440.0</v>
      </c>
      <c r="F143" s="241">
        <v>41160.0</v>
      </c>
      <c r="G143" s="180" t="s">
        <v>292</v>
      </c>
      <c r="H143" s="43">
        <f t="shared" si="5"/>
        <v>295473.93</v>
      </c>
    </row>
    <row r="144" spans="8:8">
      <c r="A144" s="3" t="s">
        <v>156</v>
      </c>
      <c r="B144" s="4" t="s">
        <v>65</v>
      </c>
      <c r="C144" s="240">
        <v>0.01</v>
      </c>
      <c r="D144" s="240">
        <v>241428.09600000002</v>
      </c>
      <c r="E144" s="241">
        <v>27440.0</v>
      </c>
      <c r="F144" s="241">
        <v>41160.0</v>
      </c>
      <c r="G144" s="180" t="s">
        <v>292</v>
      </c>
      <c r="H144" s="43">
        <f t="shared" si="5"/>
        <v>310028.106</v>
      </c>
    </row>
    <row r="145" spans="8:8">
      <c r="A145" s="3" t="s">
        <v>157</v>
      </c>
      <c r="B145" s="4" t="s">
        <v>65</v>
      </c>
      <c r="C145" s="240">
        <v>0.01</v>
      </c>
      <c r="D145" s="240">
        <v>226873.91999999998</v>
      </c>
      <c r="E145" s="241">
        <v>27440.0</v>
      </c>
      <c r="F145" s="241">
        <v>41160.0</v>
      </c>
      <c r="G145" s="180" t="s">
        <v>292</v>
      </c>
      <c r="H145" s="43">
        <f t="shared" si="5"/>
        <v>295473.93</v>
      </c>
    </row>
    <row r="146" spans="8:8">
      <c r="A146" s="3" t="s">
        <v>158</v>
      </c>
      <c r="B146" s="4" t="s">
        <v>65</v>
      </c>
      <c r="C146" s="240">
        <v>0.01</v>
      </c>
      <c r="D146" s="240">
        <v>241428.09600000002</v>
      </c>
      <c r="E146" s="241">
        <v>27440.0</v>
      </c>
      <c r="F146" s="241">
        <v>41160.0</v>
      </c>
      <c r="G146" s="180" t="s">
        <v>292</v>
      </c>
      <c r="H146" s="43">
        <f t="shared" si="5"/>
        <v>310028.106</v>
      </c>
    </row>
    <row r="147" spans="8:8">
      <c r="A147" s="3" t="s">
        <v>159</v>
      </c>
      <c r="B147" s="4" t="s">
        <v>65</v>
      </c>
      <c r="C147" s="240">
        <v>0.01</v>
      </c>
      <c r="D147" s="240">
        <v>267111.93600000005</v>
      </c>
      <c r="E147" s="241">
        <v>27440.0</v>
      </c>
      <c r="F147" s="241">
        <v>41160.0</v>
      </c>
      <c r="G147" s="180" t="s">
        <v>292</v>
      </c>
      <c r="H147" s="43">
        <f t="shared" si="5"/>
        <v>335711.94600000005</v>
      </c>
    </row>
    <row r="148" spans="8:8">
      <c r="A148" s="3" t="s">
        <v>160</v>
      </c>
      <c r="B148" s="4" t="s">
        <v>65</v>
      </c>
      <c r="C148" s="240">
        <v>0.01</v>
      </c>
      <c r="D148" s="240">
        <v>241428.09600000002</v>
      </c>
      <c r="E148" s="241">
        <v>27440.0</v>
      </c>
      <c r="F148" s="241">
        <v>41160.0</v>
      </c>
      <c r="G148" s="180" t="s">
        <v>292</v>
      </c>
      <c r="H148" s="43">
        <f t="shared" si="5"/>
        <v>310028.106</v>
      </c>
    </row>
    <row r="149" spans="8:8">
      <c r="A149" s="3" t="s">
        <v>161</v>
      </c>
      <c r="B149" s="4" t="s">
        <v>65</v>
      </c>
      <c r="C149" s="240">
        <v>0.01</v>
      </c>
      <c r="D149" s="240">
        <v>267111.93600000005</v>
      </c>
      <c r="E149" s="241">
        <v>27440.0</v>
      </c>
      <c r="F149" s="241">
        <v>41160.0</v>
      </c>
      <c r="G149" s="180" t="s">
        <v>292</v>
      </c>
      <c r="H149" s="43">
        <f t="shared" si="5"/>
        <v>335711.94600000005</v>
      </c>
    </row>
    <row r="150" spans="8:8">
      <c r="A150" s="3" t="s">
        <v>162</v>
      </c>
      <c r="B150" s="4" t="s">
        <v>65</v>
      </c>
      <c r="C150" s="240">
        <v>0.01</v>
      </c>
      <c r="D150" s="240">
        <v>482856.19200000004</v>
      </c>
      <c r="E150" s="241">
        <v>27440.0</v>
      </c>
      <c r="F150" s="241">
        <v>41160.0</v>
      </c>
      <c r="G150" s="180" t="s">
        <v>292</v>
      </c>
      <c r="H150" s="43">
        <f t="shared" si="5"/>
        <v>551456.202</v>
      </c>
    </row>
    <row r="151" spans="8:8">
      <c r="A151" s="3" t="s">
        <v>163</v>
      </c>
      <c r="B151" s="4" t="s">
        <v>65</v>
      </c>
      <c r="C151" s="240">
        <v>0.01</v>
      </c>
      <c r="D151" s="240">
        <v>534223.8720000001</v>
      </c>
      <c r="E151" s="241">
        <v>27440.0</v>
      </c>
      <c r="F151" s="241">
        <v>41160.0</v>
      </c>
      <c r="G151" s="180" t="s">
        <v>292</v>
      </c>
      <c r="H151" s="43">
        <f t="shared" si="5"/>
        <v>602823.8820000001</v>
      </c>
    </row>
    <row r="152" spans="8:8">
      <c r="A152" s="3" t="s">
        <v>164</v>
      </c>
      <c r="B152" s="4" t="s">
        <v>65</v>
      </c>
      <c r="C152" s="240">
        <v>0.01</v>
      </c>
      <c r="D152" s="240">
        <v>208895.23200000002</v>
      </c>
      <c r="E152" s="241">
        <v>27440.0</v>
      </c>
      <c r="F152" s="241">
        <v>41160.0</v>
      </c>
      <c r="G152" s="180" t="s">
        <v>292</v>
      </c>
      <c r="H152" s="43">
        <f t="shared" si="5"/>
        <v>277495.242</v>
      </c>
    </row>
    <row r="153" spans="8:8">
      <c r="A153" s="3" t="s">
        <v>165</v>
      </c>
      <c r="B153" s="4" t="s">
        <v>65</v>
      </c>
      <c r="C153" s="240">
        <v>0.01</v>
      </c>
      <c r="D153" s="240">
        <v>234579.07200000001</v>
      </c>
      <c r="E153" s="241">
        <v>27440.0</v>
      </c>
      <c r="F153" s="241">
        <v>41160.0</v>
      </c>
      <c r="G153" s="180" t="s">
        <v>292</v>
      </c>
      <c r="H153" s="43">
        <f t="shared" si="5"/>
        <v>303179.08200000005</v>
      </c>
    </row>
    <row r="154" spans="8:8">
      <c r="A154" s="3" t="s">
        <v>166</v>
      </c>
      <c r="B154" s="4" t="s">
        <v>65</v>
      </c>
      <c r="C154" s="240">
        <v>0.01</v>
      </c>
      <c r="D154" s="240">
        <v>226873.91999999998</v>
      </c>
      <c r="E154" s="241">
        <v>27440.0</v>
      </c>
      <c r="F154" s="241">
        <v>41160.0</v>
      </c>
      <c r="G154" s="180" t="s">
        <v>292</v>
      </c>
      <c r="H154" s="43">
        <f t="shared" si="5"/>
        <v>295473.93</v>
      </c>
    </row>
    <row r="155" spans="8:8">
      <c r="A155" s="3" t="s">
        <v>167</v>
      </c>
      <c r="B155" s="4" t="s">
        <v>65</v>
      </c>
      <c r="C155" s="240">
        <v>0.01</v>
      </c>
      <c r="D155" s="240">
        <v>241428.09600000002</v>
      </c>
      <c r="E155" s="241">
        <v>27440.0</v>
      </c>
      <c r="F155" s="241">
        <v>41160.0</v>
      </c>
      <c r="G155" s="180" t="s">
        <v>292</v>
      </c>
      <c r="H155" s="43">
        <f t="shared" si="5"/>
        <v>310028.106</v>
      </c>
    </row>
    <row r="156" spans="8:8">
      <c r="A156" s="3" t="s">
        <v>168</v>
      </c>
      <c r="B156" s="4" t="s">
        <v>65</v>
      </c>
      <c r="C156" s="240">
        <v>0.01</v>
      </c>
      <c r="D156" s="240">
        <v>453747.83999999997</v>
      </c>
      <c r="E156" s="241">
        <v>27440.0</v>
      </c>
      <c r="F156" s="241">
        <v>41160.0</v>
      </c>
      <c r="G156" s="180" t="s">
        <v>292</v>
      </c>
      <c r="H156" s="43">
        <f t="shared" si="5"/>
        <v>522347.85</v>
      </c>
    </row>
    <row r="157" spans="8:8">
      <c r="A157" s="3" t="s">
        <v>169</v>
      </c>
      <c r="B157" s="4" t="s">
        <v>65</v>
      </c>
      <c r="C157" s="240">
        <v>0.01</v>
      </c>
      <c r="D157" s="240">
        <v>482856.19200000004</v>
      </c>
      <c r="E157" s="241">
        <v>27440.0</v>
      </c>
      <c r="F157" s="241">
        <v>41160.0</v>
      </c>
      <c r="G157" s="180" t="s">
        <v>292</v>
      </c>
      <c r="H157" s="43">
        <f t="shared" si="5"/>
        <v>551456.202</v>
      </c>
    </row>
    <row r="158" spans="8:8">
      <c r="A158" s="3" t="s">
        <v>170</v>
      </c>
      <c r="B158" s="4" t="s">
        <v>65</v>
      </c>
      <c r="C158" s="240">
        <v>0.01</v>
      </c>
      <c r="D158" s="240">
        <v>226873.91999999998</v>
      </c>
      <c r="E158" s="241">
        <v>27440.0</v>
      </c>
      <c r="F158" s="241">
        <v>41160.0</v>
      </c>
      <c r="G158" s="180" t="s">
        <v>292</v>
      </c>
      <c r="H158" s="43">
        <f t="shared" si="5"/>
        <v>295473.93</v>
      </c>
    </row>
    <row r="159" spans="8:8">
      <c r="A159" s="3" t="s">
        <v>171</v>
      </c>
      <c r="B159" s="4" t="s">
        <v>65</v>
      </c>
      <c r="C159" s="240">
        <v>0.01</v>
      </c>
      <c r="D159" s="240">
        <v>241428.09600000002</v>
      </c>
      <c r="E159" s="241">
        <v>27440.0</v>
      </c>
      <c r="F159" s="241">
        <v>41160.0</v>
      </c>
      <c r="G159" s="180" t="s">
        <v>292</v>
      </c>
      <c r="H159" s="43">
        <f t="shared" si="5"/>
        <v>310028.106</v>
      </c>
    </row>
    <row r="160" spans="8:8">
      <c r="A160" s="3" t="s">
        <v>172</v>
      </c>
      <c r="B160" s="4" t="s">
        <v>65</v>
      </c>
      <c r="C160" s="240">
        <v>0.01</v>
      </c>
      <c r="D160" s="240">
        <v>267111.93600000005</v>
      </c>
      <c r="E160" s="241">
        <v>27440.0</v>
      </c>
      <c r="F160" s="241">
        <v>41160.0</v>
      </c>
      <c r="G160" s="180" t="s">
        <v>292</v>
      </c>
      <c r="H160" s="43">
        <f t="shared" si="5"/>
        <v>335711.94600000005</v>
      </c>
    </row>
    <row r="161" spans="8:8">
      <c r="A161" s="3" t="s">
        <v>173</v>
      </c>
      <c r="B161" s="4" t="s">
        <v>65</v>
      </c>
      <c r="C161" s="240">
        <v>0.01</v>
      </c>
      <c r="D161" s="240">
        <v>453747.83999999997</v>
      </c>
      <c r="E161" s="241">
        <v>27440.0</v>
      </c>
      <c r="F161" s="241">
        <v>41160.0</v>
      </c>
      <c r="G161" s="180" t="s">
        <v>292</v>
      </c>
      <c r="H161" s="43">
        <f t="shared" si="5"/>
        <v>522347.85</v>
      </c>
    </row>
    <row r="162" spans="8:8">
      <c r="A162" s="3" t="s">
        <v>174</v>
      </c>
      <c r="B162" s="4" t="s">
        <v>65</v>
      </c>
      <c r="C162" s="240">
        <v>0.01</v>
      </c>
      <c r="D162" s="240">
        <v>482856.19200000004</v>
      </c>
      <c r="E162" s="241">
        <v>27440.0</v>
      </c>
      <c r="F162" s="241">
        <v>41160.0</v>
      </c>
      <c r="G162" s="180" t="s">
        <v>292</v>
      </c>
      <c r="H162" s="43">
        <f t="shared" si="5"/>
        <v>551456.202</v>
      </c>
    </row>
    <row r="163" spans="8:8">
      <c r="A163" s="3" t="s">
        <v>175</v>
      </c>
      <c r="B163" s="4" t="s">
        <v>65</v>
      </c>
      <c r="C163" s="240">
        <v>0.01</v>
      </c>
      <c r="D163" s="240">
        <v>534223.8720000001</v>
      </c>
      <c r="E163" s="241">
        <v>27440.0</v>
      </c>
      <c r="F163" s="241">
        <v>41160.0</v>
      </c>
      <c r="G163" s="180" t="s">
        <v>292</v>
      </c>
      <c r="H163" s="43">
        <f t="shared" si="5"/>
        <v>602823.8820000001</v>
      </c>
    </row>
    <row r="164" spans="8:8">
      <c r="A164" s="3" t="s">
        <v>176</v>
      </c>
      <c r="B164" s="4" t="s">
        <v>65</v>
      </c>
      <c r="C164" s="240">
        <v>0.01</v>
      </c>
      <c r="D164" s="240">
        <v>211463.616</v>
      </c>
      <c r="E164" s="241">
        <v>27440.0</v>
      </c>
      <c r="F164" s="241">
        <v>41160.0</v>
      </c>
      <c r="G164" s="180" t="s">
        <v>292</v>
      </c>
      <c r="H164" s="43">
        <f t="shared" si="5"/>
        <v>280063.62600000005</v>
      </c>
    </row>
    <row r="165" spans="8:8">
      <c r="A165" s="3" t="s">
        <v>177</v>
      </c>
      <c r="B165" s="4" t="s">
        <v>65</v>
      </c>
      <c r="C165" s="240">
        <v>0.01</v>
      </c>
      <c r="D165" s="240">
        <v>267111.93600000005</v>
      </c>
      <c r="E165" s="241">
        <v>27440.0</v>
      </c>
      <c r="F165" s="241">
        <v>41160.0</v>
      </c>
      <c r="G165" s="180" t="s">
        <v>292</v>
      </c>
      <c r="H165" s="43">
        <f t="shared" si="5"/>
        <v>335711.94600000005</v>
      </c>
    </row>
    <row r="166" spans="8:8">
      <c r="A166" s="3" t="s">
        <v>178</v>
      </c>
      <c r="B166" s="4" t="s">
        <v>65</v>
      </c>
      <c r="C166" s="240">
        <v>154103.04</v>
      </c>
      <c r="D166" s="240">
        <v>4012671.9360000007</v>
      </c>
      <c r="E166" s="241">
        <v>27440.0</v>
      </c>
      <c r="F166" s="241">
        <v>41160.0</v>
      </c>
      <c r="G166" s="180" t="s">
        <v>292</v>
      </c>
      <c r="H166" s="43">
        <f t="shared" si="5"/>
        <v>4235374.976000001</v>
      </c>
    </row>
    <row r="167" spans="8:8">
      <c r="A167" s="3" t="s">
        <v>179</v>
      </c>
      <c r="B167" s="4" t="s">
        <v>65</v>
      </c>
      <c r="C167" s="240">
        <v>0.01</v>
      </c>
      <c r="D167" s="240">
        <v>514532.9280000001</v>
      </c>
      <c r="E167" s="241">
        <v>27440.0</v>
      </c>
      <c r="F167" s="241">
        <v>41160.0</v>
      </c>
      <c r="G167" s="180" t="s">
        <v>292</v>
      </c>
      <c r="H167" s="43">
        <f t="shared" si="5"/>
        <v>583132.9380000001</v>
      </c>
    </row>
    <row r="168" spans="8:8">
      <c r="A168" s="3" t="s">
        <v>180</v>
      </c>
      <c r="B168" s="4" t="s">
        <v>65</v>
      </c>
      <c r="C168" s="240">
        <v>0.01</v>
      </c>
      <c r="D168" s="240">
        <v>241428.09600000002</v>
      </c>
      <c r="E168" s="241">
        <v>27440.0</v>
      </c>
      <c r="F168" s="241">
        <v>41160.0</v>
      </c>
      <c r="G168" s="180" t="s">
        <v>292</v>
      </c>
      <c r="H168" s="43">
        <f t="shared" si="5"/>
        <v>310028.106</v>
      </c>
    </row>
    <row r="169" spans="8:8">
      <c r="A169" s="3" t="s">
        <v>181</v>
      </c>
      <c r="B169" s="4" t="s">
        <v>65</v>
      </c>
      <c r="C169" s="240">
        <v>0.01</v>
      </c>
      <c r="D169" s="240">
        <v>482856.19200000004</v>
      </c>
      <c r="E169" s="241">
        <v>27440.0</v>
      </c>
      <c r="F169" s="241">
        <v>41160.0</v>
      </c>
      <c r="G169" s="180" t="s">
        <v>292</v>
      </c>
      <c r="H169" s="43">
        <f t="shared" si="5"/>
        <v>551456.202</v>
      </c>
    </row>
    <row r="170" spans="8:8">
      <c r="A170" s="3" t="s">
        <v>182</v>
      </c>
      <c r="B170" s="4" t="s">
        <v>65</v>
      </c>
      <c r="C170" s="240">
        <v>0.01</v>
      </c>
      <c r="D170" s="240">
        <v>226873.91999999998</v>
      </c>
      <c r="E170" s="241">
        <v>27440.0</v>
      </c>
      <c r="F170" s="241">
        <v>41160.0</v>
      </c>
      <c r="G170" s="180" t="s">
        <v>292</v>
      </c>
      <c r="H170" s="43">
        <f t="shared" si="5"/>
        <v>295473.93</v>
      </c>
    </row>
    <row r="171" spans="8:8">
      <c r="A171" s="3" t="s">
        <v>183</v>
      </c>
      <c r="B171" s="4" t="s">
        <v>65</v>
      </c>
      <c r="C171" s="240">
        <v>0.01</v>
      </c>
      <c r="D171" s="240">
        <v>241428.09600000002</v>
      </c>
      <c r="E171" s="241">
        <v>27440.0</v>
      </c>
      <c r="F171" s="241">
        <v>41160.0</v>
      </c>
      <c r="G171" s="180" t="s">
        <v>292</v>
      </c>
      <c r="H171" s="43">
        <f t="shared" si="5"/>
        <v>310028.106</v>
      </c>
    </row>
    <row r="172" spans="8:8">
      <c r="A172" s="3" t="s">
        <v>184</v>
      </c>
      <c r="B172" s="4" t="s">
        <v>65</v>
      </c>
      <c r="C172" s="240">
        <v>0.01</v>
      </c>
      <c r="D172" s="240">
        <v>267111.93600000005</v>
      </c>
      <c r="E172" s="241">
        <v>27440.0</v>
      </c>
      <c r="F172" s="241">
        <v>41160.0</v>
      </c>
      <c r="G172" s="180" t="s">
        <v>292</v>
      </c>
      <c r="H172" s="43">
        <f t="shared" si="5"/>
        <v>335711.94600000005</v>
      </c>
    </row>
    <row r="173" spans="8:8">
      <c r="A173" s="3" t="s">
        <v>185</v>
      </c>
      <c r="B173" s="4" t="s">
        <v>65</v>
      </c>
      <c r="C173" s="240">
        <v>0.01</v>
      </c>
      <c r="D173" s="240">
        <v>453747.83999999997</v>
      </c>
      <c r="E173" s="241">
        <v>27440.0</v>
      </c>
      <c r="F173" s="241">
        <v>41160.0</v>
      </c>
      <c r="G173" s="180" t="s">
        <v>292</v>
      </c>
      <c r="H173" s="43">
        <f t="shared" si="5"/>
        <v>522347.85</v>
      </c>
    </row>
    <row r="174" spans="8:8">
      <c r="A174" s="3" t="s">
        <v>186</v>
      </c>
      <c r="B174" s="4" t="s">
        <v>65</v>
      </c>
      <c r="C174" s="240">
        <v>0.01</v>
      </c>
      <c r="D174" s="240">
        <v>482856.19200000004</v>
      </c>
      <c r="E174" s="241">
        <v>27440.0</v>
      </c>
      <c r="F174" s="241">
        <v>41160.0</v>
      </c>
      <c r="G174" s="180" t="s">
        <v>292</v>
      </c>
      <c r="H174" s="43">
        <f t="shared" si="5"/>
        <v>551456.202</v>
      </c>
    </row>
    <row r="175" spans="8:8">
      <c r="A175" s="3" t="s">
        <v>187</v>
      </c>
      <c r="B175" s="4" t="s">
        <v>65</v>
      </c>
      <c r="C175" s="240">
        <v>0.01</v>
      </c>
      <c r="D175" s="240">
        <v>534223.8720000001</v>
      </c>
      <c r="E175" s="241">
        <v>27440.0</v>
      </c>
      <c r="F175" s="241">
        <v>41160.0</v>
      </c>
      <c r="G175" s="180" t="s">
        <v>292</v>
      </c>
      <c r="H175" s="43">
        <f t="shared" si="5"/>
        <v>602823.8820000001</v>
      </c>
    </row>
    <row r="176" spans="8:8">
      <c r="A176" s="15" t="s">
        <v>188</v>
      </c>
      <c r="B176" s="4" t="s">
        <v>65</v>
      </c>
      <c r="C176" s="240">
        <v>0.01</v>
      </c>
      <c r="D176" s="240">
        <v>226873.91999999998</v>
      </c>
      <c r="E176" s="241">
        <v>27440.0</v>
      </c>
      <c r="F176" s="241">
        <v>41160.0</v>
      </c>
      <c r="G176" s="180" t="s">
        <v>292</v>
      </c>
      <c r="H176" s="43">
        <f t="shared" si="5"/>
        <v>295473.93</v>
      </c>
    </row>
    <row r="177" spans="8:8">
      <c r="A177" s="3" t="s">
        <v>189</v>
      </c>
      <c r="B177" s="4" t="s">
        <v>65</v>
      </c>
      <c r="C177" s="240">
        <v>0.01</v>
      </c>
      <c r="D177" s="240">
        <v>241428.09600000002</v>
      </c>
      <c r="E177" s="241">
        <v>27440.0</v>
      </c>
      <c r="F177" s="241">
        <v>41160.0</v>
      </c>
      <c r="G177" s="180" t="s">
        <v>292</v>
      </c>
      <c r="H177" s="43">
        <f t="shared" si="6" ref="H177:H185">SUM(C177:F177)</f>
        <v>310028.106</v>
      </c>
    </row>
    <row r="178" spans="8:8">
      <c r="A178" s="3" t="s">
        <v>190</v>
      </c>
      <c r="B178" s="16" t="s">
        <v>65</v>
      </c>
      <c r="C178" s="240">
        <v>0.01</v>
      </c>
      <c r="D178" s="240">
        <v>226873.91999999998</v>
      </c>
      <c r="E178" s="241">
        <v>27440.0</v>
      </c>
      <c r="F178" s="241">
        <v>41160.0</v>
      </c>
      <c r="G178" s="180" t="s">
        <v>292</v>
      </c>
      <c r="H178" s="43">
        <f t="shared" si="6"/>
        <v>295473.93</v>
      </c>
    </row>
    <row r="179" spans="8:8" s="49" ht="15.0" customFormat="1">
      <c r="A179" s="3" t="s">
        <v>191</v>
      </c>
      <c r="B179" s="4" t="s">
        <v>65</v>
      </c>
      <c r="C179" s="240">
        <v>0.01</v>
      </c>
      <c r="D179" s="240">
        <v>241428.09600000002</v>
      </c>
      <c r="E179" s="241">
        <v>27440.0</v>
      </c>
      <c r="F179" s="241">
        <v>41160.0</v>
      </c>
      <c r="G179" s="180" t="s">
        <v>292</v>
      </c>
      <c r="H179" s="241">
        <f t="shared" si="6"/>
        <v>310028.106</v>
      </c>
    </row>
    <row r="180" spans="8:8">
      <c r="A180" s="3" t="s">
        <v>192</v>
      </c>
      <c r="B180" s="4" t="s">
        <v>65</v>
      </c>
      <c r="C180" s="240">
        <v>0.01</v>
      </c>
      <c r="D180" s="240">
        <v>267111.93600000005</v>
      </c>
      <c r="E180" s="241">
        <v>27440.0</v>
      </c>
      <c r="F180" s="241">
        <v>41160.0</v>
      </c>
      <c r="G180" s="180" t="s">
        <v>292</v>
      </c>
      <c r="H180" s="43">
        <f t="shared" si="6"/>
        <v>335711.94600000005</v>
      </c>
    </row>
    <row r="181" spans="8:8">
      <c r="A181" s="3" t="s">
        <v>193</v>
      </c>
      <c r="B181" s="4" t="s">
        <v>65</v>
      </c>
      <c r="C181" s="240">
        <v>0.01</v>
      </c>
      <c r="D181" s="240">
        <v>226873.91999999998</v>
      </c>
      <c r="E181" s="241">
        <v>27440.0</v>
      </c>
      <c r="F181" s="241">
        <v>41160.0</v>
      </c>
      <c r="G181" s="180" t="s">
        <v>292</v>
      </c>
      <c r="H181" s="43">
        <f t="shared" si="6"/>
        <v>295473.93</v>
      </c>
    </row>
    <row r="182" spans="8:8">
      <c r="A182" s="3" t="s">
        <v>194</v>
      </c>
      <c r="B182" s="4" t="s">
        <v>65</v>
      </c>
      <c r="C182" s="240">
        <v>0.01</v>
      </c>
      <c r="D182" s="240">
        <v>241428.09600000002</v>
      </c>
      <c r="E182" s="241">
        <v>27440.0</v>
      </c>
      <c r="F182" s="241">
        <v>41160.0</v>
      </c>
      <c r="G182" s="180" t="s">
        <v>292</v>
      </c>
      <c r="H182" s="43">
        <f t="shared" si="6"/>
        <v>310028.106</v>
      </c>
    </row>
    <row r="183" spans="8:8">
      <c r="A183" s="3" t="s">
        <v>197</v>
      </c>
      <c r="B183" s="4" t="s">
        <v>196</v>
      </c>
      <c r="C183" s="235">
        <v>0.0101</v>
      </c>
      <c r="D183" s="240">
        <v>674506.56</v>
      </c>
      <c r="E183" s="241">
        <v>27440.0</v>
      </c>
      <c r="F183" s="241">
        <v>41160.0</v>
      </c>
      <c r="G183" s="180" t="s">
        <v>292</v>
      </c>
      <c r="H183" s="43">
        <f t="shared" si="6"/>
        <v>743106.5701</v>
      </c>
    </row>
    <row r="184" spans="8:8">
      <c r="A184" s="3" t="s">
        <v>198</v>
      </c>
      <c r="B184" s="4" t="s">
        <v>196</v>
      </c>
      <c r="C184" s="235">
        <v>0.0101</v>
      </c>
      <c r="D184" s="240">
        <v>6716324.16</v>
      </c>
      <c r="E184" s="241">
        <v>27440.0</v>
      </c>
      <c r="F184" s="241">
        <v>41160.0</v>
      </c>
      <c r="G184" s="180" t="s">
        <v>292</v>
      </c>
      <c r="H184" s="43">
        <f t="shared" si="6"/>
        <v>6784924.1701</v>
      </c>
    </row>
    <row r="185" spans="8:8">
      <c r="A185" s="14" t="s">
        <v>360</v>
      </c>
      <c r="B185" s="4" t="s">
        <v>196</v>
      </c>
      <c r="C185" s="235">
        <v>0.0101</v>
      </c>
      <c r="D185" s="235">
        <v>2404584.0</v>
      </c>
      <c r="E185" s="241">
        <v>27440.0</v>
      </c>
      <c r="F185" s="241">
        <v>41160.0</v>
      </c>
      <c r="G185" s="180" t="s">
        <v>292</v>
      </c>
      <c r="H185" s="43">
        <f t="shared" si="6"/>
        <v>2473184.0101</v>
      </c>
      <c r="L185" s="233"/>
      <c r="M185" s="238"/>
    </row>
    <row r="186" spans="8:8">
      <c r="A186" s="14" t="s">
        <v>361</v>
      </c>
      <c r="B186" s="4" t="s">
        <v>196</v>
      </c>
      <c r="C186" s="235">
        <f>0.0101*2</f>
        <v>0.0202</v>
      </c>
      <c r="D186" s="235">
        <f>2404584*2</f>
        <v>4809168.0</v>
      </c>
      <c r="E186" s="241">
        <f>27440*2</f>
        <v>54880.0</v>
      </c>
      <c r="F186" s="241">
        <f>41160*2</f>
        <v>82320.0</v>
      </c>
      <c r="G186" s="180" t="s">
        <v>292</v>
      </c>
      <c r="H186" s="43">
        <f>SUM(C186:F186)</f>
        <v>4946368.0202</v>
      </c>
      <c r="I186" s="39">
        <v>5083568.02</v>
      </c>
      <c r="J186" s="48">
        <f>I186-H186</f>
        <v>137199.9997999994</v>
      </c>
      <c r="L186" s="233"/>
      <c r="M186" s="238"/>
    </row>
    <row r="187" spans="8:8">
      <c r="A187" s="3" t="s">
        <v>201</v>
      </c>
      <c r="B187" s="4" t="s">
        <v>196</v>
      </c>
      <c r="C187" s="235">
        <v>0.0101</v>
      </c>
      <c r="D187" s="235">
        <v>2404584.0</v>
      </c>
      <c r="E187" s="241">
        <v>27440.0</v>
      </c>
      <c r="F187" s="241">
        <v>41160.0</v>
      </c>
      <c r="G187" s="180" t="s">
        <v>292</v>
      </c>
      <c r="H187" s="43">
        <f>SUM(D187:F187)</f>
        <v>2473184.0</v>
      </c>
    </row>
    <row r="188" spans="8:8">
      <c r="A188" s="3" t="s">
        <v>202</v>
      </c>
      <c r="B188" s="16" t="s">
        <v>196</v>
      </c>
      <c r="C188" s="235">
        <v>0.0101</v>
      </c>
      <c r="D188" s="235">
        <v>2404584.0</v>
      </c>
      <c r="E188" s="241">
        <v>27440.0</v>
      </c>
      <c r="F188" s="241">
        <v>41160.0</v>
      </c>
      <c r="G188" s="180" t="s">
        <v>292</v>
      </c>
      <c r="H188" s="43">
        <f t="shared" si="7" ref="H188:H251">SUM(C188:F188)</f>
        <v>2473184.0101</v>
      </c>
    </row>
    <row r="189" spans="8:8">
      <c r="A189" s="3" t="s">
        <v>203</v>
      </c>
      <c r="B189" s="4" t="s">
        <v>196</v>
      </c>
      <c r="C189" s="235">
        <v>0.0101</v>
      </c>
      <c r="D189" s="235">
        <v>2404584.0</v>
      </c>
      <c r="E189" s="241">
        <v>27440.0</v>
      </c>
      <c r="F189" s="241">
        <v>41160.0</v>
      </c>
      <c r="G189" s="180" t="s">
        <v>292</v>
      </c>
      <c r="H189" s="43">
        <f t="shared" si="7"/>
        <v>2473184.0101</v>
      </c>
    </row>
    <row r="190" spans="8:8">
      <c r="A190" s="3" t="s">
        <v>204</v>
      </c>
      <c r="B190" s="4" t="s">
        <v>196</v>
      </c>
      <c r="C190" s="235">
        <v>0.0101</v>
      </c>
      <c r="D190" s="235">
        <v>2404584.0</v>
      </c>
      <c r="E190" s="241">
        <v>27440.0</v>
      </c>
      <c r="F190" s="241">
        <v>41160.0</v>
      </c>
      <c r="G190" s="180" t="s">
        <v>292</v>
      </c>
      <c r="H190" s="43">
        <f t="shared" si="7"/>
        <v>2473184.0101</v>
      </c>
    </row>
    <row r="191" spans="8:8">
      <c r="A191" s="3" t="s">
        <v>206</v>
      </c>
      <c r="B191" s="4" t="s">
        <v>196</v>
      </c>
      <c r="C191" s="235">
        <v>0.0101</v>
      </c>
      <c r="D191" s="235">
        <v>2404584.0</v>
      </c>
      <c r="E191" s="241">
        <v>27440.0</v>
      </c>
      <c r="F191" s="241">
        <v>41160.0</v>
      </c>
      <c r="G191" s="180" t="s">
        <v>292</v>
      </c>
      <c r="H191" s="43">
        <f t="shared" si="7"/>
        <v>2473184.0101</v>
      </c>
    </row>
    <row r="192" spans="8:8">
      <c r="A192" s="3" t="s">
        <v>207</v>
      </c>
      <c r="B192" s="4" t="s">
        <v>196</v>
      </c>
      <c r="C192" s="235">
        <v>0.0101</v>
      </c>
      <c r="D192" s="235">
        <v>2404584.0</v>
      </c>
      <c r="E192" s="241">
        <v>27440.0</v>
      </c>
      <c r="F192" s="241">
        <v>41160.0</v>
      </c>
      <c r="G192" s="180" t="s">
        <v>292</v>
      </c>
      <c r="H192" s="43">
        <f t="shared" si="7"/>
        <v>2473184.0101</v>
      </c>
    </row>
    <row r="193" spans="8:8">
      <c r="A193" s="3" t="s">
        <v>208</v>
      </c>
      <c r="B193" s="4" t="s">
        <v>196</v>
      </c>
      <c r="C193" s="235">
        <v>0.0101</v>
      </c>
      <c r="D193" s="235">
        <v>2404584.0</v>
      </c>
      <c r="E193" s="241">
        <v>27440.0</v>
      </c>
      <c r="F193" s="241">
        <v>41160.0</v>
      </c>
      <c r="G193" s="180" t="s">
        <v>292</v>
      </c>
      <c r="H193" s="43">
        <f t="shared" si="7"/>
        <v>2473184.0101</v>
      </c>
    </row>
    <row r="194" spans="8:8">
      <c r="A194" s="3" t="s">
        <v>209</v>
      </c>
      <c r="B194" s="4" t="s">
        <v>196</v>
      </c>
      <c r="C194" s="235">
        <v>0.0101</v>
      </c>
      <c r="D194" s="235">
        <v>2404584.0</v>
      </c>
      <c r="E194" s="241">
        <v>27440.0</v>
      </c>
      <c r="F194" s="241">
        <v>41160.0</v>
      </c>
      <c r="G194" s="180" t="s">
        <v>292</v>
      </c>
      <c r="H194" s="43">
        <f t="shared" si="7"/>
        <v>2473184.0101</v>
      </c>
    </row>
    <row r="195" spans="8:8">
      <c r="A195" s="3" t="s">
        <v>210</v>
      </c>
      <c r="B195" s="4" t="s">
        <v>196</v>
      </c>
      <c r="C195" s="235">
        <v>0.0101</v>
      </c>
      <c r="D195" s="235">
        <v>2404584.0</v>
      </c>
      <c r="E195" s="241">
        <v>27440.0</v>
      </c>
      <c r="F195" s="241">
        <v>41160.0</v>
      </c>
      <c r="G195" s="180" t="s">
        <v>292</v>
      </c>
      <c r="H195" s="43">
        <f t="shared" si="7"/>
        <v>2473184.0101</v>
      </c>
    </row>
    <row r="196" spans="8:8">
      <c r="A196" s="3" t="s">
        <v>211</v>
      </c>
      <c r="B196" s="4" t="s">
        <v>196</v>
      </c>
      <c r="C196" s="235">
        <v>0.0101</v>
      </c>
      <c r="D196" s="235">
        <v>2404584.0</v>
      </c>
      <c r="E196" s="241">
        <v>27440.0</v>
      </c>
      <c r="F196" s="241">
        <v>41160.0</v>
      </c>
      <c r="G196" s="180" t="s">
        <v>292</v>
      </c>
      <c r="H196" s="43">
        <f t="shared" si="7"/>
        <v>2473184.0101</v>
      </c>
    </row>
    <row r="197" spans="8:8">
      <c r="A197" s="3" t="s">
        <v>212</v>
      </c>
      <c r="B197" s="4" t="s">
        <v>196</v>
      </c>
      <c r="C197" s="235">
        <v>0.0101</v>
      </c>
      <c r="D197" s="235">
        <v>2404584.0</v>
      </c>
      <c r="E197" s="241">
        <v>27440.0</v>
      </c>
      <c r="F197" s="241">
        <v>41160.0</v>
      </c>
      <c r="G197" s="180" t="s">
        <v>292</v>
      </c>
      <c r="H197" s="43">
        <f t="shared" si="7"/>
        <v>2473184.0101</v>
      </c>
    </row>
    <row r="198" spans="8:8">
      <c r="A198" s="3" t="s">
        <v>214</v>
      </c>
      <c r="B198" s="4" t="s">
        <v>196</v>
      </c>
      <c r="C198" s="235">
        <v>0.0101</v>
      </c>
      <c r="D198" s="235">
        <v>2404584.0</v>
      </c>
      <c r="E198" s="241">
        <v>27440.0</v>
      </c>
      <c r="F198" s="241">
        <v>41160.0</v>
      </c>
      <c r="G198" s="180" t="s">
        <v>292</v>
      </c>
      <c r="H198" s="43">
        <f t="shared" si="7"/>
        <v>2473184.0101</v>
      </c>
    </row>
    <row r="199" spans="8:8">
      <c r="A199" s="3" t="s">
        <v>215</v>
      </c>
      <c r="B199" s="4" t="s">
        <v>196</v>
      </c>
      <c r="C199" s="235">
        <v>0.0101</v>
      </c>
      <c r="D199" s="235">
        <v>2404584.0</v>
      </c>
      <c r="E199" s="241">
        <v>27440.0</v>
      </c>
      <c r="F199" s="241">
        <v>41160.0</v>
      </c>
      <c r="G199" s="180" t="s">
        <v>292</v>
      </c>
      <c r="H199" s="43">
        <f t="shared" si="7"/>
        <v>2473184.0101</v>
      </c>
    </row>
    <row r="200" spans="8:8">
      <c r="A200" s="3" t="s">
        <v>216</v>
      </c>
      <c r="B200" s="4" t="s">
        <v>196</v>
      </c>
      <c r="C200" s="235">
        <v>0.0101</v>
      </c>
      <c r="D200" s="235">
        <v>2404584.0</v>
      </c>
      <c r="E200" s="241">
        <v>27440.0</v>
      </c>
      <c r="F200" s="241">
        <v>41160.0</v>
      </c>
      <c r="G200" s="180" t="s">
        <v>292</v>
      </c>
      <c r="H200" s="43">
        <f t="shared" si="7"/>
        <v>2473184.0101</v>
      </c>
    </row>
    <row r="201" spans="8:8">
      <c r="A201" s="3" t="s">
        <v>217</v>
      </c>
      <c r="B201" s="4" t="s">
        <v>196</v>
      </c>
      <c r="C201" s="235">
        <v>0.0101</v>
      </c>
      <c r="D201" s="235">
        <v>2404584.0</v>
      </c>
      <c r="E201" s="241">
        <v>27440.0</v>
      </c>
      <c r="F201" s="241">
        <v>41160.0</v>
      </c>
      <c r="G201" s="180" t="s">
        <v>292</v>
      </c>
      <c r="H201" s="43">
        <f t="shared" si="7"/>
        <v>2473184.0101</v>
      </c>
    </row>
    <row r="202" spans="8:8">
      <c r="A202" s="3" t="s">
        <v>218</v>
      </c>
      <c r="B202" s="4" t="s">
        <v>196</v>
      </c>
      <c r="C202" s="235">
        <v>0.0101</v>
      </c>
      <c r="D202" s="235">
        <v>2404584.0</v>
      </c>
      <c r="E202" s="241">
        <v>27440.0</v>
      </c>
      <c r="F202" s="241">
        <v>41160.0</v>
      </c>
      <c r="G202" s="180" t="s">
        <v>292</v>
      </c>
      <c r="H202" s="43">
        <f t="shared" si="7"/>
        <v>2473184.0101</v>
      </c>
    </row>
    <row r="203" spans="8:8">
      <c r="A203" s="3" t="s">
        <v>219</v>
      </c>
      <c r="B203" s="4" t="s">
        <v>196</v>
      </c>
      <c r="C203" s="235">
        <v>0.0101</v>
      </c>
      <c r="D203" s="235">
        <v>2404584.0</v>
      </c>
      <c r="E203" s="241">
        <v>27440.0</v>
      </c>
      <c r="F203" s="241">
        <v>41160.0</v>
      </c>
      <c r="G203" s="180" t="s">
        <v>292</v>
      </c>
      <c r="H203" s="43">
        <f t="shared" si="7"/>
        <v>2473184.0101</v>
      </c>
    </row>
    <row r="204" spans="8:8">
      <c r="A204" s="3" t="s">
        <v>220</v>
      </c>
      <c r="B204" s="4" t="s">
        <v>196</v>
      </c>
      <c r="C204" s="235">
        <v>0.0101</v>
      </c>
      <c r="D204" s="235">
        <v>2404584.0</v>
      </c>
      <c r="E204" s="241">
        <v>27440.0</v>
      </c>
      <c r="F204" s="241">
        <v>41160.0</v>
      </c>
      <c r="G204" s="180" t="s">
        <v>292</v>
      </c>
      <c r="H204" s="43">
        <f t="shared" si="7"/>
        <v>2473184.0101</v>
      </c>
    </row>
    <row r="205" spans="8:8">
      <c r="A205" s="242" t="s">
        <v>362</v>
      </c>
      <c r="B205" s="4" t="s">
        <v>196</v>
      </c>
      <c r="C205" s="235">
        <v>0.0101</v>
      </c>
      <c r="D205" s="235">
        <v>2404584.0</v>
      </c>
      <c r="E205" s="241">
        <v>27440.0</v>
      </c>
      <c r="F205" s="241">
        <v>41160.0</v>
      </c>
      <c r="G205" s="180" t="s">
        <v>292</v>
      </c>
      <c r="H205" s="43">
        <f t="shared" si="7"/>
        <v>2473184.0101</v>
      </c>
    </row>
    <row r="206" spans="8:8">
      <c r="A206" s="3" t="s">
        <v>222</v>
      </c>
      <c r="B206" s="4" t="s">
        <v>196</v>
      </c>
      <c r="C206" s="235">
        <v>0.0101</v>
      </c>
      <c r="D206" s="235">
        <v>4809168.0</v>
      </c>
      <c r="E206" s="241">
        <v>27440.0</v>
      </c>
      <c r="F206" s="241">
        <v>41160.0</v>
      </c>
      <c r="G206" s="180" t="s">
        <v>292</v>
      </c>
      <c r="H206" s="43">
        <f t="shared" si="7"/>
        <v>4877768.0101</v>
      </c>
    </row>
    <row r="207" spans="8:8">
      <c r="A207" s="3" t="s">
        <v>223</v>
      </c>
      <c r="B207" s="4" t="s">
        <v>196</v>
      </c>
      <c r="C207" s="235">
        <v>0.0101</v>
      </c>
      <c r="D207" s="235">
        <v>2404584.0</v>
      </c>
      <c r="E207" s="241">
        <v>27440.0</v>
      </c>
      <c r="F207" s="241">
        <v>41160.0</v>
      </c>
      <c r="G207" s="180" t="s">
        <v>292</v>
      </c>
      <c r="H207" s="43">
        <f t="shared" si="7"/>
        <v>2473184.0101</v>
      </c>
    </row>
    <row r="208" spans="8:8">
      <c r="A208" s="3" t="s">
        <v>224</v>
      </c>
      <c r="B208" s="4" t="s">
        <v>196</v>
      </c>
      <c r="C208" s="235">
        <v>0.0101</v>
      </c>
      <c r="D208" s="235">
        <v>2404584.0</v>
      </c>
      <c r="E208" s="241">
        <v>27440.0</v>
      </c>
      <c r="F208" s="241">
        <v>41160.0</v>
      </c>
      <c r="G208" s="180" t="s">
        <v>292</v>
      </c>
      <c r="H208" s="43">
        <f t="shared" si="7"/>
        <v>2473184.0101</v>
      </c>
    </row>
    <row r="209" spans="8:8">
      <c r="A209" s="3" t="s">
        <v>225</v>
      </c>
      <c r="B209" s="4" t="s">
        <v>196</v>
      </c>
      <c r="C209" s="235">
        <v>0.0101</v>
      </c>
      <c r="D209" s="235">
        <v>2404584.0</v>
      </c>
      <c r="E209" s="241">
        <v>27440.0</v>
      </c>
      <c r="F209" s="241">
        <v>41160.0</v>
      </c>
      <c r="G209" s="180" t="s">
        <v>292</v>
      </c>
      <c r="H209" s="43">
        <f t="shared" si="7"/>
        <v>2473184.0101</v>
      </c>
    </row>
    <row r="210" spans="8:8">
      <c r="A210" s="3" t="s">
        <v>226</v>
      </c>
      <c r="B210" s="4" t="s">
        <v>196</v>
      </c>
      <c r="C210" s="235">
        <v>0.0101</v>
      </c>
      <c r="D210" s="235">
        <v>3160248.0</v>
      </c>
      <c r="E210" s="241">
        <v>27440.0</v>
      </c>
      <c r="F210" s="241">
        <v>41160.0</v>
      </c>
      <c r="G210" s="180" t="s">
        <v>292</v>
      </c>
      <c r="H210" s="43">
        <f t="shared" si="7"/>
        <v>3228848.0101</v>
      </c>
    </row>
    <row r="211" spans="8:8">
      <c r="A211" s="3" t="s">
        <v>228</v>
      </c>
      <c r="B211" s="4" t="s">
        <v>196</v>
      </c>
      <c r="C211" s="235">
        <v>0.0101</v>
      </c>
      <c r="D211" s="235">
        <v>2404584.0</v>
      </c>
      <c r="E211" s="241">
        <v>27440.0</v>
      </c>
      <c r="F211" s="241">
        <v>41160.0</v>
      </c>
      <c r="G211" s="180" t="s">
        <v>292</v>
      </c>
      <c r="H211" s="43">
        <f t="shared" si="7"/>
        <v>2473184.0101</v>
      </c>
    </row>
    <row r="212" spans="8:8">
      <c r="A212" s="3" t="s">
        <v>229</v>
      </c>
      <c r="B212" s="4" t="s">
        <v>196</v>
      </c>
      <c r="C212" s="235">
        <v>0.0101</v>
      </c>
      <c r="D212" s="235">
        <v>2404584.0</v>
      </c>
      <c r="E212" s="241">
        <v>27440.0</v>
      </c>
      <c r="F212" s="241">
        <v>41160.0</v>
      </c>
      <c r="G212" s="180" t="s">
        <v>292</v>
      </c>
      <c r="H212" s="43">
        <f t="shared" si="7"/>
        <v>2473184.0101</v>
      </c>
    </row>
    <row r="213" spans="8:8">
      <c r="A213" s="3" t="s">
        <v>230</v>
      </c>
      <c r="B213" s="4" t="s">
        <v>196</v>
      </c>
      <c r="C213" s="235">
        <v>0.0101</v>
      </c>
      <c r="D213" s="235">
        <v>2404584.0</v>
      </c>
      <c r="E213" s="241">
        <v>27440.0</v>
      </c>
      <c r="F213" s="241">
        <v>41160.0</v>
      </c>
      <c r="G213" s="180" t="s">
        <v>292</v>
      </c>
      <c r="H213" s="43">
        <f t="shared" si="7"/>
        <v>2473184.0101</v>
      </c>
    </row>
    <row r="214" spans="8:8">
      <c r="A214" s="3" t="s">
        <v>231</v>
      </c>
      <c r="B214" s="4" t="s">
        <v>196</v>
      </c>
      <c r="C214" s="235">
        <v>0.0101</v>
      </c>
      <c r="D214" s="235">
        <v>2404584.0</v>
      </c>
      <c r="E214" s="241">
        <v>27440.0</v>
      </c>
      <c r="F214" s="241">
        <v>41160.0</v>
      </c>
      <c r="G214" s="180" t="s">
        <v>292</v>
      </c>
      <c r="H214" s="43">
        <f t="shared" si="7"/>
        <v>2473184.0101</v>
      </c>
    </row>
    <row r="215" spans="8:8">
      <c r="A215" s="3" t="s">
        <v>232</v>
      </c>
      <c r="B215" s="4" t="s">
        <v>196</v>
      </c>
      <c r="C215" s="235">
        <v>0.0101</v>
      </c>
      <c r="D215" s="235">
        <v>2404584.0</v>
      </c>
      <c r="E215" s="241">
        <v>27440.0</v>
      </c>
      <c r="F215" s="241">
        <v>41160.0</v>
      </c>
      <c r="G215" s="180" t="s">
        <v>292</v>
      </c>
      <c r="H215" s="43">
        <f t="shared" si="7"/>
        <v>2473184.0101</v>
      </c>
    </row>
    <row r="216" spans="8:8">
      <c r="A216" s="3" t="s">
        <v>233</v>
      </c>
      <c r="B216" s="4" t="s">
        <v>196</v>
      </c>
      <c r="C216" s="235">
        <v>0.0101</v>
      </c>
      <c r="D216" s="235">
        <v>2404584.0</v>
      </c>
      <c r="E216" s="241">
        <v>27440.0</v>
      </c>
      <c r="F216" s="241">
        <v>41160.0</v>
      </c>
      <c r="G216" s="180" t="s">
        <v>292</v>
      </c>
      <c r="H216" s="43">
        <f t="shared" si="7"/>
        <v>2473184.0101</v>
      </c>
    </row>
    <row r="217" spans="8:8">
      <c r="A217" s="3" t="s">
        <v>234</v>
      </c>
      <c r="B217" s="4" t="s">
        <v>196</v>
      </c>
      <c r="C217" s="235">
        <v>0.0101</v>
      </c>
      <c r="D217" s="235">
        <v>2404584.0</v>
      </c>
      <c r="E217" s="241">
        <v>27440.0</v>
      </c>
      <c r="F217" s="241">
        <v>41160.0</v>
      </c>
      <c r="G217" s="180" t="s">
        <v>292</v>
      </c>
      <c r="H217" s="43">
        <f t="shared" si="7"/>
        <v>2473184.0101</v>
      </c>
    </row>
    <row r="218" spans="8:8">
      <c r="A218" s="3" t="s">
        <v>235</v>
      </c>
      <c r="B218" s="4" t="s">
        <v>196</v>
      </c>
      <c r="C218" s="235">
        <v>0.0101</v>
      </c>
      <c r="D218" s="235">
        <v>2404584.0</v>
      </c>
      <c r="E218" s="241">
        <v>27440.0</v>
      </c>
      <c r="F218" s="241">
        <v>41160.0</v>
      </c>
      <c r="G218" s="180" t="s">
        <v>292</v>
      </c>
      <c r="H218" s="43">
        <f t="shared" si="7"/>
        <v>2473184.0101</v>
      </c>
    </row>
    <row r="219" spans="8:8">
      <c r="A219" s="3" t="s">
        <v>236</v>
      </c>
      <c r="B219" s="4" t="s">
        <v>196</v>
      </c>
      <c r="C219" s="235">
        <v>0.0101</v>
      </c>
      <c r="D219" s="235">
        <v>2404584.0</v>
      </c>
      <c r="E219" s="241">
        <v>27440.0</v>
      </c>
      <c r="F219" s="241">
        <v>41160.0</v>
      </c>
      <c r="G219" s="180" t="s">
        <v>292</v>
      </c>
      <c r="H219" s="43">
        <f t="shared" si="7"/>
        <v>2473184.0101</v>
      </c>
    </row>
    <row r="220" spans="8:8">
      <c r="A220" s="3" t="s">
        <v>237</v>
      </c>
      <c r="B220" s="4" t="s">
        <v>196</v>
      </c>
      <c r="C220" s="235">
        <v>0.0101</v>
      </c>
      <c r="D220" s="235">
        <v>2404584.0</v>
      </c>
      <c r="E220" s="241">
        <v>27440.0</v>
      </c>
      <c r="F220" s="241">
        <v>41160.0</v>
      </c>
      <c r="G220" s="180" t="s">
        <v>292</v>
      </c>
      <c r="H220" s="43">
        <f t="shared" si="7"/>
        <v>2473184.0101</v>
      </c>
    </row>
    <row r="221" spans="8:8">
      <c r="A221" s="3" t="s">
        <v>238</v>
      </c>
      <c r="B221" s="4" t="s">
        <v>196</v>
      </c>
      <c r="C221" s="235">
        <v>0.0101</v>
      </c>
      <c r="D221" s="235">
        <v>2404584.0</v>
      </c>
      <c r="E221" s="241">
        <v>27440.0</v>
      </c>
      <c r="F221" s="241">
        <v>41160.0</v>
      </c>
      <c r="G221" s="180" t="s">
        <v>292</v>
      </c>
      <c r="H221" s="43">
        <f t="shared" si="7"/>
        <v>2473184.0101</v>
      </c>
    </row>
    <row r="222" spans="8:8">
      <c r="A222" s="3" t="s">
        <v>239</v>
      </c>
      <c r="B222" s="4" t="s">
        <v>196</v>
      </c>
      <c r="C222" s="235">
        <v>0.0101</v>
      </c>
      <c r="D222" s="235">
        <v>2404584.0</v>
      </c>
      <c r="E222" s="241">
        <v>27440.0</v>
      </c>
      <c r="F222" s="241">
        <v>41160.0</v>
      </c>
      <c r="G222" s="180" t="s">
        <v>292</v>
      </c>
      <c r="H222" s="43">
        <f t="shared" si="7"/>
        <v>2473184.0101</v>
      </c>
    </row>
    <row r="223" spans="8:8">
      <c r="A223" s="3" t="s">
        <v>240</v>
      </c>
      <c r="B223" s="4" t="s">
        <v>196</v>
      </c>
      <c r="C223" s="235">
        <v>0.0101</v>
      </c>
      <c r="D223" s="235">
        <v>2404584.0</v>
      </c>
      <c r="E223" s="241">
        <v>27440.0</v>
      </c>
      <c r="F223" s="241">
        <v>41160.0</v>
      </c>
      <c r="G223" s="180" t="s">
        <v>292</v>
      </c>
      <c r="H223" s="43">
        <f t="shared" si="7"/>
        <v>2473184.0101</v>
      </c>
    </row>
    <row r="224" spans="8:8">
      <c r="A224" s="3" t="s">
        <v>241</v>
      </c>
      <c r="B224" s="16" t="s">
        <v>196</v>
      </c>
      <c r="C224" s="235">
        <v>0.0101</v>
      </c>
      <c r="D224" s="235">
        <v>2404584.0</v>
      </c>
      <c r="E224" s="241">
        <v>27440.0</v>
      </c>
      <c r="F224" s="241">
        <v>41160.0</v>
      </c>
      <c r="G224" s="180" t="s">
        <v>292</v>
      </c>
      <c r="H224" s="43">
        <f t="shared" si="7"/>
        <v>2473184.0101</v>
      </c>
    </row>
    <row r="225" spans="8:8">
      <c r="A225" s="3" t="s">
        <v>242</v>
      </c>
      <c r="B225" s="4" t="s">
        <v>196</v>
      </c>
      <c r="C225" s="235">
        <v>0.0101</v>
      </c>
      <c r="D225" s="235">
        <v>2404584.0</v>
      </c>
      <c r="E225" s="241">
        <v>27440.0</v>
      </c>
      <c r="F225" s="241">
        <v>41160.0</v>
      </c>
      <c r="G225" s="180" t="s">
        <v>292</v>
      </c>
      <c r="H225" s="43">
        <f t="shared" si="7"/>
        <v>2473184.0101</v>
      </c>
    </row>
    <row r="226" spans="8:8">
      <c r="A226" s="3" t="s">
        <v>243</v>
      </c>
      <c r="B226" s="4" t="s">
        <v>196</v>
      </c>
      <c r="C226" s="235">
        <v>0.0101</v>
      </c>
      <c r="D226" s="235">
        <v>2404584.0</v>
      </c>
      <c r="E226" s="241">
        <v>27440.0</v>
      </c>
      <c r="F226" s="241">
        <v>41160.0</v>
      </c>
      <c r="G226" s="180" t="s">
        <v>292</v>
      </c>
      <c r="H226" s="43">
        <f t="shared" si="7"/>
        <v>2473184.0101</v>
      </c>
      <c r="I226" s="49"/>
    </row>
    <row r="227" spans="8:8" s="49" ht="15.0" customFormat="1">
      <c r="A227" s="3" t="s">
        <v>244</v>
      </c>
      <c r="B227" s="4" t="s">
        <v>196</v>
      </c>
      <c r="C227" s="235">
        <v>0.0101</v>
      </c>
      <c r="D227" s="235">
        <v>2404584.0</v>
      </c>
      <c r="E227" s="241">
        <v>27440.0</v>
      </c>
      <c r="F227" s="241">
        <v>41160.0</v>
      </c>
      <c r="G227" s="180" t="s">
        <v>292</v>
      </c>
      <c r="H227" s="241">
        <f t="shared" si="7"/>
        <v>2473184.0101</v>
      </c>
      <c r="I227" s="39"/>
    </row>
    <row r="228" spans="8:8">
      <c r="A228" s="3" t="s">
        <v>246</v>
      </c>
      <c r="B228" s="4" t="s">
        <v>196</v>
      </c>
      <c r="C228" s="235">
        <v>0.0101</v>
      </c>
      <c r="D228" s="235">
        <v>2404584.0</v>
      </c>
      <c r="E228" s="241">
        <v>27440.0</v>
      </c>
      <c r="F228" s="241">
        <v>41160.0</v>
      </c>
      <c r="G228" s="180" t="s">
        <v>292</v>
      </c>
      <c r="H228" s="43">
        <f t="shared" si="7"/>
        <v>2473184.0101</v>
      </c>
    </row>
    <row r="229" spans="8:8">
      <c r="A229" s="3" t="s">
        <v>247</v>
      </c>
      <c r="B229" s="4" t="s">
        <v>196</v>
      </c>
      <c r="C229" s="235">
        <v>0.0101</v>
      </c>
      <c r="D229" s="235">
        <v>2404584.0</v>
      </c>
      <c r="E229" s="241">
        <v>27440.0</v>
      </c>
      <c r="F229" s="241">
        <v>41160.0</v>
      </c>
      <c r="G229" s="180" t="s">
        <v>292</v>
      </c>
      <c r="H229" s="43">
        <f t="shared" si="7"/>
        <v>2473184.0101</v>
      </c>
    </row>
    <row r="230" spans="8:8">
      <c r="A230" s="3" t="s">
        <v>248</v>
      </c>
      <c r="B230" s="4" t="s">
        <v>196</v>
      </c>
      <c r="C230" s="235">
        <v>0.0101</v>
      </c>
      <c r="D230" s="235">
        <v>2404584.0</v>
      </c>
      <c r="E230" s="241">
        <v>27440.0</v>
      </c>
      <c r="F230" s="241">
        <v>41160.0</v>
      </c>
      <c r="G230" s="180" t="s">
        <v>292</v>
      </c>
      <c r="H230" s="43">
        <f t="shared" si="7"/>
        <v>2473184.0101</v>
      </c>
    </row>
    <row r="231" spans="8:8">
      <c r="A231" s="3" t="s">
        <v>249</v>
      </c>
      <c r="B231" s="4" t="s">
        <v>196</v>
      </c>
      <c r="C231" s="235">
        <v>0.0101</v>
      </c>
      <c r="D231" s="235">
        <v>2404584.0</v>
      </c>
      <c r="E231" s="241">
        <v>27440.0</v>
      </c>
      <c r="F231" s="241">
        <v>41160.0</v>
      </c>
      <c r="G231" s="180" t="s">
        <v>292</v>
      </c>
      <c r="H231" s="43">
        <f t="shared" si="7"/>
        <v>2473184.0101</v>
      </c>
    </row>
    <row r="232" spans="8:8">
      <c r="A232" s="3" t="s">
        <v>250</v>
      </c>
      <c r="B232" s="4" t="s">
        <v>196</v>
      </c>
      <c r="C232" s="235">
        <v>0.0101</v>
      </c>
      <c r="D232" s="235">
        <v>2404584.0</v>
      </c>
      <c r="E232" s="241">
        <v>27440.0</v>
      </c>
      <c r="F232" s="241">
        <v>41160.0</v>
      </c>
      <c r="G232" s="180" t="s">
        <v>292</v>
      </c>
      <c r="H232" s="43">
        <f t="shared" si="7"/>
        <v>2473184.0101</v>
      </c>
    </row>
    <row r="233" spans="8:8">
      <c r="A233" s="3" t="s">
        <v>251</v>
      </c>
      <c r="B233" s="4" t="s">
        <v>196</v>
      </c>
      <c r="C233" s="235">
        <v>0.0101</v>
      </c>
      <c r="D233" s="235">
        <v>2404584.0</v>
      </c>
      <c r="E233" s="241">
        <v>27440.0</v>
      </c>
      <c r="F233" s="241">
        <v>41160.0</v>
      </c>
      <c r="G233" s="180" t="s">
        <v>292</v>
      </c>
      <c r="H233" s="43">
        <f t="shared" si="7"/>
        <v>2473184.0101</v>
      </c>
    </row>
    <row r="234" spans="8:8">
      <c r="A234" s="3" t="s">
        <v>252</v>
      </c>
      <c r="B234" s="4" t="s">
        <v>196</v>
      </c>
      <c r="C234" s="235">
        <v>0.0101</v>
      </c>
      <c r="D234" s="235">
        <v>2404584.0</v>
      </c>
      <c r="E234" s="241">
        <v>27440.0</v>
      </c>
      <c r="F234" s="241">
        <v>41160.0</v>
      </c>
      <c r="G234" s="180" t="s">
        <v>292</v>
      </c>
      <c r="H234" s="43">
        <f t="shared" si="7"/>
        <v>2473184.0101</v>
      </c>
    </row>
    <row r="235" spans="8:8">
      <c r="A235" s="14" t="s">
        <v>363</v>
      </c>
      <c r="B235" s="4" t="s">
        <v>196</v>
      </c>
      <c r="C235" s="235">
        <v>0.0101</v>
      </c>
      <c r="D235" s="235">
        <v>2404584.0</v>
      </c>
      <c r="E235" s="241">
        <v>27440.0</v>
      </c>
      <c r="F235" s="241">
        <v>41160.0</v>
      </c>
      <c r="G235" s="180" t="s">
        <v>292</v>
      </c>
      <c r="H235" s="43">
        <f t="shared" si="7"/>
        <v>2473184.0101</v>
      </c>
    </row>
    <row r="236" spans="8:8">
      <c r="A236" s="3" t="s">
        <v>254</v>
      </c>
      <c r="B236" s="4" t="s">
        <v>196</v>
      </c>
      <c r="C236" s="235">
        <v>0.0101</v>
      </c>
      <c r="D236" s="235">
        <v>2404584.0</v>
      </c>
      <c r="E236" s="241">
        <v>27440.0</v>
      </c>
      <c r="F236" s="241">
        <v>41160.0</v>
      </c>
      <c r="G236" s="180" t="s">
        <v>292</v>
      </c>
      <c r="H236" s="43">
        <f t="shared" si="7"/>
        <v>2473184.0101</v>
      </c>
    </row>
    <row r="237" spans="8:8">
      <c r="A237" s="3" t="s">
        <v>255</v>
      </c>
      <c r="B237" s="4" t="s">
        <v>196</v>
      </c>
      <c r="C237" s="235">
        <v>0.0101</v>
      </c>
      <c r="D237" s="235">
        <v>2404584.0</v>
      </c>
      <c r="E237" s="241">
        <v>27440.0</v>
      </c>
      <c r="F237" s="241">
        <v>41160.0</v>
      </c>
      <c r="G237" s="180" t="s">
        <v>292</v>
      </c>
      <c r="H237" s="43">
        <f t="shared" si="7"/>
        <v>2473184.0101</v>
      </c>
    </row>
    <row r="238" spans="8:8">
      <c r="A238" s="3" t="s">
        <v>256</v>
      </c>
      <c r="B238" s="4" t="s">
        <v>196</v>
      </c>
      <c r="C238" s="235">
        <v>0.0101</v>
      </c>
      <c r="D238" s="235">
        <v>2404584.0</v>
      </c>
      <c r="E238" s="241">
        <v>27440.0</v>
      </c>
      <c r="F238" s="241">
        <v>41160.0</v>
      </c>
      <c r="G238" s="180" t="s">
        <v>292</v>
      </c>
      <c r="H238" s="43">
        <f t="shared" si="7"/>
        <v>2473184.0101</v>
      </c>
    </row>
    <row r="239" spans="8:8">
      <c r="A239" s="3" t="s">
        <v>257</v>
      </c>
      <c r="B239" s="4" t="s">
        <v>196</v>
      </c>
      <c r="C239" s="235">
        <v>0.0101</v>
      </c>
      <c r="D239" s="235">
        <v>2404584.0</v>
      </c>
      <c r="E239" s="241">
        <v>27440.0</v>
      </c>
      <c r="F239" s="241">
        <v>41160.0</v>
      </c>
      <c r="G239" s="180" t="s">
        <v>292</v>
      </c>
      <c r="H239" s="43">
        <f t="shared" si="7"/>
        <v>2473184.0101</v>
      </c>
    </row>
    <row r="240" spans="8:8">
      <c r="A240" s="3" t="s">
        <v>258</v>
      </c>
      <c r="B240" s="4" t="s">
        <v>196</v>
      </c>
      <c r="C240" s="235">
        <v>0.0101</v>
      </c>
      <c r="D240" s="235">
        <v>2404584.0</v>
      </c>
      <c r="E240" s="241">
        <v>27440.0</v>
      </c>
      <c r="F240" s="241">
        <v>41160.0</v>
      </c>
      <c r="G240" s="180" t="s">
        <v>292</v>
      </c>
      <c r="H240" s="43">
        <f t="shared" si="8" ref="H240:H245">SUM(C240:F240)</f>
        <v>2473184.0101</v>
      </c>
    </row>
    <row r="241" spans="8:8">
      <c r="A241" s="3" t="s">
        <v>259</v>
      </c>
      <c r="B241" s="4" t="s">
        <v>196</v>
      </c>
      <c r="C241" s="235">
        <v>0.0101</v>
      </c>
      <c r="D241" s="235">
        <v>2404584.0</v>
      </c>
      <c r="E241" s="241">
        <v>27440.0</v>
      </c>
      <c r="F241" s="241">
        <v>41160.0</v>
      </c>
      <c r="G241" s="180" t="s">
        <v>292</v>
      </c>
      <c r="H241" s="43">
        <f t="shared" si="8"/>
        <v>2473184.0101</v>
      </c>
    </row>
    <row r="242" spans="8:8">
      <c r="A242" s="3" t="s">
        <v>260</v>
      </c>
      <c r="B242" s="4" t="s">
        <v>196</v>
      </c>
      <c r="C242" s="235">
        <v>0.0101</v>
      </c>
      <c r="D242" s="235">
        <v>2404584.0</v>
      </c>
      <c r="E242" s="241">
        <v>27440.0</v>
      </c>
      <c r="F242" s="241">
        <v>41160.0</v>
      </c>
      <c r="G242" s="180" t="s">
        <v>292</v>
      </c>
      <c r="H242" s="43">
        <f t="shared" si="8"/>
        <v>2473184.0101</v>
      </c>
    </row>
    <row r="243" spans="8:8">
      <c r="A243" s="3" t="s">
        <v>262</v>
      </c>
      <c r="B243" s="4" t="s">
        <v>196</v>
      </c>
      <c r="C243" s="235">
        <v>0.0101</v>
      </c>
      <c r="D243" s="235">
        <v>2885500.8</v>
      </c>
      <c r="E243" s="241">
        <v>27440.0</v>
      </c>
      <c r="F243" s="241">
        <v>41160.0</v>
      </c>
      <c r="G243" s="180" t="s">
        <v>292</v>
      </c>
      <c r="H243" s="43">
        <f t="shared" si="8"/>
        <v>2954100.8101</v>
      </c>
    </row>
    <row r="244" spans="8:8">
      <c r="A244" s="3" t="s">
        <v>265</v>
      </c>
      <c r="B244" s="4" t="s">
        <v>196</v>
      </c>
      <c r="C244" s="235">
        <v>0.0101</v>
      </c>
      <c r="D244" s="235">
        <v>2404584.0</v>
      </c>
      <c r="E244" s="241">
        <v>27440.0</v>
      </c>
      <c r="F244" s="241">
        <v>41160.0</v>
      </c>
      <c r="G244" s="180" t="s">
        <v>292</v>
      </c>
      <c r="H244" s="43">
        <f t="shared" si="8"/>
        <v>2473184.0101</v>
      </c>
    </row>
    <row r="245" spans="8:8">
      <c r="A245" s="3" t="s">
        <v>266</v>
      </c>
      <c r="B245" s="4" t="s">
        <v>196</v>
      </c>
      <c r="C245" s="235">
        <v>0.0101</v>
      </c>
      <c r="D245" s="235">
        <v>2404584.0</v>
      </c>
      <c r="E245" s="241">
        <v>27440.0</v>
      </c>
      <c r="F245" s="241">
        <v>41160.0</v>
      </c>
      <c r="G245" s="180" t="s">
        <v>292</v>
      </c>
      <c r="H245" s="43">
        <f t="shared" si="8"/>
        <v>2473184.0101</v>
      </c>
    </row>
    <row r="246" spans="8:8">
      <c r="A246" s="3" t="s">
        <v>267</v>
      </c>
      <c r="B246" s="4" t="s">
        <v>196</v>
      </c>
      <c r="C246" s="235">
        <v>0.0101</v>
      </c>
      <c r="D246" s="235">
        <v>2404584.0</v>
      </c>
      <c r="E246" s="241">
        <v>27440.0</v>
      </c>
      <c r="F246" s="241">
        <v>41160.0</v>
      </c>
      <c r="G246" s="180" t="s">
        <v>292</v>
      </c>
      <c r="H246" s="43">
        <f t="shared" si="7"/>
        <v>2473184.0101</v>
      </c>
    </row>
    <row r="247" spans="8:8">
      <c r="A247" s="3" t="s">
        <v>268</v>
      </c>
      <c r="B247" s="4" t="s">
        <v>196</v>
      </c>
      <c r="C247" s="235">
        <v>0.0101</v>
      </c>
      <c r="D247" s="235">
        <v>2404584.0</v>
      </c>
      <c r="E247" s="241">
        <v>27440.0</v>
      </c>
      <c r="F247" s="241">
        <v>41160.0</v>
      </c>
      <c r="G247" s="180" t="s">
        <v>292</v>
      </c>
      <c r="H247" s="43">
        <f t="shared" si="7"/>
        <v>2473184.0101</v>
      </c>
    </row>
    <row r="248" spans="8:8">
      <c r="A248" s="3" t="s">
        <v>269</v>
      </c>
      <c r="B248" s="4" t="s">
        <v>196</v>
      </c>
      <c r="C248" s="235">
        <v>0.0101</v>
      </c>
      <c r="D248" s="235">
        <v>2404584.0</v>
      </c>
      <c r="E248" s="241">
        <v>27440.0</v>
      </c>
      <c r="F248" s="241">
        <v>41160.0</v>
      </c>
      <c r="G248" s="180" t="s">
        <v>292</v>
      </c>
      <c r="H248" s="43">
        <f t="shared" si="7"/>
        <v>2473184.0101</v>
      </c>
    </row>
    <row r="249" spans="8:8">
      <c r="A249" s="3" t="s">
        <v>270</v>
      </c>
      <c r="B249" s="4" t="s">
        <v>196</v>
      </c>
      <c r="C249" s="235">
        <v>0.0101</v>
      </c>
      <c r="D249" s="235">
        <v>2404584.0</v>
      </c>
      <c r="E249" s="241">
        <v>27440.0</v>
      </c>
      <c r="F249" s="241">
        <v>41160.0</v>
      </c>
      <c r="G249" s="180" t="s">
        <v>292</v>
      </c>
      <c r="H249" s="43">
        <f t="shared" si="7"/>
        <v>2473184.0101</v>
      </c>
    </row>
    <row r="250" spans="8:8">
      <c r="A250" s="3" t="s">
        <v>271</v>
      </c>
      <c r="B250" s="4" t="s">
        <v>196</v>
      </c>
      <c r="C250" s="235">
        <v>0.0101</v>
      </c>
      <c r="D250" s="235">
        <v>2404584.0</v>
      </c>
      <c r="E250" s="241">
        <v>27440.0</v>
      </c>
      <c r="F250" s="241">
        <v>41160.0</v>
      </c>
      <c r="G250" s="180" t="s">
        <v>292</v>
      </c>
      <c r="H250" s="43">
        <f t="shared" si="7"/>
        <v>2473184.0101</v>
      </c>
    </row>
    <row r="251" spans="8:8">
      <c r="A251" s="3" t="s">
        <v>272</v>
      </c>
      <c r="B251" s="4" t="s">
        <v>196</v>
      </c>
      <c r="C251" s="235">
        <v>0.0101</v>
      </c>
      <c r="D251" s="235">
        <v>2404584.0</v>
      </c>
      <c r="E251" s="241">
        <v>27440.0</v>
      </c>
      <c r="F251" s="241">
        <v>41160.0</v>
      </c>
      <c r="G251" s="180" t="s">
        <v>292</v>
      </c>
      <c r="H251" s="43">
        <f t="shared" si="7"/>
        <v>2473184.0101</v>
      </c>
    </row>
    <row r="252" spans="8:8">
      <c r="A252" s="3" t="s">
        <v>273</v>
      </c>
      <c r="B252" s="4" t="s">
        <v>196</v>
      </c>
      <c r="C252" s="235">
        <v>0.0101</v>
      </c>
      <c r="D252" s="235">
        <v>2404584.0</v>
      </c>
      <c r="E252" s="241">
        <v>27440.0</v>
      </c>
      <c r="F252" s="241">
        <v>41160.0</v>
      </c>
      <c r="G252" s="180" t="s">
        <v>292</v>
      </c>
      <c r="H252" s="43">
        <f t="shared" si="9" ref="H252:H255">SUM(C252:F252)</f>
        <v>2473184.0101</v>
      </c>
    </row>
    <row r="253" spans="8:8">
      <c r="A253" s="3" t="s">
        <v>274</v>
      </c>
      <c r="B253" s="4" t="s">
        <v>196</v>
      </c>
      <c r="C253" s="235">
        <v>0.0101</v>
      </c>
      <c r="D253" s="235">
        <v>2404584.0</v>
      </c>
      <c r="E253" s="241">
        <v>27440.0</v>
      </c>
      <c r="F253" s="241">
        <v>41160.0</v>
      </c>
      <c r="G253" s="180" t="s">
        <v>292</v>
      </c>
      <c r="H253" s="43">
        <f t="shared" si="9"/>
        <v>2473184.0101</v>
      </c>
    </row>
    <row r="254" spans="8:8">
      <c r="A254" s="3" t="s">
        <v>275</v>
      </c>
      <c r="B254" s="4" t="s">
        <v>196</v>
      </c>
      <c r="C254" s="235">
        <v>0.0101</v>
      </c>
      <c r="D254" s="235">
        <v>2404584.0</v>
      </c>
      <c r="E254" s="241">
        <v>27440.0</v>
      </c>
      <c r="F254" s="241">
        <v>41160.0</v>
      </c>
      <c r="G254" s="180" t="s">
        <v>292</v>
      </c>
      <c r="H254" s="43">
        <f t="shared" si="9"/>
        <v>2473184.0101</v>
      </c>
    </row>
    <row r="255" spans="8:8">
      <c r="A255" s="3" t="s">
        <v>276</v>
      </c>
      <c r="B255" s="4" t="s">
        <v>196</v>
      </c>
      <c r="C255" s="235">
        <v>0.0101</v>
      </c>
      <c r="D255" s="235">
        <v>2404584.0</v>
      </c>
      <c r="E255" s="241">
        <v>27440.0</v>
      </c>
      <c r="F255" s="241">
        <v>41160.0</v>
      </c>
      <c r="G255" s="180" t="s">
        <v>292</v>
      </c>
      <c r="H255" s="43">
        <f t="shared" si="9"/>
        <v>2473184.0101</v>
      </c>
    </row>
    <row r="256" spans="8:8">
      <c r="A256" s="15" t="s">
        <v>277</v>
      </c>
      <c r="B256" s="4" t="s">
        <v>196</v>
      </c>
      <c r="C256" s="235">
        <v>0.0101</v>
      </c>
      <c r="D256" s="235">
        <v>2404584.0</v>
      </c>
      <c r="E256" s="241">
        <v>27440.0</v>
      </c>
      <c r="F256" s="241">
        <v>41160.0</v>
      </c>
      <c r="G256" s="180" t="s">
        <v>292</v>
      </c>
      <c r="H256" s="43">
        <f>SUM(C256:F256)</f>
        <v>2473184.0101</v>
      </c>
    </row>
    <row r="257" spans="8:8">
      <c r="A257" s="18" t="s">
        <v>364</v>
      </c>
      <c r="B257" s="4" t="s">
        <v>196</v>
      </c>
      <c r="C257" s="235">
        <f>0.0101*3</f>
        <v>0.0303</v>
      </c>
      <c r="D257" s="235">
        <f>2404584*3</f>
        <v>7213752.0</v>
      </c>
      <c r="E257" s="241">
        <f>27440*3</f>
        <v>82320.0</v>
      </c>
      <c r="F257" s="241">
        <f>41160*3</f>
        <v>123480.0</v>
      </c>
      <c r="G257" s="180" t="s">
        <v>292</v>
      </c>
      <c r="H257" s="43">
        <f>SUM(C257:F257)</f>
        <v>7419552.0303</v>
      </c>
      <c r="I257" s="205"/>
      <c r="J257" s="48"/>
    </row>
    <row r="258" spans="8:8">
      <c r="A258" s="3" t="s">
        <v>280</v>
      </c>
      <c r="B258" s="4" t="s">
        <v>196</v>
      </c>
      <c r="C258" s="235">
        <v>170614.08000000002</v>
      </c>
      <c r="D258" s="235">
        <v>2888121.6</v>
      </c>
      <c r="E258" s="241">
        <v>27440.0</v>
      </c>
      <c r="F258" s="241">
        <v>41160.0</v>
      </c>
      <c r="G258" s="180" t="s">
        <v>292</v>
      </c>
      <c r="H258" s="43">
        <f>SUM(C258:F258)</f>
        <v>3127335.68</v>
      </c>
    </row>
    <row r="259" spans="8:8">
      <c r="A259" s="207" t="s">
        <v>281</v>
      </c>
      <c r="B259" s="208" t="s">
        <v>282</v>
      </c>
      <c r="C259" s="209">
        <v>1000000.0</v>
      </c>
      <c r="D259" s="218" t="s">
        <v>292</v>
      </c>
      <c r="E259" s="180" t="s">
        <v>292</v>
      </c>
      <c r="F259" s="180" t="s">
        <v>292</v>
      </c>
      <c r="G259" s="180" t="s">
        <v>292</v>
      </c>
      <c r="H259" s="210">
        <f t="shared" si="10" ref="H259:H268">SUM(C259:F259)</f>
        <v>1000000.0</v>
      </c>
    </row>
    <row r="260" spans="8:8">
      <c r="A260" s="207" t="s">
        <v>283</v>
      </c>
      <c r="B260" s="208" t="s">
        <v>282</v>
      </c>
      <c r="C260" s="209">
        <v>756.0</v>
      </c>
      <c r="D260" s="218" t="s">
        <v>292</v>
      </c>
      <c r="E260" s="180" t="s">
        <v>292</v>
      </c>
      <c r="F260" s="180" t="s">
        <v>292</v>
      </c>
      <c r="G260" s="180" t="s">
        <v>292</v>
      </c>
      <c r="H260" s="210">
        <f t="shared" si="10"/>
        <v>756.0</v>
      </c>
    </row>
    <row r="261" spans="8:8">
      <c r="A261" s="207" t="s">
        <v>284</v>
      </c>
      <c r="B261" s="208" t="s">
        <v>285</v>
      </c>
      <c r="C261" s="211">
        <v>8232.0</v>
      </c>
      <c r="D261" s="218" t="s">
        <v>292</v>
      </c>
      <c r="E261" s="180" t="s">
        <v>292</v>
      </c>
      <c r="F261" s="180" t="s">
        <v>292</v>
      </c>
      <c r="G261" s="180" t="s">
        <v>292</v>
      </c>
      <c r="H261" s="210">
        <f t="shared" si="10"/>
        <v>8232.0</v>
      </c>
    </row>
    <row r="262" spans="8:8">
      <c r="A262" s="207" t="s">
        <v>286</v>
      </c>
      <c r="B262" s="208" t="s">
        <v>285</v>
      </c>
      <c r="C262" s="211">
        <v>13720.0</v>
      </c>
      <c r="D262" s="218" t="s">
        <v>292</v>
      </c>
      <c r="E262" s="180" t="s">
        <v>292</v>
      </c>
      <c r="F262" s="180" t="s">
        <v>292</v>
      </c>
      <c r="G262" s="180" t="s">
        <v>292</v>
      </c>
      <c r="H262" s="210">
        <f t="shared" si="10"/>
        <v>13720.0</v>
      </c>
    </row>
    <row r="263" spans="8:8">
      <c r="A263" s="15" t="s">
        <v>4</v>
      </c>
      <c r="B263" s="16" t="s">
        <v>285</v>
      </c>
      <c r="C263" s="20">
        <v>27440.0</v>
      </c>
      <c r="D263" s="218" t="s">
        <v>292</v>
      </c>
      <c r="E263" s="180" t="s">
        <v>292</v>
      </c>
      <c r="F263" s="180" t="s">
        <v>292</v>
      </c>
      <c r="G263" s="180" t="s">
        <v>292</v>
      </c>
      <c r="H263" s="210">
        <f t="shared" si="10"/>
        <v>27440.0</v>
      </c>
    </row>
    <row r="264" spans="8:8">
      <c r="A264" s="15" t="s">
        <v>287</v>
      </c>
      <c r="B264" s="16" t="s">
        <v>285</v>
      </c>
      <c r="C264" s="20">
        <v>82320.0</v>
      </c>
      <c r="D264" s="218" t="s">
        <v>292</v>
      </c>
      <c r="E264" s="180" t="s">
        <v>292</v>
      </c>
      <c r="F264" s="180" t="s">
        <v>292</v>
      </c>
      <c r="G264" s="180" t="s">
        <v>292</v>
      </c>
      <c r="H264" s="210">
        <f t="shared" si="10"/>
        <v>82320.0</v>
      </c>
    </row>
    <row r="265" spans="8:8">
      <c r="A265" s="15" t="s">
        <v>319</v>
      </c>
      <c r="B265" s="16" t="s">
        <v>285</v>
      </c>
      <c r="C265" s="20">
        <v>32928.0</v>
      </c>
      <c r="D265" s="218" t="s">
        <v>292</v>
      </c>
      <c r="E265" s="180" t="s">
        <v>292</v>
      </c>
      <c r="F265" s="180" t="s">
        <v>292</v>
      </c>
      <c r="G265" s="180" t="s">
        <v>292</v>
      </c>
      <c r="H265" s="210">
        <f t="shared" si="10"/>
        <v>32928.0</v>
      </c>
    </row>
    <row r="266" spans="8:8">
      <c r="A266" s="15">
        <v>9.0</v>
      </c>
      <c r="B266" s="16" t="s">
        <v>285</v>
      </c>
      <c r="C266" s="20">
        <v>41160.0</v>
      </c>
      <c r="D266" s="218" t="s">
        <v>292</v>
      </c>
      <c r="E266" s="180" t="s">
        <v>292</v>
      </c>
      <c r="F266" s="180" t="s">
        <v>292</v>
      </c>
      <c r="G266" s="180" t="s">
        <v>292</v>
      </c>
      <c r="H266" s="210">
        <f t="shared" si="10"/>
        <v>41160.0</v>
      </c>
    </row>
    <row r="267" spans="8:8">
      <c r="A267" s="15" t="s">
        <v>288</v>
      </c>
      <c r="B267" s="16" t="s">
        <v>285</v>
      </c>
      <c r="C267" s="20">
        <v>137200.0</v>
      </c>
      <c r="D267" s="218" t="s">
        <v>292</v>
      </c>
      <c r="E267" s="180" t="s">
        <v>292</v>
      </c>
      <c r="F267" s="180" t="s">
        <v>292</v>
      </c>
      <c r="G267" s="180" t="s">
        <v>292</v>
      </c>
      <c r="H267" s="210">
        <f t="shared" si="10"/>
        <v>137200.0</v>
      </c>
    </row>
    <row r="268" spans="8:8">
      <c r="A268" s="207" t="s">
        <v>291</v>
      </c>
      <c r="B268" s="208" t="s">
        <v>290</v>
      </c>
      <c r="C268" s="209">
        <v>431733.12000000005</v>
      </c>
      <c r="D268" s="209">
        <v>431733.12000000005</v>
      </c>
      <c r="E268" s="17">
        <v>27440.0</v>
      </c>
      <c r="F268" s="17">
        <v>41160.0</v>
      </c>
      <c r="G268" s="180" t="s">
        <v>292</v>
      </c>
      <c r="H268" s="210">
        <f t="shared" si="10"/>
        <v>932066.2400000001</v>
      </c>
    </row>
    <row r="269" spans="8:8">
      <c r="B269" s="189"/>
      <c r="C269" s="161"/>
      <c r="D269" s="161"/>
      <c r="E269" s="191"/>
    </row>
    <row r="270" spans="8:8">
      <c r="B270" s="71"/>
      <c r="C270" s="161"/>
      <c r="D270" s="161"/>
      <c r="E270" s="191"/>
    </row>
    <row r="271" spans="8:8">
      <c r="E271" s="191"/>
    </row>
    <row r="274" spans="8:8">
      <c r="A274" s="38" t="s">
        <v>351</v>
      </c>
    </row>
    <row r="276" spans="8:8">
      <c r="D276" s="40">
        <v>250500.0</v>
      </c>
    </row>
    <row r="277" spans="8:8">
      <c r="D277" s="40">
        <v>190000.0</v>
      </c>
    </row>
    <row r="279" spans="8:8">
      <c r="D279" s="40">
        <f>SUM(D276:D278)</f>
        <v>440500.0</v>
      </c>
    </row>
    <row r="280" spans="8:8">
      <c r="D280" s="40">
        <v>524720.0</v>
      </c>
    </row>
    <row r="281" spans="8:8">
      <c r="D281" s="40">
        <f>D280-D279</f>
        <v>84220.0</v>
      </c>
    </row>
    <row r="283" spans="8:8">
      <c r="I283" s="49"/>
    </row>
    <row r="284" spans="8:8" s="49" ht="15.0" customFormat="1">
      <c r="A284" s="38"/>
      <c r="B284" s="39"/>
      <c r="C284" s="40"/>
      <c r="D284" s="40"/>
      <c r="E284" s="163"/>
      <c r="F284" s="163"/>
      <c r="G284" s="163"/>
      <c r="H284" s="161"/>
    </row>
    <row r="292" spans="8:8" s="49" ht="15.0" customFormat="1">
      <c r="A292" s="38"/>
      <c r="B292" s="39"/>
      <c r="C292" s="40"/>
      <c r="D292" s="40"/>
      <c r="E292" s="163"/>
      <c r="F292" s="163"/>
      <c r="G292" s="163"/>
      <c r="H292" s="161"/>
    </row>
    <row r="295" spans="8:8" s="49" ht="15.0" customFormat="1">
      <c r="A295" s="38"/>
      <c r="B295" s="39"/>
      <c r="C295" s="40"/>
      <c r="D295" s="40"/>
      <c r="E295" s="163"/>
      <c r="F295" s="163"/>
      <c r="G295" s="163"/>
      <c r="H295" s="161"/>
    </row>
    <row r="296" spans="8:8" s="49" ht="15.0" customFormat="1">
      <c r="A296" s="38"/>
      <c r="B296" s="39"/>
      <c r="C296" s="40"/>
      <c r="D296" s="40"/>
      <c r="E296" s="163"/>
      <c r="F296" s="163"/>
      <c r="G296" s="163"/>
      <c r="H296" s="161"/>
    </row>
    <row r="297" spans="8:8">
      <c r="I297" s="71"/>
    </row>
    <row r="298" spans="8:8">
      <c r="I298" s="71"/>
    </row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:O297"/>
  <sheetViews>
    <sheetView workbookViewId="0">
      <selection activeCell="E18" sqref="E18"/>
    </sheetView>
  </sheetViews>
  <sheetFormatPr defaultRowHeight="15.0" defaultColWidth="10"/>
  <cols>
    <col min="1" max="1" customWidth="1" width="70.28516" style="38"/>
    <col min="2" max="2" customWidth="1" width="17.285156" style="39"/>
    <col min="3" max="3" customWidth="1" width="12.425781" style="40"/>
    <col min="4" max="4" customWidth="1" width="14.5703125" style="40"/>
    <col min="5" max="5" customWidth="1" width="14.425781" style="163"/>
    <col min="6" max="6" customWidth="1" width="14.285156" style="163"/>
    <col min="7" max="7" customWidth="1" width="0.140625" style="163"/>
    <col min="8" max="8" customWidth="1" width="16.570312" style="161"/>
    <col min="9" max="9" customWidth="1" width="22.710938" style="39"/>
    <col min="10" max="10" customWidth="1" width="13.7109375" style="39"/>
    <col min="11" max="16384" customWidth="0" width="11.425781" style="39"/>
  </cols>
  <sheetData>
    <row r="1" spans="8:8">
      <c r="A1" s="1" t="s">
        <v>0</v>
      </c>
      <c r="B1" s="1" t="s">
        <v>1</v>
      </c>
      <c r="C1" s="2" t="s">
        <v>2</v>
      </c>
      <c r="D1" s="2" t="s">
        <v>3</v>
      </c>
      <c r="E1" s="80" t="s">
        <v>4</v>
      </c>
      <c r="F1" s="80" t="s">
        <v>5</v>
      </c>
      <c r="G1" s="80" t="s">
        <v>319</v>
      </c>
      <c r="H1" s="2" t="s">
        <v>294</v>
      </c>
    </row>
    <row r="2" spans="8:8">
      <c r="A2" s="3" t="s">
        <v>7</v>
      </c>
      <c r="B2" s="4" t="s">
        <v>8</v>
      </c>
      <c r="C2" s="243">
        <v>0.01</v>
      </c>
      <c r="D2" s="243">
        <v>515217.83040000004</v>
      </c>
      <c r="E2" s="241">
        <v>46648.0</v>
      </c>
      <c r="F2" s="241">
        <v>69972.0</v>
      </c>
      <c r="G2" s="180" t="s">
        <v>292</v>
      </c>
      <c r="H2" s="43">
        <f>SUM(C2:F2)</f>
        <v>631837.8404000001</v>
      </c>
    </row>
    <row r="3" spans="8:8">
      <c r="A3" s="3" t="s">
        <v>9</v>
      </c>
      <c r="B3" s="4" t="s">
        <v>8</v>
      </c>
      <c r="C3" s="243">
        <v>0.01</v>
      </c>
      <c r="D3" s="243">
        <v>515217.83040000004</v>
      </c>
      <c r="E3" s="241">
        <v>46648.0</v>
      </c>
      <c r="F3" s="241">
        <v>69972.0</v>
      </c>
      <c r="G3" s="180" t="s">
        <v>292</v>
      </c>
      <c r="H3" s="43">
        <f>SUM(C3:F3)</f>
        <v>631837.8404000001</v>
      </c>
    </row>
    <row r="4" spans="8:8">
      <c r="A4" s="3" t="s">
        <v>10</v>
      </c>
      <c r="B4" s="4" t="s">
        <v>8</v>
      </c>
      <c r="C4" s="243">
        <v>0.01</v>
      </c>
      <c r="D4" s="243">
        <v>515217.83040000004</v>
      </c>
      <c r="E4" s="241">
        <v>46648.0</v>
      </c>
      <c r="F4" s="241">
        <v>69972.0</v>
      </c>
      <c r="G4" s="180" t="s">
        <v>292</v>
      </c>
      <c r="H4" s="43">
        <f>SUM(C4:F4)</f>
        <v>631837.8404000001</v>
      </c>
    </row>
    <row r="5" spans="8:8">
      <c r="A5" s="3" t="s">
        <v>11</v>
      </c>
      <c r="B5" s="4" t="s">
        <v>8</v>
      </c>
      <c r="C5" s="235">
        <v>0.01</v>
      </c>
      <c r="D5" s="243">
        <v>736025.4958000001</v>
      </c>
      <c r="E5" s="241">
        <v>46648.0</v>
      </c>
      <c r="F5" s="241">
        <v>69972.0</v>
      </c>
      <c r="G5" s="180" t="s">
        <v>292</v>
      </c>
      <c r="H5" s="43">
        <f>SUM(C5:F5)</f>
        <v>852645.5058000002</v>
      </c>
    </row>
    <row r="6" spans="8:8">
      <c r="A6" s="18" t="s">
        <v>365</v>
      </c>
      <c r="B6" s="16" t="s">
        <v>13</v>
      </c>
      <c r="C6" s="243">
        <v>328924.3776</v>
      </c>
      <c r="D6" s="243">
        <v>183382.6176</v>
      </c>
      <c r="E6" s="241">
        <v>46648.0</v>
      </c>
      <c r="F6" s="241">
        <v>69972.0</v>
      </c>
      <c r="G6" s="20">
        <v>55978.0</v>
      </c>
      <c r="H6" s="43">
        <f t="shared" si="0" ref="H6:H49">SUM(C6:G6)</f>
        <v>684904.9952</v>
      </c>
      <c r="I6" s="71"/>
      <c r="J6" s="71"/>
      <c r="K6" s="71"/>
      <c r="L6" s="71"/>
      <c r="M6" s="71"/>
      <c r="N6" s="71"/>
    </row>
    <row r="7" spans="8:8" s="244" ht="15.0" customFormat="1">
      <c r="A7" s="206" t="s">
        <v>366</v>
      </c>
      <c r="B7" s="245" t="s">
        <v>13</v>
      </c>
      <c r="C7" s="246"/>
      <c r="D7" s="246"/>
      <c r="E7" s="237"/>
      <c r="F7" s="237"/>
      <c r="G7" s="247"/>
      <c r="H7" s="205">
        <v>1369810.0</v>
      </c>
      <c r="I7" s="248"/>
      <c r="J7" s="248"/>
      <c r="K7" s="248"/>
      <c r="L7" s="248"/>
      <c r="M7" s="248"/>
      <c r="N7" s="248"/>
    </row>
    <row r="8" spans="8:8">
      <c r="A8" s="3" t="s">
        <v>15</v>
      </c>
      <c r="B8" s="4" t="s">
        <v>13</v>
      </c>
      <c r="C8" s="243">
        <v>328924.3776</v>
      </c>
      <c r="D8" s="243">
        <v>183382.6176</v>
      </c>
      <c r="E8" s="241">
        <v>46648.0</v>
      </c>
      <c r="F8" s="241">
        <v>69972.0</v>
      </c>
      <c r="G8" s="20">
        <v>55978.0</v>
      </c>
      <c r="H8" s="43">
        <f t="shared" si="0"/>
        <v>684904.9952</v>
      </c>
      <c r="I8" s="71"/>
      <c r="J8" s="71"/>
      <c r="K8" s="71"/>
      <c r="L8" s="71"/>
      <c r="M8" s="71"/>
      <c r="N8" s="71"/>
    </row>
    <row r="9" spans="8:8">
      <c r="A9" s="3" t="s">
        <v>16</v>
      </c>
      <c r="B9" s="4" t="s">
        <v>13</v>
      </c>
      <c r="C9" s="243">
        <v>328924.3776</v>
      </c>
      <c r="D9" s="243">
        <v>183382.6176</v>
      </c>
      <c r="E9" s="241">
        <v>46648.0</v>
      </c>
      <c r="F9" s="241">
        <v>69972.0</v>
      </c>
      <c r="G9" s="20">
        <v>55978.0</v>
      </c>
      <c r="H9" s="43">
        <f t="shared" si="0"/>
        <v>684904.9952</v>
      </c>
      <c r="I9" s="71"/>
      <c r="J9" s="71"/>
      <c r="K9" s="71"/>
      <c r="L9" s="71"/>
      <c r="M9" s="71"/>
      <c r="N9" s="71"/>
    </row>
    <row r="10" spans="8:8">
      <c r="A10" s="3" t="s">
        <v>17</v>
      </c>
      <c r="B10" s="4" t="s">
        <v>13</v>
      </c>
      <c r="C10" s="243">
        <v>1145413.6512</v>
      </c>
      <c r="D10" s="243">
        <v>419160.26879999996</v>
      </c>
      <c r="E10" s="241">
        <v>46648.0</v>
      </c>
      <c r="F10" s="241">
        <v>69972.0</v>
      </c>
      <c r="G10" s="20">
        <v>55978.0</v>
      </c>
      <c r="H10" s="43">
        <f t="shared" si="0"/>
        <v>1737171.92</v>
      </c>
      <c r="I10" s="71"/>
      <c r="J10" s="71"/>
      <c r="K10" s="71"/>
      <c r="L10" s="71"/>
      <c r="M10" s="71"/>
      <c r="N10" s="71"/>
    </row>
    <row r="11" spans="8:8">
      <c r="A11" s="3" t="s">
        <v>18</v>
      </c>
      <c r="B11" s="4" t="s">
        <v>13</v>
      </c>
      <c r="C11" s="243">
        <v>390051.9168</v>
      </c>
      <c r="D11" s="243">
        <v>419160.26879999996</v>
      </c>
      <c r="E11" s="241">
        <v>46648.0</v>
      </c>
      <c r="F11" s="241">
        <v>69972.0</v>
      </c>
      <c r="G11" s="20">
        <v>55978.0</v>
      </c>
      <c r="H11" s="43">
        <f t="shared" si="0"/>
        <v>981810.1856</v>
      </c>
      <c r="I11" s="71"/>
      <c r="J11" s="71"/>
      <c r="K11" s="71"/>
      <c r="L11" s="71"/>
      <c r="M11" s="71"/>
      <c r="N11" s="71"/>
    </row>
    <row r="12" spans="8:8">
      <c r="A12" s="3" t="s">
        <v>19</v>
      </c>
      <c r="B12" s="4" t="s">
        <v>13</v>
      </c>
      <c r="C12" s="243">
        <v>390051.9168</v>
      </c>
      <c r="D12" s="243">
        <v>419160.26879999996</v>
      </c>
      <c r="E12" s="241">
        <v>46648.0</v>
      </c>
      <c r="F12" s="241">
        <v>69972.0</v>
      </c>
      <c r="G12" s="20">
        <v>55978.0</v>
      </c>
      <c r="H12" s="43">
        <f t="shared" si="0"/>
        <v>981810.1856</v>
      </c>
      <c r="I12" s="71"/>
      <c r="J12" s="71"/>
      <c r="K12" s="71"/>
      <c r="L12" s="71"/>
      <c r="M12" s="71"/>
      <c r="N12" s="71"/>
    </row>
    <row r="13" spans="8:8" s="244" ht="15.0" customFormat="1">
      <c r="A13" s="204" t="s">
        <v>20</v>
      </c>
      <c r="B13" s="249" t="s">
        <v>13</v>
      </c>
      <c r="C13" s="246">
        <v>390051.9168</v>
      </c>
      <c r="D13" s="246">
        <v>419160.26879999996</v>
      </c>
      <c r="E13" s="237">
        <v>46648.0</v>
      </c>
      <c r="F13" s="237">
        <v>69972.0</v>
      </c>
      <c r="G13" s="247">
        <v>55978.0</v>
      </c>
      <c r="H13" s="205">
        <v>1963620.38</v>
      </c>
    </row>
    <row r="14" spans="8:8">
      <c r="A14" s="15" t="s">
        <v>21</v>
      </c>
      <c r="B14" s="4" t="s">
        <v>13</v>
      </c>
      <c r="C14" s="243">
        <v>390051.9168</v>
      </c>
      <c r="D14" s="243">
        <v>419160.26879999996</v>
      </c>
      <c r="E14" s="241">
        <v>46648.0</v>
      </c>
      <c r="F14" s="241">
        <v>69972.0</v>
      </c>
      <c r="G14" s="20">
        <v>55978.0</v>
      </c>
      <c r="H14" s="43">
        <f t="shared" si="0"/>
        <v>981810.1856</v>
      </c>
    </row>
    <row r="15" spans="8:8" s="244" ht="15.0" customFormat="1">
      <c r="A15" s="206" t="s">
        <v>22</v>
      </c>
      <c r="B15" s="245" t="s">
        <v>13</v>
      </c>
      <c r="C15" s="246">
        <v>390051.9168</v>
      </c>
      <c r="D15" s="246">
        <v>419160.26879999996</v>
      </c>
      <c r="E15" s="237">
        <v>46648.0</v>
      </c>
      <c r="F15" s="237">
        <v>69972.0</v>
      </c>
      <c r="G15" s="247">
        <v>55978.0</v>
      </c>
      <c r="H15" s="205">
        <v>1963620.38</v>
      </c>
    </row>
    <row r="16" spans="8:8">
      <c r="A16" s="15" t="s">
        <v>23</v>
      </c>
      <c r="B16" s="16" t="s">
        <v>13</v>
      </c>
      <c r="C16" s="243">
        <v>390051.9168</v>
      </c>
      <c r="D16" s="243">
        <v>419160.26879999996</v>
      </c>
      <c r="E16" s="241">
        <v>46648.0</v>
      </c>
      <c r="F16" s="241">
        <v>69972.0</v>
      </c>
      <c r="G16" s="20">
        <v>55978.0</v>
      </c>
      <c r="H16" s="43">
        <f t="shared" si="0"/>
        <v>981810.1856</v>
      </c>
    </row>
    <row r="17" spans="8:8">
      <c r="A17" s="3" t="s">
        <v>24</v>
      </c>
      <c r="B17" s="16" t="s">
        <v>13</v>
      </c>
      <c r="C17" s="243">
        <v>390051.9168</v>
      </c>
      <c r="D17" s="243">
        <v>419160.26879999996</v>
      </c>
      <c r="E17" s="241">
        <v>46648.0</v>
      </c>
      <c r="F17" s="241">
        <v>69972.0</v>
      </c>
      <c r="G17" s="20">
        <v>55978.0</v>
      </c>
      <c r="H17" s="43">
        <f t="shared" si="0"/>
        <v>981810.1856</v>
      </c>
    </row>
    <row r="18" spans="8:8">
      <c r="A18" s="3" t="s">
        <v>25</v>
      </c>
      <c r="B18" s="4" t="s">
        <v>13</v>
      </c>
      <c r="C18" s="243">
        <v>390051.9168</v>
      </c>
      <c r="D18" s="243">
        <v>419160.26879999996</v>
      </c>
      <c r="E18" s="241">
        <v>46648.0</v>
      </c>
      <c r="F18" s="241">
        <v>69972.0</v>
      </c>
      <c r="G18" s="20">
        <v>55978.0</v>
      </c>
      <c r="H18" s="43">
        <f t="shared" si="0"/>
        <v>981810.1856</v>
      </c>
    </row>
    <row r="19" spans="8:8">
      <c r="A19" s="3" t="s">
        <v>26</v>
      </c>
      <c r="B19" s="4" t="s">
        <v>13</v>
      </c>
      <c r="C19" s="243">
        <v>390051.9168</v>
      </c>
      <c r="D19" s="243">
        <v>419160.26879999996</v>
      </c>
      <c r="E19" s="241">
        <v>46648.0</v>
      </c>
      <c r="F19" s="241">
        <v>69972.0</v>
      </c>
      <c r="G19" s="20">
        <v>55978.0</v>
      </c>
      <c r="H19" s="43">
        <f t="shared" si="0"/>
        <v>981810.1856</v>
      </c>
    </row>
    <row r="20" spans="8:8">
      <c r="A20" s="3" t="s">
        <v>27</v>
      </c>
      <c r="B20" s="4" t="s">
        <v>13</v>
      </c>
      <c r="C20" s="243">
        <v>390051.9168</v>
      </c>
      <c r="D20" s="243">
        <v>419160.26879999996</v>
      </c>
      <c r="E20" s="241">
        <v>46648.0</v>
      </c>
      <c r="F20" s="241">
        <v>69972.0</v>
      </c>
      <c r="G20" s="20">
        <v>55978.0</v>
      </c>
      <c r="H20" s="43">
        <f t="shared" si="0"/>
        <v>981810.1856</v>
      </c>
    </row>
    <row r="21" spans="8:8">
      <c r="A21" s="3" t="s">
        <v>28</v>
      </c>
      <c r="B21" s="4" t="s">
        <v>13</v>
      </c>
      <c r="C21" s="243">
        <v>390051.9168</v>
      </c>
      <c r="D21" s="243">
        <v>419160.26879999996</v>
      </c>
      <c r="E21" s="241">
        <v>46648.0</v>
      </c>
      <c r="F21" s="241">
        <v>69972.0</v>
      </c>
      <c r="G21" s="20">
        <v>55978.0</v>
      </c>
      <c r="H21" s="43">
        <f t="shared" si="0"/>
        <v>981810.1856</v>
      </c>
    </row>
    <row r="22" spans="8:8">
      <c r="A22" s="3" t="s">
        <v>29</v>
      </c>
      <c r="B22" s="4" t="s">
        <v>13</v>
      </c>
      <c r="C22" s="243">
        <v>390051.9168</v>
      </c>
      <c r="D22" s="243">
        <v>419160.26879999996</v>
      </c>
      <c r="E22" s="241">
        <v>46648.0</v>
      </c>
      <c r="F22" s="241">
        <v>69972.0</v>
      </c>
      <c r="G22" s="20">
        <v>55978.0</v>
      </c>
      <c r="H22" s="43">
        <f t="shared" si="0"/>
        <v>981810.1856</v>
      </c>
    </row>
    <row r="23" spans="8:8" s="244" ht="15.0" customFormat="1">
      <c r="A23" s="204" t="s">
        <v>367</v>
      </c>
      <c r="B23" s="249" t="s">
        <v>13</v>
      </c>
      <c r="C23" s="246">
        <v>390051.9168</v>
      </c>
      <c r="D23" s="246">
        <v>419160.26879999996</v>
      </c>
      <c r="E23" s="237">
        <v>46648.0</v>
      </c>
      <c r="F23" s="237">
        <v>69972.0</v>
      </c>
      <c r="G23" s="247">
        <v>55978.0</v>
      </c>
      <c r="H23" s="205">
        <f t="shared" si="0"/>
        <v>981810.1856</v>
      </c>
    </row>
    <row r="24" spans="8:8">
      <c r="A24" s="3" t="s">
        <v>31</v>
      </c>
      <c r="B24" s="4" t="s">
        <v>13</v>
      </c>
      <c r="C24" s="243">
        <v>390051.9168</v>
      </c>
      <c r="D24" s="243">
        <v>419160.26879999996</v>
      </c>
      <c r="E24" s="241">
        <v>46648.0</v>
      </c>
      <c r="F24" s="241">
        <v>69972.0</v>
      </c>
      <c r="G24" s="20">
        <v>55978.0</v>
      </c>
      <c r="H24" s="43">
        <f t="shared" si="0"/>
        <v>981810.1856</v>
      </c>
    </row>
    <row r="25" spans="8:8">
      <c r="A25" s="3" t="s">
        <v>32</v>
      </c>
      <c r="B25" s="4" t="s">
        <v>13</v>
      </c>
      <c r="C25" s="243">
        <v>390051.9168</v>
      </c>
      <c r="D25" s="243">
        <v>419160.26879999996</v>
      </c>
      <c r="E25" s="241">
        <v>46648.0</v>
      </c>
      <c r="F25" s="241">
        <v>69972.0</v>
      </c>
      <c r="G25" s="20">
        <v>55978.0</v>
      </c>
      <c r="H25" s="43">
        <f t="shared" si="0"/>
        <v>981810.1856</v>
      </c>
    </row>
    <row r="26" spans="8:8">
      <c r="A26" s="3" t="s">
        <v>33</v>
      </c>
      <c r="B26" s="4" t="s">
        <v>13</v>
      </c>
      <c r="C26" s="243">
        <v>390051.9168</v>
      </c>
      <c r="D26" s="243">
        <v>419160.26879999996</v>
      </c>
      <c r="E26" s="241">
        <v>46648.0</v>
      </c>
      <c r="F26" s="241">
        <v>69972.0</v>
      </c>
      <c r="G26" s="20">
        <v>55978.0</v>
      </c>
      <c r="H26" s="43">
        <f t="shared" si="0"/>
        <v>981810.1856</v>
      </c>
    </row>
    <row r="27" spans="8:8">
      <c r="A27" s="3" t="s">
        <v>34</v>
      </c>
      <c r="B27" s="4" t="s">
        <v>13</v>
      </c>
      <c r="C27" s="243">
        <v>328924.3776</v>
      </c>
      <c r="D27" s="243">
        <v>183382.6176</v>
      </c>
      <c r="E27" s="241">
        <v>46648.0</v>
      </c>
      <c r="F27" s="241">
        <v>69972.0</v>
      </c>
      <c r="G27" s="20">
        <v>55978.0</v>
      </c>
      <c r="H27" s="43">
        <f t="shared" si="0"/>
        <v>684904.9952</v>
      </c>
    </row>
    <row r="28" spans="8:8">
      <c r="A28" s="3" t="s">
        <v>35</v>
      </c>
      <c r="B28" s="4" t="s">
        <v>13</v>
      </c>
      <c r="C28" s="243">
        <v>328924.3776</v>
      </c>
      <c r="D28" s="243">
        <v>183382.6176</v>
      </c>
      <c r="E28" s="241">
        <v>46648.0</v>
      </c>
      <c r="F28" s="241">
        <v>69972.0</v>
      </c>
      <c r="G28" s="20">
        <v>55978.0</v>
      </c>
      <c r="H28" s="43">
        <f t="shared" si="0"/>
        <v>684904.9952</v>
      </c>
    </row>
    <row r="29" spans="8:8">
      <c r="A29" s="3" t="s">
        <v>36</v>
      </c>
      <c r="B29" s="4" t="s">
        <v>13</v>
      </c>
      <c r="C29" s="243">
        <v>328924.3776</v>
      </c>
      <c r="D29" s="243">
        <v>183382.6176</v>
      </c>
      <c r="E29" s="241">
        <v>46648.0</v>
      </c>
      <c r="F29" s="241">
        <v>69972.0</v>
      </c>
      <c r="G29" s="20">
        <v>55978.0</v>
      </c>
      <c r="H29" s="43">
        <f t="shared" si="0"/>
        <v>684904.9952</v>
      </c>
    </row>
    <row r="30" spans="8:8">
      <c r="A30" s="14" t="s">
        <v>368</v>
      </c>
      <c r="B30" s="4" t="s">
        <v>13</v>
      </c>
      <c r="C30" s="243">
        <v>328924.3776</v>
      </c>
      <c r="D30" s="243">
        <v>183382.6176</v>
      </c>
      <c r="E30" s="241">
        <v>46648.0</v>
      </c>
      <c r="F30" s="241">
        <v>69972.0</v>
      </c>
      <c r="G30" s="20">
        <v>55978.0</v>
      </c>
      <c r="H30" s="43">
        <f t="shared" si="0"/>
        <v>684904.9952</v>
      </c>
    </row>
    <row r="31" spans="8:8">
      <c r="A31" s="3" t="s">
        <v>38</v>
      </c>
      <c r="B31" s="4" t="s">
        <v>13</v>
      </c>
      <c r="C31" s="243">
        <v>328924.3776</v>
      </c>
      <c r="D31" s="243">
        <v>183382.6176</v>
      </c>
      <c r="E31" s="241">
        <v>46648.0</v>
      </c>
      <c r="F31" s="241">
        <v>69972.0</v>
      </c>
      <c r="G31" s="20">
        <v>55978.0</v>
      </c>
      <c r="H31" s="43">
        <f t="shared" si="0"/>
        <v>684904.9952</v>
      </c>
    </row>
    <row r="32" spans="8:8">
      <c r="A32" s="15" t="s">
        <v>39</v>
      </c>
      <c r="B32" s="4" t="s">
        <v>13</v>
      </c>
      <c r="C32" s="243">
        <v>328924.3776</v>
      </c>
      <c r="D32" s="243">
        <v>183382.6176</v>
      </c>
      <c r="E32" s="241">
        <v>46648.0</v>
      </c>
      <c r="F32" s="241">
        <v>69972.0</v>
      </c>
      <c r="G32" s="20">
        <v>55978.0</v>
      </c>
      <c r="H32" s="43">
        <f t="shared" si="0"/>
        <v>684904.9952</v>
      </c>
    </row>
    <row r="33" spans="8:8" s="49" ht="15.0" customFormat="1">
      <c r="A33" s="3" t="s">
        <v>40</v>
      </c>
      <c r="B33" s="16" t="s">
        <v>13</v>
      </c>
      <c r="C33" s="243">
        <v>328924.3776</v>
      </c>
      <c r="D33" s="243">
        <v>183382.6176</v>
      </c>
      <c r="E33" s="241">
        <v>46648.0</v>
      </c>
      <c r="F33" s="241">
        <v>69972.0</v>
      </c>
      <c r="G33" s="20">
        <v>55978.0</v>
      </c>
      <c r="H33" s="43">
        <f t="shared" si="0"/>
        <v>684904.9952</v>
      </c>
    </row>
    <row r="34" spans="8:8">
      <c r="A34" s="15" t="s">
        <v>41</v>
      </c>
      <c r="B34" s="16" t="s">
        <v>13</v>
      </c>
      <c r="C34" s="243">
        <v>328924.3776</v>
      </c>
      <c r="D34" s="243">
        <v>183382.6176</v>
      </c>
      <c r="E34" s="241">
        <v>46648.0</v>
      </c>
      <c r="F34" s="241">
        <v>69972.0</v>
      </c>
      <c r="G34" s="20">
        <v>55978.0</v>
      </c>
      <c r="H34" s="43">
        <f t="shared" si="0"/>
        <v>684904.9952</v>
      </c>
    </row>
    <row r="35" spans="8:8" s="49" ht="15.0" customFormat="1">
      <c r="A35" s="14" t="s">
        <v>369</v>
      </c>
      <c r="B35" s="16" t="s">
        <v>13</v>
      </c>
      <c r="C35" s="243">
        <v>328924.3776</v>
      </c>
      <c r="D35" s="243">
        <v>183382.6176</v>
      </c>
      <c r="E35" s="241">
        <v>46648.0</v>
      </c>
      <c r="F35" s="241">
        <v>69972.0</v>
      </c>
      <c r="G35" s="20">
        <v>55978.0</v>
      </c>
      <c r="H35" s="43">
        <f t="shared" si="0"/>
        <v>684904.9952</v>
      </c>
    </row>
    <row r="36" spans="8:8">
      <c r="A36" s="3" t="s">
        <v>43</v>
      </c>
      <c r="B36" s="4" t="s">
        <v>13</v>
      </c>
      <c r="C36" s="243">
        <v>328924.3776</v>
      </c>
      <c r="D36" s="243">
        <v>183382.6176</v>
      </c>
      <c r="E36" s="241">
        <v>46648.0</v>
      </c>
      <c r="F36" s="241">
        <v>69972.0</v>
      </c>
      <c r="G36" s="20">
        <v>55978.0</v>
      </c>
      <c r="H36" s="43">
        <f t="shared" si="0"/>
        <v>684904.9952</v>
      </c>
    </row>
    <row r="37" spans="8:8">
      <c r="A37" s="14" t="s">
        <v>370</v>
      </c>
      <c r="B37" s="4" t="s">
        <v>13</v>
      </c>
      <c r="C37" s="243">
        <v>328924.3776</v>
      </c>
      <c r="D37" s="243">
        <v>183382.6176</v>
      </c>
      <c r="E37" s="241">
        <v>46648.0</v>
      </c>
      <c r="F37" s="241">
        <v>69972.0</v>
      </c>
      <c r="G37" s="20">
        <v>55978.0</v>
      </c>
      <c r="H37" s="43">
        <f t="shared" si="0"/>
        <v>684904.9952</v>
      </c>
    </row>
    <row r="38" spans="8:8">
      <c r="A38" s="3" t="s">
        <v>45</v>
      </c>
      <c r="B38" s="4" t="s">
        <v>13</v>
      </c>
      <c r="C38" s="243">
        <v>743718.3935999998</v>
      </c>
      <c r="D38" s="243">
        <v>436625.28</v>
      </c>
      <c r="E38" s="241">
        <v>46648.0</v>
      </c>
      <c r="F38" s="241">
        <v>69972.0</v>
      </c>
      <c r="G38" s="20">
        <v>55978.0</v>
      </c>
      <c r="H38" s="43">
        <f t="shared" si="0"/>
        <v>1352941.6735999999</v>
      </c>
    </row>
    <row r="39" spans="8:8">
      <c r="A39" s="3" t="s">
        <v>46</v>
      </c>
      <c r="B39" s="4" t="s">
        <v>13</v>
      </c>
      <c r="C39" s="243">
        <v>743718.3935999998</v>
      </c>
      <c r="D39" s="243">
        <v>436625.28</v>
      </c>
      <c r="E39" s="241">
        <v>46648.0</v>
      </c>
      <c r="F39" s="241">
        <v>69972.0</v>
      </c>
      <c r="G39" s="20">
        <v>55978.0</v>
      </c>
      <c r="H39" s="43">
        <f t="shared" si="0"/>
        <v>1352941.6735999999</v>
      </c>
    </row>
    <row r="40" spans="8:8">
      <c r="A40" s="3" t="s">
        <v>47</v>
      </c>
      <c r="B40" s="4" t="s">
        <v>13</v>
      </c>
      <c r="C40" s="243">
        <v>1046445.2544</v>
      </c>
      <c r="D40" s="243">
        <v>436625.28</v>
      </c>
      <c r="E40" s="241">
        <v>46648.0</v>
      </c>
      <c r="F40" s="241">
        <v>69972.0</v>
      </c>
      <c r="G40" s="20">
        <v>55978.0</v>
      </c>
      <c r="H40" s="43">
        <f t="shared" si="0"/>
        <v>1655668.5344</v>
      </c>
    </row>
    <row r="41" spans="8:8">
      <c r="A41" s="3" t="s">
        <v>48</v>
      </c>
      <c r="B41" s="4" t="s">
        <v>13</v>
      </c>
      <c r="C41" s="243">
        <v>328924.3776</v>
      </c>
      <c r="D41" s="243">
        <v>436625.28</v>
      </c>
      <c r="E41" s="241">
        <v>46648.0</v>
      </c>
      <c r="F41" s="241">
        <v>69972.0</v>
      </c>
      <c r="G41" s="20">
        <v>55978.0</v>
      </c>
      <c r="H41" s="43">
        <f t="shared" si="0"/>
        <v>938147.6576</v>
      </c>
    </row>
    <row r="42" spans="8:8">
      <c r="A42" s="3" t="s">
        <v>49</v>
      </c>
      <c r="B42" s="4" t="s">
        <v>13</v>
      </c>
      <c r="C42" s="243">
        <v>328924.3776</v>
      </c>
      <c r="D42" s="243">
        <v>183382.6176</v>
      </c>
      <c r="E42" s="241">
        <v>46648.0</v>
      </c>
      <c r="F42" s="241">
        <v>69972.0</v>
      </c>
      <c r="G42" s="20">
        <v>55978.0</v>
      </c>
      <c r="H42" s="43">
        <f t="shared" si="0"/>
        <v>684904.9952</v>
      </c>
    </row>
    <row r="43" spans="8:8">
      <c r="A43" s="18" t="s">
        <v>371</v>
      </c>
      <c r="B43" s="4" t="s">
        <v>13</v>
      </c>
      <c r="C43" s="243">
        <v>328924.3776</v>
      </c>
      <c r="D43" s="243">
        <v>183382.6176</v>
      </c>
      <c r="E43" s="241">
        <v>46648.0</v>
      </c>
      <c r="F43" s="241">
        <v>69972.0</v>
      </c>
      <c r="G43" s="20">
        <v>55978.0</v>
      </c>
      <c r="H43" s="43">
        <f t="shared" si="0"/>
        <v>684904.9952</v>
      </c>
    </row>
    <row r="44" spans="8:8" s="49" ht="15.0" customFormat="1">
      <c r="A44" s="3" t="s">
        <v>51</v>
      </c>
      <c r="B44" s="16" t="s">
        <v>13</v>
      </c>
      <c r="C44" s="243">
        <v>328924.3776</v>
      </c>
      <c r="D44" s="243">
        <v>183382.6176</v>
      </c>
      <c r="E44" s="241">
        <v>46648.0</v>
      </c>
      <c r="F44" s="241">
        <v>69972.0</v>
      </c>
      <c r="G44" s="20">
        <v>55978.0</v>
      </c>
      <c r="H44" s="43">
        <f t="shared" si="0"/>
        <v>684904.9952</v>
      </c>
    </row>
    <row r="45" spans="8:8">
      <c r="A45" s="3" t="s">
        <v>52</v>
      </c>
      <c r="B45" s="4" t="s">
        <v>13</v>
      </c>
      <c r="C45" s="243">
        <v>328924.3776</v>
      </c>
      <c r="D45" s="243">
        <v>183382.6176</v>
      </c>
      <c r="E45" s="241">
        <v>46648.0</v>
      </c>
      <c r="F45" s="241">
        <v>69972.0</v>
      </c>
      <c r="G45" s="20">
        <v>55978.0</v>
      </c>
      <c r="H45" s="43">
        <f t="shared" si="0"/>
        <v>684904.9952</v>
      </c>
    </row>
    <row r="46" spans="8:8">
      <c r="A46" s="14" t="s">
        <v>372</v>
      </c>
      <c r="B46" s="4" t="s">
        <v>13</v>
      </c>
      <c r="C46" s="243">
        <v>328924.3776</v>
      </c>
      <c r="D46" s="243">
        <v>183382.6176</v>
      </c>
      <c r="E46" s="241">
        <v>46648.0</v>
      </c>
      <c r="F46" s="241">
        <v>69972.0</v>
      </c>
      <c r="G46" s="20">
        <v>55978.0</v>
      </c>
      <c r="H46" s="43">
        <f t="shared" si="0"/>
        <v>684904.9952</v>
      </c>
    </row>
    <row r="47" spans="8:8">
      <c r="A47" s="3" t="s">
        <v>54</v>
      </c>
      <c r="B47" s="4" t="s">
        <v>13</v>
      </c>
      <c r="C47" s="243">
        <v>328924.3776</v>
      </c>
      <c r="D47" s="243">
        <v>183382.6176</v>
      </c>
      <c r="E47" s="241">
        <v>46648.0</v>
      </c>
      <c r="F47" s="241">
        <v>69972.0</v>
      </c>
      <c r="G47" s="20">
        <v>55978.0</v>
      </c>
      <c r="H47" s="43">
        <f t="shared" si="0"/>
        <v>684904.9952</v>
      </c>
    </row>
    <row r="48" spans="8:8">
      <c r="A48" s="15" t="s">
        <v>55</v>
      </c>
      <c r="B48" s="4" t="s">
        <v>13</v>
      </c>
      <c r="C48" s="243">
        <v>328924.3776</v>
      </c>
      <c r="D48" s="243">
        <v>183382.6176</v>
      </c>
      <c r="E48" s="241">
        <v>46648.0</v>
      </c>
      <c r="F48" s="241">
        <v>69972.0</v>
      </c>
      <c r="G48" s="20">
        <v>55978.0</v>
      </c>
      <c r="H48" s="43">
        <f t="shared" si="0"/>
        <v>684904.9952</v>
      </c>
    </row>
    <row r="49" spans="8:8" s="49" ht="15.0" customFormat="1">
      <c r="A49" s="3" t="s">
        <v>56</v>
      </c>
      <c r="B49" s="16" t="s">
        <v>13</v>
      </c>
      <c r="C49" s="243">
        <v>65493.792</v>
      </c>
      <c r="D49" s="243">
        <v>480287.80799999996</v>
      </c>
      <c r="E49" s="241">
        <v>46648.0</v>
      </c>
      <c r="F49" s="241">
        <v>69972.0</v>
      </c>
      <c r="G49" s="20">
        <v>55978.0</v>
      </c>
      <c r="H49" s="241">
        <f t="shared" si="0"/>
        <v>718379.6</v>
      </c>
    </row>
    <row r="50" spans="8:8">
      <c r="A50" s="3" t="s">
        <v>57</v>
      </c>
      <c r="B50" s="4" t="s">
        <v>60</v>
      </c>
      <c r="C50" s="243">
        <v>0.01</v>
      </c>
      <c r="D50" s="243">
        <v>523950.336</v>
      </c>
      <c r="E50" s="241">
        <v>46648.0</v>
      </c>
      <c r="F50" s="241">
        <v>69972.0</v>
      </c>
      <c r="G50" s="180" t="s">
        <v>292</v>
      </c>
      <c r="H50" s="43">
        <f t="shared" si="1" ref="H50:H113">SUM(C50:F50)</f>
        <v>640570.346</v>
      </c>
    </row>
    <row r="51" spans="8:8">
      <c r="A51" s="3" t="s">
        <v>58</v>
      </c>
      <c r="B51" s="4" t="s">
        <v>60</v>
      </c>
      <c r="C51" s="243">
        <v>0.01</v>
      </c>
      <c r="D51" s="243">
        <v>523950.336</v>
      </c>
      <c r="E51" s="241">
        <v>46648.0</v>
      </c>
      <c r="F51" s="241">
        <v>69972.0</v>
      </c>
      <c r="G51" s="180" t="s">
        <v>292</v>
      </c>
      <c r="H51" s="43">
        <f t="shared" si="1"/>
        <v>640570.346</v>
      </c>
    </row>
    <row r="52" spans="8:8">
      <c r="A52" s="3" t="s">
        <v>59</v>
      </c>
      <c r="B52" s="4" t="s">
        <v>60</v>
      </c>
      <c r="C52" s="243">
        <v>0.01</v>
      </c>
      <c r="D52" s="243">
        <v>523950.336</v>
      </c>
      <c r="E52" s="241">
        <v>46648.0</v>
      </c>
      <c r="F52" s="241">
        <v>69972.0</v>
      </c>
      <c r="G52" s="180" t="s">
        <v>292</v>
      </c>
      <c r="H52" s="43">
        <f t="shared" si="1"/>
        <v>640570.346</v>
      </c>
    </row>
    <row r="53" spans="8:8">
      <c r="A53" s="3" t="s">
        <v>61</v>
      </c>
      <c r="B53" s="4" t="s">
        <v>60</v>
      </c>
      <c r="C53" s="243">
        <v>109156.32</v>
      </c>
      <c r="D53" s="243">
        <v>916913.088</v>
      </c>
      <c r="E53" s="241">
        <v>46648.0</v>
      </c>
      <c r="F53" s="241">
        <v>69972.0</v>
      </c>
      <c r="G53" s="180" t="s">
        <v>292</v>
      </c>
      <c r="H53" s="43">
        <f t="shared" si="1"/>
        <v>1142689.408</v>
      </c>
    </row>
    <row r="54" spans="8:8">
      <c r="A54" s="3" t="s">
        <v>62</v>
      </c>
      <c r="B54" s="4" t="s">
        <v>60</v>
      </c>
      <c r="C54" s="243">
        <v>0.01</v>
      </c>
      <c r="D54" s="243">
        <v>523950.336</v>
      </c>
      <c r="E54" s="241">
        <v>46648.0</v>
      </c>
      <c r="F54" s="241">
        <v>69972.0</v>
      </c>
      <c r="G54" s="180" t="s">
        <v>292</v>
      </c>
      <c r="H54" s="43">
        <f t="shared" si="1"/>
        <v>640570.346</v>
      </c>
    </row>
    <row r="55" spans="8:8">
      <c r="A55" s="3" t="s">
        <v>63</v>
      </c>
      <c r="B55" s="4" t="s">
        <v>60</v>
      </c>
      <c r="C55" s="243">
        <v>0.01</v>
      </c>
      <c r="D55" s="243">
        <v>523950.336</v>
      </c>
      <c r="E55" s="241">
        <v>46648.0</v>
      </c>
      <c r="F55" s="241">
        <v>69972.0</v>
      </c>
      <c r="G55" s="180" t="s">
        <v>292</v>
      </c>
      <c r="H55" s="43">
        <f t="shared" si="1"/>
        <v>640570.346</v>
      </c>
    </row>
    <row r="56" spans="8:8">
      <c r="A56" s="3" t="s">
        <v>64</v>
      </c>
      <c r="B56" s="4" t="s">
        <v>65</v>
      </c>
      <c r="C56" s="243">
        <v>0.01</v>
      </c>
      <c r="D56" s="243">
        <v>385685.664</v>
      </c>
      <c r="E56" s="241">
        <v>46648.0</v>
      </c>
      <c r="F56" s="241">
        <v>69972.0</v>
      </c>
      <c r="G56" s="180" t="s">
        <v>292</v>
      </c>
      <c r="H56" s="43">
        <f t="shared" si="1"/>
        <v>502305.674</v>
      </c>
    </row>
    <row r="57" spans="8:8">
      <c r="A57" s="3" t="s">
        <v>66</v>
      </c>
      <c r="B57" s="4" t="s">
        <v>65</v>
      </c>
      <c r="C57" s="243">
        <v>0.01</v>
      </c>
      <c r="D57" s="243">
        <v>410427.76320000004</v>
      </c>
      <c r="E57" s="241">
        <v>46648.0</v>
      </c>
      <c r="F57" s="241">
        <v>69972.0</v>
      </c>
      <c r="G57" s="180" t="s">
        <v>292</v>
      </c>
      <c r="H57" s="43">
        <f t="shared" si="1"/>
        <v>527047.7732</v>
      </c>
    </row>
    <row r="58" spans="8:8">
      <c r="A58" s="3" t="s">
        <v>67</v>
      </c>
      <c r="B58" s="4" t="s">
        <v>65</v>
      </c>
      <c r="C58" s="243">
        <v>0.01</v>
      </c>
      <c r="D58" s="243">
        <v>385685.664</v>
      </c>
      <c r="E58" s="241">
        <v>46648.0</v>
      </c>
      <c r="F58" s="241">
        <v>69972.0</v>
      </c>
      <c r="G58" s="180" t="s">
        <v>292</v>
      </c>
      <c r="H58" s="43">
        <f t="shared" si="1"/>
        <v>502305.674</v>
      </c>
    </row>
    <row r="59" spans="8:8">
      <c r="A59" s="3" t="s">
        <v>68</v>
      </c>
      <c r="B59" s="4" t="s">
        <v>65</v>
      </c>
      <c r="C59" s="243">
        <v>0.01</v>
      </c>
      <c r="D59" s="243">
        <v>410427.76320000004</v>
      </c>
      <c r="E59" s="241">
        <v>46648.0</v>
      </c>
      <c r="F59" s="241">
        <v>69972.0</v>
      </c>
      <c r="G59" s="180" t="s">
        <v>292</v>
      </c>
      <c r="H59" s="43">
        <f t="shared" si="1"/>
        <v>527047.7732</v>
      </c>
    </row>
    <row r="60" spans="8:8">
      <c r="A60" s="3" t="s">
        <v>69</v>
      </c>
      <c r="B60" s="4" t="s">
        <v>65</v>
      </c>
      <c r="C60" s="243">
        <v>0.01</v>
      </c>
      <c r="D60" s="243">
        <v>500663.6544</v>
      </c>
      <c r="E60" s="241">
        <v>46648.0</v>
      </c>
      <c r="F60" s="241">
        <v>69972.0</v>
      </c>
      <c r="G60" s="180" t="s">
        <v>292</v>
      </c>
      <c r="H60" s="43">
        <f t="shared" si="1"/>
        <v>617283.6644</v>
      </c>
    </row>
    <row r="61" spans="8:8">
      <c r="A61" s="3" t="s">
        <v>70</v>
      </c>
      <c r="B61" s="4" t="s">
        <v>65</v>
      </c>
      <c r="C61" s="243">
        <v>0.01</v>
      </c>
      <c r="D61" s="243">
        <v>385685.664</v>
      </c>
      <c r="E61" s="241">
        <v>46648.0</v>
      </c>
      <c r="F61" s="241">
        <v>69972.0</v>
      </c>
      <c r="G61" s="180" t="s">
        <v>292</v>
      </c>
      <c r="H61" s="43">
        <f t="shared" si="1"/>
        <v>502305.674</v>
      </c>
    </row>
    <row r="62" spans="8:8">
      <c r="A62" s="15" t="s">
        <v>71</v>
      </c>
      <c r="B62" s="16" t="s">
        <v>65</v>
      </c>
      <c r="C62" s="243">
        <v>0.01</v>
      </c>
      <c r="D62" s="243">
        <v>454090.2912000001</v>
      </c>
      <c r="E62" s="241">
        <v>46648.0</v>
      </c>
      <c r="F62" s="241">
        <v>69972.0</v>
      </c>
      <c r="G62" s="180" t="s">
        <v>292</v>
      </c>
      <c r="H62" s="43">
        <f t="shared" si="1"/>
        <v>570710.3012000001</v>
      </c>
    </row>
    <row r="63" spans="8:8">
      <c r="A63" s="15" t="s">
        <v>72</v>
      </c>
      <c r="B63" s="16" t="s">
        <v>65</v>
      </c>
      <c r="C63" s="243">
        <v>0.01</v>
      </c>
      <c r="D63" s="243">
        <v>410427.76320000004</v>
      </c>
      <c r="E63" s="241">
        <v>46648.0</v>
      </c>
      <c r="F63" s="241">
        <v>69972.0</v>
      </c>
      <c r="G63" s="180" t="s">
        <v>292</v>
      </c>
      <c r="H63" s="43">
        <f t="shared" si="1"/>
        <v>527047.7732</v>
      </c>
    </row>
    <row r="64" spans="8:8">
      <c r="A64" s="3" t="s">
        <v>73</v>
      </c>
      <c r="B64" s="4" t="s">
        <v>65</v>
      </c>
      <c r="C64" s="243">
        <v>0.01</v>
      </c>
      <c r="D64" s="243">
        <v>385685.664</v>
      </c>
      <c r="E64" s="241">
        <v>46648.0</v>
      </c>
      <c r="F64" s="241">
        <v>69972.0</v>
      </c>
      <c r="G64" s="180" t="s">
        <v>292</v>
      </c>
      <c r="H64" s="43">
        <f t="shared" si="1"/>
        <v>502305.674</v>
      </c>
    </row>
    <row r="65" spans="8:8">
      <c r="A65" s="3" t="s">
        <v>74</v>
      </c>
      <c r="B65" s="4" t="s">
        <v>65</v>
      </c>
      <c r="C65" s="243">
        <v>0.01</v>
      </c>
      <c r="D65" s="243">
        <v>410427.76320000004</v>
      </c>
      <c r="E65" s="241">
        <v>46648.0</v>
      </c>
      <c r="F65" s="241">
        <v>69972.0</v>
      </c>
      <c r="G65" s="180" t="s">
        <v>292</v>
      </c>
      <c r="H65" s="43">
        <f t="shared" si="1"/>
        <v>527047.7732</v>
      </c>
    </row>
    <row r="66" spans="8:8">
      <c r="A66" s="3" t="s">
        <v>75</v>
      </c>
      <c r="B66" s="4" t="s">
        <v>65</v>
      </c>
      <c r="C66" s="243">
        <v>0.01</v>
      </c>
      <c r="D66" s="243">
        <v>633106.6560000001</v>
      </c>
      <c r="E66" s="241">
        <v>46648.0</v>
      </c>
      <c r="F66" s="241">
        <v>69972.0</v>
      </c>
      <c r="G66" s="180" t="s">
        <v>292</v>
      </c>
      <c r="H66" s="43">
        <f t="shared" si="1"/>
        <v>749726.6660000001</v>
      </c>
    </row>
    <row r="67" spans="8:8">
      <c r="A67" s="3" t="s">
        <v>76</v>
      </c>
      <c r="B67" s="4" t="s">
        <v>65</v>
      </c>
      <c r="C67" s="243">
        <v>0.01</v>
      </c>
      <c r="D67" s="243">
        <v>385685.664</v>
      </c>
      <c r="E67" s="241">
        <v>46648.0</v>
      </c>
      <c r="F67" s="241">
        <v>69972.0</v>
      </c>
      <c r="G67" s="180" t="s">
        <v>292</v>
      </c>
      <c r="H67" s="43">
        <f t="shared" si="1"/>
        <v>502305.674</v>
      </c>
    </row>
    <row r="68" spans="8:8">
      <c r="A68" s="3" t="s">
        <v>77</v>
      </c>
      <c r="B68" s="4" t="s">
        <v>65</v>
      </c>
      <c r="C68" s="243">
        <v>0.01</v>
      </c>
      <c r="D68" s="243">
        <v>410427.76320000004</v>
      </c>
      <c r="E68" s="241">
        <v>46648.0</v>
      </c>
      <c r="F68" s="241">
        <v>69972.0</v>
      </c>
      <c r="G68" s="180" t="s">
        <v>292</v>
      </c>
      <c r="H68" s="43">
        <f t="shared" si="1"/>
        <v>527047.7732</v>
      </c>
    </row>
    <row r="69" spans="8:8">
      <c r="A69" s="3" t="s">
        <v>78</v>
      </c>
      <c r="B69" s="4" t="s">
        <v>65</v>
      </c>
      <c r="C69" s="243">
        <v>0.01</v>
      </c>
      <c r="D69" s="243">
        <v>454090.2912000001</v>
      </c>
      <c r="E69" s="241">
        <v>46648.0</v>
      </c>
      <c r="F69" s="241">
        <v>69972.0</v>
      </c>
      <c r="G69" s="180" t="s">
        <v>292</v>
      </c>
      <c r="H69" s="43">
        <f t="shared" si="1"/>
        <v>570710.3012000001</v>
      </c>
    </row>
    <row r="70" spans="8:8">
      <c r="A70" s="3" t="s">
        <v>79</v>
      </c>
      <c r="B70" s="4" t="s">
        <v>65</v>
      </c>
      <c r="C70" s="243">
        <v>0.01</v>
      </c>
      <c r="D70" s="243">
        <v>500663.6544</v>
      </c>
      <c r="E70" s="241">
        <v>46648.0</v>
      </c>
      <c r="F70" s="241">
        <v>69972.0</v>
      </c>
      <c r="G70" s="180" t="s">
        <v>292</v>
      </c>
      <c r="H70" s="43">
        <f t="shared" si="1"/>
        <v>617283.6644</v>
      </c>
    </row>
    <row r="71" spans="8:8">
      <c r="A71" s="3" t="s">
        <v>80</v>
      </c>
      <c r="B71" s="4" t="s">
        <v>65</v>
      </c>
      <c r="C71" s="243">
        <v>0.01</v>
      </c>
      <c r="D71" s="243">
        <v>385685.664</v>
      </c>
      <c r="E71" s="241">
        <v>46648.0</v>
      </c>
      <c r="F71" s="241">
        <v>69972.0</v>
      </c>
      <c r="G71" s="180" t="s">
        <v>292</v>
      </c>
      <c r="H71" s="43">
        <f t="shared" si="1"/>
        <v>502305.674</v>
      </c>
    </row>
    <row r="72" spans="8:8">
      <c r="A72" s="3" t="s">
        <v>81</v>
      </c>
      <c r="B72" s="4" t="s">
        <v>65</v>
      </c>
      <c r="C72" s="243">
        <v>0.01</v>
      </c>
      <c r="D72" s="243">
        <v>410427.76320000004</v>
      </c>
      <c r="E72" s="241">
        <v>46648.0</v>
      </c>
      <c r="F72" s="241">
        <v>69972.0</v>
      </c>
      <c r="G72" s="180" t="s">
        <v>292</v>
      </c>
      <c r="H72" s="43">
        <f t="shared" si="1"/>
        <v>527047.7732</v>
      </c>
    </row>
    <row r="73" spans="8:8">
      <c r="A73" s="3" t="s">
        <v>82</v>
      </c>
      <c r="B73" s="4" t="s">
        <v>65</v>
      </c>
      <c r="C73" s="243">
        <v>0.01</v>
      </c>
      <c r="D73" s="243">
        <v>771371.328</v>
      </c>
      <c r="E73" s="241">
        <v>46648.0</v>
      </c>
      <c r="F73" s="241">
        <v>69972.0</v>
      </c>
      <c r="G73" s="180" t="s">
        <v>292</v>
      </c>
      <c r="H73" s="43">
        <f t="shared" si="1"/>
        <v>887991.338</v>
      </c>
    </row>
    <row r="74" spans="8:8">
      <c r="A74" s="3" t="s">
        <v>83</v>
      </c>
      <c r="B74" s="4" t="s">
        <v>65</v>
      </c>
      <c r="C74" s="243">
        <v>0.01</v>
      </c>
      <c r="D74" s="243">
        <v>820855.5264000001</v>
      </c>
      <c r="E74" s="241">
        <v>46648.0</v>
      </c>
      <c r="F74" s="241">
        <v>69972.0</v>
      </c>
      <c r="G74" s="180" t="s">
        <v>292</v>
      </c>
      <c r="H74" s="43">
        <f t="shared" si="1"/>
        <v>937475.5364000001</v>
      </c>
    </row>
    <row r="75" spans="8:8">
      <c r="A75" s="3" t="s">
        <v>84</v>
      </c>
      <c r="B75" s="4" t="s">
        <v>65</v>
      </c>
      <c r="C75" s="243">
        <v>0.01</v>
      </c>
      <c r="D75" s="243">
        <v>410427.76320000004</v>
      </c>
      <c r="E75" s="241">
        <v>46648.0</v>
      </c>
      <c r="F75" s="241">
        <v>69972.0</v>
      </c>
      <c r="G75" s="180" t="s">
        <v>292</v>
      </c>
      <c r="H75" s="43">
        <f t="shared" si="1"/>
        <v>527047.7732</v>
      </c>
    </row>
    <row r="76" spans="8:8">
      <c r="A76" s="3" t="s">
        <v>85</v>
      </c>
      <c r="B76" s="4" t="s">
        <v>65</v>
      </c>
      <c r="C76" s="243">
        <v>0.01</v>
      </c>
      <c r="D76" s="243">
        <v>820855.5264000001</v>
      </c>
      <c r="E76" s="241">
        <v>46648.0</v>
      </c>
      <c r="F76" s="241">
        <v>69972.0</v>
      </c>
      <c r="G76" s="180" t="s">
        <v>292</v>
      </c>
      <c r="H76" s="43">
        <f t="shared" si="1"/>
        <v>937475.5364000001</v>
      </c>
    </row>
    <row r="77" spans="8:8">
      <c r="A77" s="15" t="s">
        <v>86</v>
      </c>
      <c r="B77" s="16" t="s">
        <v>65</v>
      </c>
      <c r="C77" s="243">
        <v>0.01</v>
      </c>
      <c r="D77" s="243">
        <v>410427.76320000004</v>
      </c>
      <c r="E77" s="241">
        <v>46648.0</v>
      </c>
      <c r="F77" s="241">
        <v>69972.0</v>
      </c>
      <c r="G77" s="180" t="s">
        <v>292</v>
      </c>
      <c r="H77" s="43">
        <f t="shared" si="1"/>
        <v>527047.7732</v>
      </c>
    </row>
    <row r="78" spans="8:8" s="49" ht="15.0" customFormat="1">
      <c r="A78" s="15" t="s">
        <v>87</v>
      </c>
      <c r="B78" s="16" t="s">
        <v>65</v>
      </c>
      <c r="C78" s="243">
        <v>0.01</v>
      </c>
      <c r="D78" s="243">
        <v>454090.2912000001</v>
      </c>
      <c r="E78" s="241">
        <v>46648.0</v>
      </c>
      <c r="F78" s="241">
        <v>69972.0</v>
      </c>
      <c r="G78" s="180" t="s">
        <v>292</v>
      </c>
      <c r="H78" s="241">
        <f t="shared" si="1"/>
        <v>570710.3012000001</v>
      </c>
    </row>
    <row r="79" spans="8:8">
      <c r="A79" s="15" t="s">
        <v>88</v>
      </c>
      <c r="B79" s="16" t="s">
        <v>65</v>
      </c>
      <c r="C79" s="243">
        <v>0.01</v>
      </c>
      <c r="D79" s="243">
        <v>500663.6544</v>
      </c>
      <c r="E79" s="241">
        <v>46648.0</v>
      </c>
      <c r="F79" s="241">
        <v>69972.0</v>
      </c>
      <c r="G79" s="180" t="s">
        <v>292</v>
      </c>
      <c r="H79" s="43">
        <f t="shared" si="1"/>
        <v>617283.6644</v>
      </c>
    </row>
    <row r="80" spans="8:8">
      <c r="A80" s="15" t="s">
        <v>89</v>
      </c>
      <c r="B80" s="16" t="s">
        <v>65</v>
      </c>
      <c r="C80" s="243">
        <v>0.01</v>
      </c>
      <c r="D80" s="243">
        <v>567612.864</v>
      </c>
      <c r="E80" s="241">
        <v>46648.0</v>
      </c>
      <c r="F80" s="241">
        <v>69972.0</v>
      </c>
      <c r="G80" s="180" t="s">
        <v>292</v>
      </c>
      <c r="H80" s="43">
        <f t="shared" si="1"/>
        <v>684232.874</v>
      </c>
    </row>
    <row r="81" spans="8:8">
      <c r="A81" s="15" t="s">
        <v>90</v>
      </c>
      <c r="B81" s="16" t="s">
        <v>65</v>
      </c>
      <c r="C81" s="243">
        <v>0.01</v>
      </c>
      <c r="D81" s="243">
        <v>609819.9744</v>
      </c>
      <c r="E81" s="241">
        <v>46648.0</v>
      </c>
      <c r="F81" s="241">
        <v>69972.0</v>
      </c>
      <c r="G81" s="180" t="s">
        <v>292</v>
      </c>
      <c r="H81" s="43">
        <f t="shared" si="1"/>
        <v>726439.9844</v>
      </c>
    </row>
    <row r="82" spans="8:8">
      <c r="A82" s="15" t="s">
        <v>91</v>
      </c>
      <c r="B82" s="16" t="s">
        <v>65</v>
      </c>
      <c r="C82" s="243">
        <v>0.01</v>
      </c>
      <c r="D82" s="243">
        <v>646205.4143999999</v>
      </c>
      <c r="E82" s="241">
        <v>46648.0</v>
      </c>
      <c r="F82" s="241">
        <v>69972.0</v>
      </c>
      <c r="G82" s="180" t="s">
        <v>292</v>
      </c>
      <c r="H82" s="43">
        <f t="shared" si="1"/>
        <v>762825.4243999999</v>
      </c>
    </row>
    <row r="83" spans="8:8">
      <c r="A83" s="15" t="s">
        <v>92</v>
      </c>
      <c r="B83" s="16" t="s">
        <v>65</v>
      </c>
      <c r="C83" s="243">
        <v>0.01</v>
      </c>
      <c r="D83" s="243">
        <v>385685.664</v>
      </c>
      <c r="E83" s="241">
        <v>46648.0</v>
      </c>
      <c r="F83" s="241">
        <v>69972.0</v>
      </c>
      <c r="G83" s="180" t="s">
        <v>292</v>
      </c>
      <c r="H83" s="43">
        <f t="shared" si="1"/>
        <v>502305.674</v>
      </c>
    </row>
    <row r="84" spans="8:8">
      <c r="A84" s="15" t="s">
        <v>93</v>
      </c>
      <c r="B84" s="16" t="s">
        <v>65</v>
      </c>
      <c r="C84" s="243">
        <v>0.01</v>
      </c>
      <c r="D84" s="243">
        <v>410427.76320000004</v>
      </c>
      <c r="E84" s="241">
        <v>46648.0</v>
      </c>
      <c r="F84" s="241">
        <v>69972.0</v>
      </c>
      <c r="G84" s="180" t="s">
        <v>292</v>
      </c>
      <c r="H84" s="43">
        <f t="shared" si="1"/>
        <v>527047.7732</v>
      </c>
    </row>
    <row r="85" spans="8:8">
      <c r="A85" s="15" t="s">
        <v>94</v>
      </c>
      <c r="B85" s="16" t="s">
        <v>65</v>
      </c>
      <c r="C85" s="243">
        <v>0.01</v>
      </c>
      <c r="D85" s="243">
        <v>500663.6544</v>
      </c>
      <c r="E85" s="241">
        <v>46648.0</v>
      </c>
      <c r="F85" s="241">
        <v>69972.0</v>
      </c>
      <c r="G85" s="180" t="s">
        <v>292</v>
      </c>
      <c r="H85" s="43">
        <f t="shared" si="1"/>
        <v>617283.6644</v>
      </c>
    </row>
    <row r="86" spans="8:8">
      <c r="A86" s="15" t="s">
        <v>95</v>
      </c>
      <c r="B86" s="16" t="s">
        <v>65</v>
      </c>
      <c r="C86" s="243">
        <v>0.01</v>
      </c>
      <c r="D86" s="243">
        <v>410427.76320000004</v>
      </c>
      <c r="E86" s="241">
        <v>46648.0</v>
      </c>
      <c r="F86" s="241">
        <v>69972.0</v>
      </c>
      <c r="G86" s="180" t="s">
        <v>292</v>
      </c>
      <c r="H86" s="43">
        <f t="shared" si="1"/>
        <v>527047.7732</v>
      </c>
    </row>
    <row r="87" spans="8:8">
      <c r="A87" s="15" t="s">
        <v>96</v>
      </c>
      <c r="B87" s="16" t="s">
        <v>65</v>
      </c>
      <c r="C87" s="243">
        <v>0.01</v>
      </c>
      <c r="D87" s="243">
        <v>500663.6544</v>
      </c>
      <c r="E87" s="241">
        <v>46648.0</v>
      </c>
      <c r="F87" s="241">
        <v>69972.0</v>
      </c>
      <c r="G87" s="180" t="s">
        <v>292</v>
      </c>
      <c r="H87" s="43">
        <f t="shared" si="1"/>
        <v>617283.6644</v>
      </c>
    </row>
    <row r="88" spans="8:8">
      <c r="A88" s="15" t="s">
        <v>97</v>
      </c>
      <c r="B88" s="16" t="s">
        <v>65</v>
      </c>
      <c r="C88" s="243">
        <v>0.01</v>
      </c>
      <c r="D88" s="243">
        <v>385685.664</v>
      </c>
      <c r="E88" s="241">
        <v>46648.0</v>
      </c>
      <c r="F88" s="241">
        <v>69972.0</v>
      </c>
      <c r="G88" s="180" t="s">
        <v>292</v>
      </c>
      <c r="H88" s="43">
        <f t="shared" si="1"/>
        <v>502305.674</v>
      </c>
    </row>
    <row r="89" spans="8:8">
      <c r="A89" s="15" t="s">
        <v>98</v>
      </c>
      <c r="B89" s="16" t="s">
        <v>65</v>
      </c>
      <c r="C89" s="243">
        <v>0.01</v>
      </c>
      <c r="D89" s="243">
        <v>410427.76320000004</v>
      </c>
      <c r="E89" s="241">
        <v>46648.0</v>
      </c>
      <c r="F89" s="241">
        <v>69972.0</v>
      </c>
      <c r="G89" s="180" t="s">
        <v>292</v>
      </c>
      <c r="H89" s="43">
        <f t="shared" si="1"/>
        <v>527047.7732</v>
      </c>
    </row>
    <row r="90" spans="8:8" s="49" ht="15.0" customFormat="1">
      <c r="A90" s="15" t="s">
        <v>99</v>
      </c>
      <c r="B90" s="16" t="s">
        <v>65</v>
      </c>
      <c r="C90" s="243">
        <v>0.01</v>
      </c>
      <c r="D90" s="243">
        <v>500663.6544</v>
      </c>
      <c r="E90" s="241">
        <v>46648.0</v>
      </c>
      <c r="F90" s="241">
        <v>69972.0</v>
      </c>
      <c r="G90" s="180" t="s">
        <v>292</v>
      </c>
      <c r="H90" s="241">
        <f t="shared" si="1"/>
        <v>617283.6644</v>
      </c>
    </row>
    <row r="91" spans="8:8">
      <c r="A91" s="15" t="s">
        <v>100</v>
      </c>
      <c r="B91" s="16" t="s">
        <v>65</v>
      </c>
      <c r="C91" s="243">
        <v>0.01</v>
      </c>
      <c r="D91" s="243">
        <v>609819.9744</v>
      </c>
      <c r="E91" s="241">
        <v>46648.0</v>
      </c>
      <c r="F91" s="241">
        <v>69972.0</v>
      </c>
      <c r="G91" s="180" t="s">
        <v>292</v>
      </c>
      <c r="H91" s="43">
        <f t="shared" si="1"/>
        <v>726439.9844</v>
      </c>
    </row>
    <row r="92" spans="8:8">
      <c r="A92" s="15" t="s">
        <v>101</v>
      </c>
      <c r="B92" s="16" t="s">
        <v>65</v>
      </c>
      <c r="C92" s="243">
        <v>0.01</v>
      </c>
      <c r="D92" s="243">
        <v>646205.4143999999</v>
      </c>
      <c r="E92" s="241">
        <v>46648.0</v>
      </c>
      <c r="F92" s="241">
        <v>69972.0</v>
      </c>
      <c r="G92" s="180" t="s">
        <v>292</v>
      </c>
      <c r="H92" s="43">
        <f t="shared" si="1"/>
        <v>762825.4243999999</v>
      </c>
    </row>
    <row r="93" spans="8:8">
      <c r="A93" s="15" t="s">
        <v>102</v>
      </c>
      <c r="B93" s="16" t="s">
        <v>65</v>
      </c>
      <c r="C93" s="243">
        <v>0.01</v>
      </c>
      <c r="D93" s="243">
        <v>406061.5104</v>
      </c>
      <c r="E93" s="241">
        <v>46648.0</v>
      </c>
      <c r="F93" s="241">
        <v>69972.0</v>
      </c>
      <c r="G93" s="180" t="s">
        <v>292</v>
      </c>
      <c r="H93" s="43">
        <f t="shared" si="1"/>
        <v>522681.52040000004</v>
      </c>
    </row>
    <row r="94" spans="8:8">
      <c r="A94" s="15" t="s">
        <v>103</v>
      </c>
      <c r="B94" s="16" t="s">
        <v>65</v>
      </c>
      <c r="C94" s="243">
        <v>0.01</v>
      </c>
      <c r="D94" s="243">
        <v>385685.664</v>
      </c>
      <c r="E94" s="241">
        <v>46648.0</v>
      </c>
      <c r="F94" s="241">
        <v>69972.0</v>
      </c>
      <c r="G94" s="180" t="s">
        <v>292</v>
      </c>
      <c r="H94" s="43">
        <f t="shared" si="1"/>
        <v>502305.674</v>
      </c>
    </row>
    <row r="95" spans="8:8">
      <c r="A95" s="15" t="s">
        <v>104</v>
      </c>
      <c r="B95" s="16" t="s">
        <v>65</v>
      </c>
      <c r="C95" s="243">
        <v>0.01</v>
      </c>
      <c r="D95" s="243">
        <v>410427.76320000004</v>
      </c>
      <c r="E95" s="241">
        <v>46648.0</v>
      </c>
      <c r="F95" s="241">
        <v>69972.0</v>
      </c>
      <c r="G95" s="180" t="s">
        <v>292</v>
      </c>
      <c r="H95" s="43">
        <f t="shared" si="1"/>
        <v>527047.7732</v>
      </c>
    </row>
    <row r="96" spans="8:8" s="49" ht="15.0" customFormat="1">
      <c r="A96" s="3" t="s">
        <v>105</v>
      </c>
      <c r="B96" s="4" t="s">
        <v>65</v>
      </c>
      <c r="C96" s="243">
        <v>0.01</v>
      </c>
      <c r="D96" s="243">
        <v>454090.2912000001</v>
      </c>
      <c r="E96" s="241">
        <v>46648.0</v>
      </c>
      <c r="F96" s="241">
        <v>69972.0</v>
      </c>
      <c r="G96" s="180" t="s">
        <v>292</v>
      </c>
      <c r="H96" s="241">
        <f t="shared" si="1"/>
        <v>570710.3012000001</v>
      </c>
    </row>
    <row r="97" spans="8:8">
      <c r="A97" s="3" t="s">
        <v>108</v>
      </c>
      <c r="B97" s="4" t="s">
        <v>65</v>
      </c>
      <c r="C97" s="243">
        <v>0.01</v>
      </c>
      <c r="D97" s="243">
        <v>410427.76320000004</v>
      </c>
      <c r="E97" s="241">
        <v>46648.0</v>
      </c>
      <c r="F97" s="241">
        <v>69972.0</v>
      </c>
      <c r="G97" s="180" t="s">
        <v>292</v>
      </c>
      <c r="H97" s="43">
        <f t="shared" si="1"/>
        <v>527047.7732</v>
      </c>
    </row>
    <row r="98" spans="8:8">
      <c r="A98" s="3" t="s">
        <v>109</v>
      </c>
      <c r="B98" s="4" t="s">
        <v>65</v>
      </c>
      <c r="C98" s="243">
        <v>0.01</v>
      </c>
      <c r="D98" s="243">
        <v>454090.2912000001</v>
      </c>
      <c r="E98" s="241">
        <v>46648.0</v>
      </c>
      <c r="F98" s="241">
        <v>69972.0</v>
      </c>
      <c r="G98" s="180" t="s">
        <v>292</v>
      </c>
      <c r="H98" s="43">
        <f t="shared" si="1"/>
        <v>570710.3012000001</v>
      </c>
    </row>
    <row r="99" spans="8:8">
      <c r="A99" s="3" t="s">
        <v>110</v>
      </c>
      <c r="B99" s="4" t="s">
        <v>65</v>
      </c>
      <c r="C99" s="243">
        <v>218312.64</v>
      </c>
      <c r="D99" s="243">
        <v>376953.15839999996</v>
      </c>
      <c r="E99" s="241">
        <v>46648.0</v>
      </c>
      <c r="F99" s="241">
        <v>69972.0</v>
      </c>
      <c r="G99" s="180" t="s">
        <v>292</v>
      </c>
      <c r="H99" s="43">
        <f t="shared" si="1"/>
        <v>711885.7984</v>
      </c>
    </row>
    <row r="100" spans="8:8">
      <c r="A100" s="3" t="s">
        <v>111</v>
      </c>
      <c r="B100" s="4" t="s">
        <v>65</v>
      </c>
      <c r="C100" s="243">
        <v>0.01</v>
      </c>
      <c r="D100" s="243">
        <v>385685.664</v>
      </c>
      <c r="E100" s="241">
        <v>46648.0</v>
      </c>
      <c r="F100" s="241">
        <v>69972.0</v>
      </c>
      <c r="G100" s="180" t="s">
        <v>292</v>
      </c>
      <c r="H100" s="43">
        <f t="shared" si="1"/>
        <v>502305.674</v>
      </c>
    </row>
    <row r="101" spans="8:8">
      <c r="A101" s="3" t="s">
        <v>112</v>
      </c>
      <c r="B101" s="4" t="s">
        <v>65</v>
      </c>
      <c r="C101" s="243">
        <v>0.01</v>
      </c>
      <c r="D101" s="243">
        <v>410427.76320000004</v>
      </c>
      <c r="E101" s="241">
        <v>46648.0</v>
      </c>
      <c r="F101" s="241">
        <v>69972.0</v>
      </c>
      <c r="G101" s="180" t="s">
        <v>292</v>
      </c>
      <c r="H101" s="43">
        <f t="shared" si="1"/>
        <v>527047.7732</v>
      </c>
    </row>
    <row r="102" spans="8:8">
      <c r="A102" s="3" t="s">
        <v>113</v>
      </c>
      <c r="B102" s="4" t="s">
        <v>65</v>
      </c>
      <c r="C102" s="243">
        <v>0.01</v>
      </c>
      <c r="D102" s="243">
        <v>454090.2912000001</v>
      </c>
      <c r="E102" s="241">
        <v>46648.0</v>
      </c>
      <c r="F102" s="241">
        <v>69972.0</v>
      </c>
      <c r="G102" s="180" t="s">
        <v>292</v>
      </c>
      <c r="H102" s="43">
        <f t="shared" si="1"/>
        <v>570710.3012000001</v>
      </c>
    </row>
    <row r="103" spans="8:8">
      <c r="A103" s="3" t="s">
        <v>114</v>
      </c>
      <c r="B103" s="4" t="s">
        <v>65</v>
      </c>
      <c r="C103" s="243">
        <v>0.01</v>
      </c>
      <c r="D103" s="243">
        <v>385685.664</v>
      </c>
      <c r="E103" s="241">
        <v>46648.0</v>
      </c>
      <c r="F103" s="241">
        <v>69972.0</v>
      </c>
      <c r="G103" s="180" t="s">
        <v>292</v>
      </c>
      <c r="H103" s="43">
        <f t="shared" si="1"/>
        <v>502305.674</v>
      </c>
    </row>
    <row r="104" spans="8:8">
      <c r="A104" s="3" t="s">
        <v>115</v>
      </c>
      <c r="B104" s="4" t="s">
        <v>65</v>
      </c>
      <c r="C104" s="243">
        <v>0.01</v>
      </c>
      <c r="D104" s="243">
        <v>410427.76320000004</v>
      </c>
      <c r="E104" s="241">
        <v>46648.0</v>
      </c>
      <c r="F104" s="241">
        <v>69972.0</v>
      </c>
      <c r="G104" s="180" t="s">
        <v>292</v>
      </c>
      <c r="H104" s="43">
        <f t="shared" si="1"/>
        <v>527047.7732</v>
      </c>
    </row>
    <row r="105" spans="8:8">
      <c r="A105" s="3" t="s">
        <v>116</v>
      </c>
      <c r="B105" s="4" t="s">
        <v>65</v>
      </c>
      <c r="C105" s="243">
        <v>0.01</v>
      </c>
      <c r="D105" s="243">
        <v>454090.2912000001</v>
      </c>
      <c r="E105" s="241">
        <v>46648.0</v>
      </c>
      <c r="F105" s="241">
        <v>69972.0</v>
      </c>
      <c r="G105" s="180" t="s">
        <v>292</v>
      </c>
      <c r="H105" s="43">
        <f t="shared" si="1"/>
        <v>570710.3012000001</v>
      </c>
    </row>
    <row r="106" spans="8:8">
      <c r="A106" s="3" t="s">
        <v>117</v>
      </c>
      <c r="B106" s="4" t="s">
        <v>65</v>
      </c>
      <c r="C106" s="243">
        <v>0.01</v>
      </c>
      <c r="D106" s="243">
        <v>410427.76320000004</v>
      </c>
      <c r="E106" s="241">
        <v>46648.0</v>
      </c>
      <c r="F106" s="241">
        <v>69972.0</v>
      </c>
      <c r="G106" s="180" t="s">
        <v>292</v>
      </c>
      <c r="H106" s="43">
        <f t="shared" si="1"/>
        <v>527047.7732</v>
      </c>
    </row>
    <row r="107" spans="8:8">
      <c r="A107" s="3" t="s">
        <v>118</v>
      </c>
      <c r="B107" s="4" t="s">
        <v>65</v>
      </c>
      <c r="C107" s="243">
        <v>0.01</v>
      </c>
      <c r="D107" s="243">
        <v>385685.664</v>
      </c>
      <c r="E107" s="241">
        <v>46648.0</v>
      </c>
      <c r="F107" s="241">
        <v>69972.0</v>
      </c>
      <c r="G107" s="180" t="s">
        <v>292</v>
      </c>
      <c r="H107" s="43">
        <f t="shared" si="1"/>
        <v>502305.674</v>
      </c>
    </row>
    <row r="108" spans="8:8">
      <c r="A108" s="3" t="s">
        <v>119</v>
      </c>
      <c r="B108" s="4" t="s">
        <v>65</v>
      </c>
      <c r="C108" s="243">
        <v>0.01</v>
      </c>
      <c r="D108" s="243">
        <v>410427.76320000004</v>
      </c>
      <c r="E108" s="241">
        <v>46648.0</v>
      </c>
      <c r="F108" s="241">
        <v>69972.0</v>
      </c>
      <c r="G108" s="180" t="s">
        <v>292</v>
      </c>
      <c r="H108" s="43">
        <f t="shared" si="1"/>
        <v>527047.7732</v>
      </c>
    </row>
    <row r="109" spans="8:8">
      <c r="A109" s="3" t="s">
        <v>120</v>
      </c>
      <c r="B109" s="4" t="s">
        <v>65</v>
      </c>
      <c r="C109" s="243">
        <v>0.01</v>
      </c>
      <c r="D109" s="243">
        <v>771371.328</v>
      </c>
      <c r="E109" s="241">
        <v>46648.0</v>
      </c>
      <c r="F109" s="241">
        <v>69972.0</v>
      </c>
      <c r="G109" s="180" t="s">
        <v>292</v>
      </c>
      <c r="H109" s="43">
        <f t="shared" si="1"/>
        <v>887991.338</v>
      </c>
    </row>
    <row r="110" spans="8:8">
      <c r="A110" s="3" t="s">
        <v>121</v>
      </c>
      <c r="B110" s="4" t="s">
        <v>65</v>
      </c>
      <c r="C110" s="243">
        <v>0.01</v>
      </c>
      <c r="D110" s="243">
        <v>820855.5264000001</v>
      </c>
      <c r="E110" s="241">
        <v>46648.0</v>
      </c>
      <c r="F110" s="241">
        <v>69972.0</v>
      </c>
      <c r="G110" s="180" t="s">
        <v>292</v>
      </c>
      <c r="H110" s="43">
        <f t="shared" si="1"/>
        <v>937475.5364000001</v>
      </c>
    </row>
    <row r="111" spans="8:8">
      <c r="A111" s="3" t="s">
        <v>122</v>
      </c>
      <c r="B111" s="4" t="s">
        <v>65</v>
      </c>
      <c r="C111" s="243">
        <v>0.01</v>
      </c>
      <c r="D111" s="243">
        <v>385685.664</v>
      </c>
      <c r="E111" s="241">
        <v>46648.0</v>
      </c>
      <c r="F111" s="241">
        <v>69972.0</v>
      </c>
      <c r="G111" s="180" t="s">
        <v>292</v>
      </c>
      <c r="H111" s="43">
        <f t="shared" si="1"/>
        <v>502305.674</v>
      </c>
    </row>
    <row r="112" spans="8:8">
      <c r="A112" s="3" t="s">
        <v>123</v>
      </c>
      <c r="B112" s="4" t="s">
        <v>65</v>
      </c>
      <c r="C112" s="243">
        <v>0.01</v>
      </c>
      <c r="D112" s="243">
        <v>410427.76320000004</v>
      </c>
      <c r="E112" s="241">
        <v>46648.0</v>
      </c>
      <c r="F112" s="241">
        <v>69972.0</v>
      </c>
      <c r="G112" s="180" t="s">
        <v>292</v>
      </c>
      <c r="H112" s="43">
        <f t="shared" si="1"/>
        <v>527047.7732</v>
      </c>
    </row>
    <row r="113" spans="8:8">
      <c r="A113" s="3" t="s">
        <v>124</v>
      </c>
      <c r="B113" s="4" t="s">
        <v>65</v>
      </c>
      <c r="C113" s="243">
        <v>0.01</v>
      </c>
      <c r="D113" s="243">
        <v>454090.2912000001</v>
      </c>
      <c r="E113" s="241">
        <v>46648.0</v>
      </c>
      <c r="F113" s="241">
        <v>69972.0</v>
      </c>
      <c r="G113" s="180" t="s">
        <v>292</v>
      </c>
      <c r="H113" s="43">
        <f t="shared" si="1"/>
        <v>570710.3012000001</v>
      </c>
    </row>
    <row r="114" spans="8:8">
      <c r="A114" s="3" t="s">
        <v>125</v>
      </c>
      <c r="B114" s="4" t="s">
        <v>65</v>
      </c>
      <c r="C114" s="243">
        <v>0.01</v>
      </c>
      <c r="D114" s="243">
        <v>500663.6544</v>
      </c>
      <c r="E114" s="241">
        <v>46648.0</v>
      </c>
      <c r="F114" s="241">
        <v>69972.0</v>
      </c>
      <c r="G114" s="180" t="s">
        <v>292</v>
      </c>
      <c r="H114" s="43">
        <f t="shared" si="2" ref="H114:H177">SUM(C114:F114)</f>
        <v>617283.6644</v>
      </c>
    </row>
    <row r="115" spans="8:8">
      <c r="A115" s="3" t="s">
        <v>126</v>
      </c>
      <c r="B115" s="4" t="s">
        <v>65</v>
      </c>
      <c r="C115" s="243">
        <v>0.01</v>
      </c>
      <c r="D115" s="243">
        <v>567612.864</v>
      </c>
      <c r="E115" s="241">
        <v>46648.0</v>
      </c>
      <c r="F115" s="241">
        <v>69972.0</v>
      </c>
      <c r="G115" s="180" t="s">
        <v>292</v>
      </c>
      <c r="H115" s="43">
        <f t="shared" si="2"/>
        <v>684232.874</v>
      </c>
    </row>
    <row r="116" spans="8:8">
      <c r="A116" s="3" t="s">
        <v>127</v>
      </c>
      <c r="B116" s="4" t="s">
        <v>65</v>
      </c>
      <c r="C116" s="243">
        <v>0.01</v>
      </c>
      <c r="D116" s="243">
        <v>771371.328</v>
      </c>
      <c r="E116" s="241">
        <v>46648.0</v>
      </c>
      <c r="F116" s="241">
        <v>69972.0</v>
      </c>
      <c r="G116" s="180" t="s">
        <v>292</v>
      </c>
      <c r="H116" s="43">
        <f t="shared" si="2"/>
        <v>887991.338</v>
      </c>
    </row>
    <row r="117" spans="8:8">
      <c r="A117" s="3" t="s">
        <v>128</v>
      </c>
      <c r="B117" s="4" t="s">
        <v>65</v>
      </c>
      <c r="C117" s="243">
        <v>0.01</v>
      </c>
      <c r="D117" s="243">
        <v>820855.5264000001</v>
      </c>
      <c r="E117" s="241">
        <v>46648.0</v>
      </c>
      <c r="F117" s="241">
        <v>69972.0</v>
      </c>
      <c r="G117" s="180" t="s">
        <v>292</v>
      </c>
      <c r="H117" s="43">
        <f t="shared" si="2"/>
        <v>937475.5364000001</v>
      </c>
    </row>
    <row r="118" spans="8:8">
      <c r="A118" s="3" t="s">
        <v>129</v>
      </c>
      <c r="B118" s="4" t="s">
        <v>65</v>
      </c>
      <c r="C118" s="243">
        <v>0.01</v>
      </c>
      <c r="D118" s="243">
        <v>908180.5824000002</v>
      </c>
      <c r="E118" s="241">
        <v>46648.0</v>
      </c>
      <c r="F118" s="241">
        <v>69972.0</v>
      </c>
      <c r="G118" s="180" t="s">
        <v>292</v>
      </c>
      <c r="H118" s="43">
        <f t="shared" si="2"/>
        <v>1024800.5924000002</v>
      </c>
    </row>
    <row r="119" spans="8:8">
      <c r="A119" s="3" t="s">
        <v>130</v>
      </c>
      <c r="B119" s="4" t="s">
        <v>65</v>
      </c>
      <c r="C119" s="243">
        <v>0.01</v>
      </c>
      <c r="D119" s="243">
        <v>1001327.3088</v>
      </c>
      <c r="E119" s="241">
        <v>46648.0</v>
      </c>
      <c r="F119" s="241">
        <v>69972.0</v>
      </c>
      <c r="G119" s="180" t="s">
        <v>292</v>
      </c>
      <c r="H119" s="43">
        <f t="shared" si="2"/>
        <v>1117947.3188</v>
      </c>
    </row>
    <row r="120" spans="8:8">
      <c r="A120" s="3" t="s">
        <v>131</v>
      </c>
      <c r="B120" s="4" t="s">
        <v>65</v>
      </c>
      <c r="C120" s="243">
        <v>0.01</v>
      </c>
      <c r="D120" s="243">
        <v>1135225.728</v>
      </c>
      <c r="E120" s="241">
        <v>46648.0</v>
      </c>
      <c r="F120" s="241">
        <v>69972.0</v>
      </c>
      <c r="G120" s="180" t="s">
        <v>292</v>
      </c>
      <c r="H120" s="43">
        <f t="shared" si="2"/>
        <v>1251845.738</v>
      </c>
    </row>
    <row r="121" spans="8:8">
      <c r="A121" s="3" t="s">
        <v>132</v>
      </c>
      <c r="B121" s="4" t="s">
        <v>65</v>
      </c>
      <c r="C121" s="243">
        <v>0.01</v>
      </c>
      <c r="D121" s="243">
        <v>385685.664</v>
      </c>
      <c r="E121" s="241">
        <v>46648.0</v>
      </c>
      <c r="F121" s="241">
        <v>69972.0</v>
      </c>
      <c r="G121" s="180" t="s">
        <v>292</v>
      </c>
      <c r="H121" s="43">
        <f t="shared" si="2"/>
        <v>502305.674</v>
      </c>
    </row>
    <row r="122" spans="8:8">
      <c r="A122" s="3" t="s">
        <v>133</v>
      </c>
      <c r="B122" s="4" t="s">
        <v>65</v>
      </c>
      <c r="C122" s="243">
        <v>0.01</v>
      </c>
      <c r="D122" s="243">
        <v>410427.76320000004</v>
      </c>
      <c r="E122" s="241">
        <v>46648.0</v>
      </c>
      <c r="F122" s="241">
        <v>69972.0</v>
      </c>
      <c r="G122" s="180" t="s">
        <v>292</v>
      </c>
      <c r="H122" s="43">
        <f t="shared" si="2"/>
        <v>527047.7732</v>
      </c>
    </row>
    <row r="123" spans="8:8">
      <c r="A123" s="3" t="s">
        <v>134</v>
      </c>
      <c r="B123" s="4" t="s">
        <v>65</v>
      </c>
      <c r="C123" s="243">
        <v>0.01</v>
      </c>
      <c r="D123" s="243">
        <v>454090.2912000001</v>
      </c>
      <c r="E123" s="241">
        <v>46648.0</v>
      </c>
      <c r="F123" s="241">
        <v>69972.0</v>
      </c>
      <c r="G123" s="180" t="s">
        <v>292</v>
      </c>
      <c r="H123" s="43">
        <f t="shared" si="2"/>
        <v>570710.3012000001</v>
      </c>
    </row>
    <row r="124" spans="8:8">
      <c r="A124" s="3" t="s">
        <v>135</v>
      </c>
      <c r="B124" s="4" t="s">
        <v>65</v>
      </c>
      <c r="C124" s="243">
        <v>0.01</v>
      </c>
      <c r="D124" s="243">
        <v>385685.664</v>
      </c>
      <c r="E124" s="241">
        <v>46648.0</v>
      </c>
      <c r="F124" s="241">
        <v>69972.0</v>
      </c>
      <c r="G124" s="180" t="s">
        <v>292</v>
      </c>
      <c r="H124" s="43">
        <f t="shared" si="2"/>
        <v>502305.674</v>
      </c>
    </row>
    <row r="125" spans="8:8">
      <c r="A125" s="3" t="s">
        <v>136</v>
      </c>
      <c r="B125" s="4" t="s">
        <v>65</v>
      </c>
      <c r="C125" s="243">
        <v>0.01</v>
      </c>
      <c r="D125" s="243">
        <v>410427.76320000004</v>
      </c>
      <c r="E125" s="241">
        <v>46648.0</v>
      </c>
      <c r="F125" s="241">
        <v>69972.0</v>
      </c>
      <c r="G125" s="180" t="s">
        <v>292</v>
      </c>
      <c r="H125" s="43">
        <f t="shared" si="2"/>
        <v>527047.7732</v>
      </c>
    </row>
    <row r="126" spans="8:8">
      <c r="A126" s="3" t="s">
        <v>137</v>
      </c>
      <c r="B126" s="4" t="s">
        <v>65</v>
      </c>
      <c r="C126" s="243">
        <v>0.01</v>
      </c>
      <c r="D126" s="243">
        <v>771371.328</v>
      </c>
      <c r="E126" s="241">
        <v>46648.0</v>
      </c>
      <c r="F126" s="241">
        <v>69972.0</v>
      </c>
      <c r="G126" s="180" t="s">
        <v>292</v>
      </c>
      <c r="H126" s="43">
        <f t="shared" si="2"/>
        <v>887991.338</v>
      </c>
    </row>
    <row r="127" spans="8:8">
      <c r="A127" s="3" t="s">
        <v>138</v>
      </c>
      <c r="B127" s="4" t="s">
        <v>65</v>
      </c>
      <c r="C127" s="243">
        <v>0.01</v>
      </c>
      <c r="D127" s="243">
        <v>820855.5264000001</v>
      </c>
      <c r="E127" s="241">
        <v>46648.0</v>
      </c>
      <c r="F127" s="241">
        <v>69972.0</v>
      </c>
      <c r="G127" s="180" t="s">
        <v>292</v>
      </c>
      <c r="H127" s="43">
        <f t="shared" si="2"/>
        <v>937475.5364000001</v>
      </c>
    </row>
    <row r="128" spans="8:8">
      <c r="A128" s="3" t="s">
        <v>139</v>
      </c>
      <c r="B128" s="4" t="s">
        <v>65</v>
      </c>
      <c r="C128" s="243">
        <v>0.01</v>
      </c>
      <c r="D128" s="243">
        <v>385685.664</v>
      </c>
      <c r="E128" s="241">
        <v>46648.0</v>
      </c>
      <c r="F128" s="241">
        <v>69972.0</v>
      </c>
      <c r="G128" s="180" t="s">
        <v>292</v>
      </c>
      <c r="H128" s="43">
        <f t="shared" si="2"/>
        <v>502305.674</v>
      </c>
    </row>
    <row r="129" spans="8:8">
      <c r="A129" s="3" t="s">
        <v>140</v>
      </c>
      <c r="B129" s="4" t="s">
        <v>65</v>
      </c>
      <c r="C129" s="243">
        <v>0.01</v>
      </c>
      <c r="D129" s="243">
        <v>410427.76320000004</v>
      </c>
      <c r="E129" s="241">
        <v>46648.0</v>
      </c>
      <c r="F129" s="241">
        <v>69972.0</v>
      </c>
      <c r="G129" s="180" t="s">
        <v>292</v>
      </c>
      <c r="H129" s="43">
        <f t="shared" si="2"/>
        <v>527047.7732</v>
      </c>
    </row>
    <row r="130" spans="8:8">
      <c r="A130" s="3" t="s">
        <v>141</v>
      </c>
      <c r="B130" s="4" t="s">
        <v>65</v>
      </c>
      <c r="C130" s="243">
        <v>0.01</v>
      </c>
      <c r="D130" s="243">
        <v>454090.2912000001</v>
      </c>
      <c r="E130" s="241">
        <v>46648.0</v>
      </c>
      <c r="F130" s="241">
        <v>69972.0</v>
      </c>
      <c r="G130" s="180" t="s">
        <v>292</v>
      </c>
      <c r="H130" s="43">
        <f t="shared" si="2"/>
        <v>570710.3012000001</v>
      </c>
    </row>
    <row r="131" spans="8:8">
      <c r="A131" s="3" t="s">
        <v>142</v>
      </c>
      <c r="B131" s="4" t="s">
        <v>65</v>
      </c>
      <c r="C131" s="243">
        <v>0.01</v>
      </c>
      <c r="D131" s="243">
        <v>771371.328</v>
      </c>
      <c r="E131" s="241">
        <v>46648.0</v>
      </c>
      <c r="F131" s="241">
        <v>69972.0</v>
      </c>
      <c r="G131" s="180" t="s">
        <v>292</v>
      </c>
      <c r="H131" s="43">
        <f t="shared" si="2"/>
        <v>887991.338</v>
      </c>
    </row>
    <row r="132" spans="8:8">
      <c r="A132" s="3" t="s">
        <v>143</v>
      </c>
      <c r="B132" s="4" t="s">
        <v>65</v>
      </c>
      <c r="C132" s="243">
        <v>0.01</v>
      </c>
      <c r="D132" s="243">
        <v>820855.5264000001</v>
      </c>
      <c r="E132" s="241">
        <v>46648.0</v>
      </c>
      <c r="F132" s="241">
        <v>69972.0</v>
      </c>
      <c r="G132" s="180" t="s">
        <v>292</v>
      </c>
      <c r="H132" s="43">
        <f t="shared" si="2"/>
        <v>937475.5364000001</v>
      </c>
    </row>
    <row r="133" spans="8:8">
      <c r="A133" s="3" t="s">
        <v>144</v>
      </c>
      <c r="B133" s="4" t="s">
        <v>65</v>
      </c>
      <c r="C133" s="243">
        <v>0.01</v>
      </c>
      <c r="D133" s="243">
        <v>908180.5824000002</v>
      </c>
      <c r="E133" s="241">
        <v>46648.0</v>
      </c>
      <c r="F133" s="241">
        <v>69972.0</v>
      </c>
      <c r="G133" s="180" t="s">
        <v>292</v>
      </c>
      <c r="H133" s="43">
        <f t="shared" si="2"/>
        <v>1024800.5924000002</v>
      </c>
    </row>
    <row r="134" spans="8:8">
      <c r="A134" s="3" t="s">
        <v>145</v>
      </c>
      <c r="B134" s="4" t="s">
        <v>65</v>
      </c>
      <c r="C134" s="243">
        <v>0.01</v>
      </c>
      <c r="D134" s="243">
        <v>385685.664</v>
      </c>
      <c r="E134" s="241">
        <v>46648.0</v>
      </c>
      <c r="F134" s="241">
        <v>69972.0</v>
      </c>
      <c r="G134" s="180" t="s">
        <v>292</v>
      </c>
      <c r="H134" s="43">
        <f t="shared" si="2"/>
        <v>502305.674</v>
      </c>
    </row>
    <row r="135" spans="8:8">
      <c r="A135" s="3" t="s">
        <v>146</v>
      </c>
      <c r="B135" s="4" t="s">
        <v>65</v>
      </c>
      <c r="C135" s="243">
        <v>0.01</v>
      </c>
      <c r="D135" s="243">
        <v>410427.76320000004</v>
      </c>
      <c r="E135" s="241">
        <v>46648.0</v>
      </c>
      <c r="F135" s="241">
        <v>69972.0</v>
      </c>
      <c r="G135" s="180" t="s">
        <v>292</v>
      </c>
      <c r="H135" s="43">
        <f t="shared" si="2"/>
        <v>527047.7732</v>
      </c>
    </row>
    <row r="136" spans="8:8">
      <c r="A136" s="3" t="s">
        <v>147</v>
      </c>
      <c r="B136" s="4" t="s">
        <v>65</v>
      </c>
      <c r="C136" s="243">
        <v>0.01</v>
      </c>
      <c r="D136" s="243">
        <v>454090.2912000001</v>
      </c>
      <c r="E136" s="241">
        <v>46648.0</v>
      </c>
      <c r="F136" s="241">
        <v>69972.0</v>
      </c>
      <c r="G136" s="180" t="s">
        <v>292</v>
      </c>
      <c r="H136" s="43">
        <f t="shared" si="2"/>
        <v>570710.3012000001</v>
      </c>
    </row>
    <row r="137" spans="8:8">
      <c r="A137" s="3" t="s">
        <v>148</v>
      </c>
      <c r="B137" s="4" t="s">
        <v>65</v>
      </c>
      <c r="C137" s="243">
        <v>0.01</v>
      </c>
      <c r="D137" s="243">
        <v>410427.76320000004</v>
      </c>
      <c r="E137" s="241">
        <v>46648.0</v>
      </c>
      <c r="F137" s="241">
        <v>69972.0</v>
      </c>
      <c r="G137" s="180" t="s">
        <v>292</v>
      </c>
      <c r="H137" s="43">
        <f t="shared" si="2"/>
        <v>527047.7732</v>
      </c>
    </row>
    <row r="138" spans="8:8">
      <c r="A138" s="3" t="s">
        <v>149</v>
      </c>
      <c r="B138" s="4" t="s">
        <v>65</v>
      </c>
      <c r="C138" s="243">
        <v>0.01</v>
      </c>
      <c r="D138" s="243">
        <v>454090.2912000001</v>
      </c>
      <c r="E138" s="241">
        <v>46648.0</v>
      </c>
      <c r="F138" s="241">
        <v>69972.0</v>
      </c>
      <c r="G138" s="180" t="s">
        <v>292</v>
      </c>
      <c r="H138" s="43">
        <f t="shared" si="2"/>
        <v>570710.3012000001</v>
      </c>
    </row>
    <row r="139" spans="8:8">
      <c r="A139" s="3" t="s">
        <v>150</v>
      </c>
      <c r="B139" s="4" t="s">
        <v>65</v>
      </c>
      <c r="C139" s="243">
        <v>0.01</v>
      </c>
      <c r="D139" s="243">
        <v>609819.9744</v>
      </c>
      <c r="E139" s="241">
        <v>46648.0</v>
      </c>
      <c r="F139" s="241">
        <v>69972.0</v>
      </c>
      <c r="G139" s="180" t="s">
        <v>292</v>
      </c>
      <c r="H139" s="43">
        <f t="shared" si="2"/>
        <v>726439.9844</v>
      </c>
    </row>
    <row r="140" spans="8:8">
      <c r="A140" s="3" t="s">
        <v>151</v>
      </c>
      <c r="B140" s="4" t="s">
        <v>65</v>
      </c>
      <c r="C140" s="243">
        <v>0.01</v>
      </c>
      <c r="D140" s="243">
        <v>820855.5264000001</v>
      </c>
      <c r="E140" s="241">
        <v>46648.0</v>
      </c>
      <c r="F140" s="241">
        <v>69972.0</v>
      </c>
      <c r="G140" s="180" t="s">
        <v>292</v>
      </c>
      <c r="H140" s="43">
        <f t="shared" si="2"/>
        <v>937475.5364000001</v>
      </c>
    </row>
    <row r="141" spans="8:8">
      <c r="A141" s="3" t="s">
        <v>152</v>
      </c>
      <c r="B141" s="4" t="s">
        <v>65</v>
      </c>
      <c r="C141" s="243">
        <v>0.01</v>
      </c>
      <c r="D141" s="243">
        <v>908180.5824000002</v>
      </c>
      <c r="E141" s="241">
        <v>46648.0</v>
      </c>
      <c r="F141" s="241">
        <v>69972.0</v>
      </c>
      <c r="G141" s="180" t="s">
        <v>292</v>
      </c>
      <c r="H141" s="43">
        <f t="shared" si="2"/>
        <v>1024800.5924000002</v>
      </c>
    </row>
    <row r="142" spans="8:8">
      <c r="A142" s="3" t="s">
        <v>153</v>
      </c>
      <c r="B142" s="4" t="s">
        <v>65</v>
      </c>
      <c r="C142" s="243">
        <v>0.01</v>
      </c>
      <c r="D142" s="243">
        <v>1892042.88</v>
      </c>
      <c r="E142" s="241">
        <v>46648.0</v>
      </c>
      <c r="F142" s="241">
        <v>69972.0</v>
      </c>
      <c r="G142" s="180" t="s">
        <v>292</v>
      </c>
      <c r="H142" s="43">
        <f t="shared" si="2"/>
        <v>2008662.89</v>
      </c>
    </row>
    <row r="143" spans="8:8">
      <c r="A143" s="3" t="s">
        <v>154</v>
      </c>
      <c r="B143" s="4" t="s">
        <v>65</v>
      </c>
      <c r="C143" s="243">
        <v>0.01</v>
      </c>
      <c r="D143" s="243">
        <v>363854.4</v>
      </c>
      <c r="E143" s="241">
        <v>46648.0</v>
      </c>
      <c r="F143" s="241">
        <v>69972.0</v>
      </c>
      <c r="G143" s="180" t="s">
        <v>292</v>
      </c>
      <c r="H143" s="43">
        <f t="shared" si="2"/>
        <v>480474.41000000003</v>
      </c>
    </row>
    <row r="144" spans="8:8">
      <c r="A144" s="3" t="s">
        <v>155</v>
      </c>
      <c r="B144" s="4" t="s">
        <v>65</v>
      </c>
      <c r="C144" s="243">
        <v>0.01</v>
      </c>
      <c r="D144" s="243">
        <v>385685.664</v>
      </c>
      <c r="E144" s="241">
        <v>46648.0</v>
      </c>
      <c r="F144" s="241">
        <v>69972.0</v>
      </c>
      <c r="G144" s="180" t="s">
        <v>292</v>
      </c>
      <c r="H144" s="43">
        <f t="shared" si="2"/>
        <v>502305.674</v>
      </c>
    </row>
    <row r="145" spans="8:8">
      <c r="A145" s="3" t="s">
        <v>156</v>
      </c>
      <c r="B145" s="4" t="s">
        <v>65</v>
      </c>
      <c r="C145" s="243">
        <v>0.01</v>
      </c>
      <c r="D145" s="243">
        <v>410427.76320000004</v>
      </c>
      <c r="E145" s="241">
        <v>46648.0</v>
      </c>
      <c r="F145" s="241">
        <v>69972.0</v>
      </c>
      <c r="G145" s="180" t="s">
        <v>292</v>
      </c>
      <c r="H145" s="43">
        <f t="shared" si="2"/>
        <v>527047.7732</v>
      </c>
    </row>
    <row r="146" spans="8:8">
      <c r="A146" s="3" t="s">
        <v>157</v>
      </c>
      <c r="B146" s="4" t="s">
        <v>65</v>
      </c>
      <c r="C146" s="243">
        <v>0.01</v>
      </c>
      <c r="D146" s="243">
        <v>385685.664</v>
      </c>
      <c r="E146" s="241">
        <v>46648.0</v>
      </c>
      <c r="F146" s="241">
        <v>69972.0</v>
      </c>
      <c r="G146" s="180" t="s">
        <v>292</v>
      </c>
      <c r="H146" s="43">
        <f t="shared" si="2"/>
        <v>502305.674</v>
      </c>
    </row>
    <row r="147" spans="8:8">
      <c r="A147" s="3" t="s">
        <v>158</v>
      </c>
      <c r="B147" s="4" t="s">
        <v>65</v>
      </c>
      <c r="C147" s="243">
        <v>0.01</v>
      </c>
      <c r="D147" s="243">
        <v>410427.76320000004</v>
      </c>
      <c r="E147" s="241">
        <v>46648.0</v>
      </c>
      <c r="F147" s="241">
        <v>69972.0</v>
      </c>
      <c r="G147" s="180" t="s">
        <v>292</v>
      </c>
      <c r="H147" s="43">
        <f t="shared" si="2"/>
        <v>527047.7732</v>
      </c>
    </row>
    <row r="148" spans="8:8">
      <c r="A148" s="3" t="s">
        <v>159</v>
      </c>
      <c r="B148" s="4" t="s">
        <v>65</v>
      </c>
      <c r="C148" s="243">
        <v>0.01</v>
      </c>
      <c r="D148" s="243">
        <v>454090.2912000001</v>
      </c>
      <c r="E148" s="241">
        <v>46648.0</v>
      </c>
      <c r="F148" s="241">
        <v>69972.0</v>
      </c>
      <c r="G148" s="180" t="s">
        <v>292</v>
      </c>
      <c r="H148" s="43">
        <f t="shared" si="2"/>
        <v>570710.3012000001</v>
      </c>
    </row>
    <row r="149" spans="8:8">
      <c r="A149" s="3" t="s">
        <v>160</v>
      </c>
      <c r="B149" s="4" t="s">
        <v>65</v>
      </c>
      <c r="C149" s="243">
        <v>0.01</v>
      </c>
      <c r="D149" s="243">
        <v>410427.76320000004</v>
      </c>
      <c r="E149" s="241">
        <v>46648.0</v>
      </c>
      <c r="F149" s="241">
        <v>69972.0</v>
      </c>
      <c r="G149" s="180" t="s">
        <v>292</v>
      </c>
      <c r="H149" s="43">
        <f t="shared" si="2"/>
        <v>527047.7732</v>
      </c>
    </row>
    <row r="150" spans="8:8">
      <c r="A150" s="15" t="s">
        <v>161</v>
      </c>
      <c r="B150" s="16" t="s">
        <v>65</v>
      </c>
      <c r="C150" s="243">
        <v>0.01</v>
      </c>
      <c r="D150" s="243">
        <v>454090.2912000001</v>
      </c>
      <c r="E150" s="241">
        <v>46648.0</v>
      </c>
      <c r="F150" s="241">
        <v>69972.0</v>
      </c>
      <c r="G150" s="180" t="s">
        <v>292</v>
      </c>
      <c r="H150" s="43">
        <f t="shared" si="2"/>
        <v>570710.3012000001</v>
      </c>
    </row>
    <row r="151" spans="8:8">
      <c r="A151" s="15" t="s">
        <v>162</v>
      </c>
      <c r="B151" s="16" t="s">
        <v>65</v>
      </c>
      <c r="C151" s="243">
        <v>0.01</v>
      </c>
      <c r="D151" s="243">
        <v>820855.5264000001</v>
      </c>
      <c r="E151" s="241">
        <v>46648.0</v>
      </c>
      <c r="F151" s="241">
        <v>69972.0</v>
      </c>
      <c r="G151" s="180" t="s">
        <v>292</v>
      </c>
      <c r="H151" s="43">
        <f t="shared" si="2"/>
        <v>937475.5364000001</v>
      </c>
    </row>
    <row r="152" spans="8:8">
      <c r="A152" s="15" t="s">
        <v>163</v>
      </c>
      <c r="B152" s="16" t="s">
        <v>65</v>
      </c>
      <c r="C152" s="243">
        <v>0.01</v>
      </c>
      <c r="D152" s="243">
        <v>908180.5824000002</v>
      </c>
      <c r="E152" s="241">
        <v>46648.0</v>
      </c>
      <c r="F152" s="241">
        <v>69972.0</v>
      </c>
      <c r="G152" s="180" t="s">
        <v>292</v>
      </c>
      <c r="H152" s="43">
        <f t="shared" si="2"/>
        <v>1024800.5924000002</v>
      </c>
    </row>
    <row r="153" spans="8:8">
      <c r="A153" s="3" t="s">
        <v>164</v>
      </c>
      <c r="B153" s="4" t="s">
        <v>65</v>
      </c>
      <c r="C153" s="243">
        <v>0.01</v>
      </c>
      <c r="D153" s="243">
        <v>355121.8944</v>
      </c>
      <c r="E153" s="241">
        <v>46648.0</v>
      </c>
      <c r="F153" s="241">
        <v>69972.0</v>
      </c>
      <c r="G153" s="180" t="s">
        <v>292</v>
      </c>
      <c r="H153" s="43">
        <f t="shared" si="2"/>
        <v>471741.9044</v>
      </c>
    </row>
    <row r="154" spans="8:8">
      <c r="A154" s="3" t="s">
        <v>165</v>
      </c>
      <c r="B154" s="4" t="s">
        <v>65</v>
      </c>
      <c r="C154" s="243">
        <v>0.01</v>
      </c>
      <c r="D154" s="243">
        <v>398784.42240000004</v>
      </c>
      <c r="E154" s="241">
        <v>46648.0</v>
      </c>
      <c r="F154" s="241">
        <v>69972.0</v>
      </c>
      <c r="G154" s="180" t="s">
        <v>292</v>
      </c>
      <c r="H154" s="43">
        <f t="shared" si="2"/>
        <v>515404.43240000005</v>
      </c>
    </row>
    <row r="155" spans="8:8">
      <c r="A155" s="3" t="s">
        <v>166</v>
      </c>
      <c r="B155" s="4" t="s">
        <v>65</v>
      </c>
      <c r="C155" s="243">
        <v>0.01</v>
      </c>
      <c r="D155" s="243">
        <v>385685.664</v>
      </c>
      <c r="E155" s="241">
        <v>46648.0</v>
      </c>
      <c r="F155" s="241">
        <v>69972.0</v>
      </c>
      <c r="G155" s="180" t="s">
        <v>292</v>
      </c>
      <c r="H155" s="43">
        <f t="shared" si="2"/>
        <v>502305.674</v>
      </c>
    </row>
    <row r="156" spans="8:8">
      <c r="A156" s="3" t="s">
        <v>167</v>
      </c>
      <c r="B156" s="4" t="s">
        <v>65</v>
      </c>
      <c r="C156" s="243">
        <v>0.01</v>
      </c>
      <c r="D156" s="243">
        <v>410427.76320000004</v>
      </c>
      <c r="E156" s="241">
        <v>46648.0</v>
      </c>
      <c r="F156" s="241">
        <v>69972.0</v>
      </c>
      <c r="G156" s="180" t="s">
        <v>292</v>
      </c>
      <c r="H156" s="43">
        <f t="shared" si="2"/>
        <v>527047.7732</v>
      </c>
    </row>
    <row r="157" spans="8:8">
      <c r="A157" s="3" t="s">
        <v>168</v>
      </c>
      <c r="B157" s="4" t="s">
        <v>65</v>
      </c>
      <c r="C157" s="243">
        <v>0.01</v>
      </c>
      <c r="D157" s="243">
        <v>771371.328</v>
      </c>
      <c r="E157" s="241">
        <v>46648.0</v>
      </c>
      <c r="F157" s="241">
        <v>69972.0</v>
      </c>
      <c r="G157" s="180" t="s">
        <v>292</v>
      </c>
      <c r="H157" s="43">
        <f t="shared" si="2"/>
        <v>887991.338</v>
      </c>
    </row>
    <row r="158" spans="8:8">
      <c r="A158" s="3" t="s">
        <v>169</v>
      </c>
      <c r="B158" s="4" t="s">
        <v>65</v>
      </c>
      <c r="C158" s="243">
        <v>0.01</v>
      </c>
      <c r="D158" s="243">
        <v>820855.5264000001</v>
      </c>
      <c r="E158" s="241">
        <v>46648.0</v>
      </c>
      <c r="F158" s="241">
        <v>69972.0</v>
      </c>
      <c r="G158" s="180" t="s">
        <v>292</v>
      </c>
      <c r="H158" s="43">
        <f t="shared" si="2"/>
        <v>937475.5364000001</v>
      </c>
    </row>
    <row r="159" spans="8:8">
      <c r="A159" s="3" t="s">
        <v>170</v>
      </c>
      <c r="B159" s="4" t="s">
        <v>65</v>
      </c>
      <c r="C159" s="243">
        <v>0.01</v>
      </c>
      <c r="D159" s="243">
        <v>385685.664</v>
      </c>
      <c r="E159" s="241">
        <v>46648.0</v>
      </c>
      <c r="F159" s="241">
        <v>69972.0</v>
      </c>
      <c r="G159" s="180" t="s">
        <v>292</v>
      </c>
      <c r="H159" s="43">
        <f t="shared" si="2"/>
        <v>502305.674</v>
      </c>
    </row>
    <row r="160" spans="8:8">
      <c r="A160" s="3" t="s">
        <v>171</v>
      </c>
      <c r="B160" s="4" t="s">
        <v>65</v>
      </c>
      <c r="C160" s="243">
        <v>0.01</v>
      </c>
      <c r="D160" s="243">
        <v>410427.76320000004</v>
      </c>
      <c r="E160" s="241">
        <v>46648.0</v>
      </c>
      <c r="F160" s="241">
        <v>69972.0</v>
      </c>
      <c r="G160" s="180" t="s">
        <v>292</v>
      </c>
      <c r="H160" s="43">
        <f t="shared" si="2"/>
        <v>527047.7732</v>
      </c>
    </row>
    <row r="161" spans="8:8">
      <c r="A161" s="3" t="s">
        <v>172</v>
      </c>
      <c r="B161" s="4" t="s">
        <v>65</v>
      </c>
      <c r="C161" s="243">
        <v>0.01</v>
      </c>
      <c r="D161" s="243">
        <v>454090.2912000001</v>
      </c>
      <c r="E161" s="241">
        <v>46648.0</v>
      </c>
      <c r="F161" s="241">
        <v>69972.0</v>
      </c>
      <c r="G161" s="180" t="s">
        <v>292</v>
      </c>
      <c r="H161" s="43">
        <f t="shared" si="2"/>
        <v>570710.3012000001</v>
      </c>
    </row>
    <row r="162" spans="8:8">
      <c r="A162" s="3" t="s">
        <v>173</v>
      </c>
      <c r="B162" s="4" t="s">
        <v>65</v>
      </c>
      <c r="C162" s="243">
        <v>0.01</v>
      </c>
      <c r="D162" s="243">
        <v>771371.328</v>
      </c>
      <c r="E162" s="241">
        <v>46648.0</v>
      </c>
      <c r="F162" s="241">
        <v>69972.0</v>
      </c>
      <c r="G162" s="180" t="s">
        <v>292</v>
      </c>
      <c r="H162" s="43">
        <f t="shared" si="2"/>
        <v>887991.338</v>
      </c>
    </row>
    <row r="163" spans="8:8">
      <c r="A163" s="3" t="s">
        <v>174</v>
      </c>
      <c r="B163" s="4" t="s">
        <v>65</v>
      </c>
      <c r="C163" s="243">
        <v>0.01</v>
      </c>
      <c r="D163" s="243">
        <v>820855.5264000001</v>
      </c>
      <c r="E163" s="241">
        <v>46648.0</v>
      </c>
      <c r="F163" s="241">
        <v>69972.0</v>
      </c>
      <c r="G163" s="180" t="s">
        <v>292</v>
      </c>
      <c r="H163" s="43">
        <f t="shared" si="2"/>
        <v>937475.5364000001</v>
      </c>
    </row>
    <row r="164" spans="8:8">
      <c r="A164" s="3" t="s">
        <v>175</v>
      </c>
      <c r="B164" s="4" t="s">
        <v>65</v>
      </c>
      <c r="C164" s="243">
        <v>0.01</v>
      </c>
      <c r="D164" s="243">
        <v>908180.5824000002</v>
      </c>
      <c r="E164" s="241">
        <v>46648.0</v>
      </c>
      <c r="F164" s="241">
        <v>69972.0</v>
      </c>
      <c r="G164" s="180" t="s">
        <v>292</v>
      </c>
      <c r="H164" s="43">
        <f t="shared" si="2"/>
        <v>1024800.5924000002</v>
      </c>
    </row>
    <row r="165" spans="8:8">
      <c r="A165" s="3" t="s">
        <v>176</v>
      </c>
      <c r="B165" s="4" t="s">
        <v>65</v>
      </c>
      <c r="C165" s="243">
        <v>0.01</v>
      </c>
      <c r="D165" s="243">
        <v>359488.1472</v>
      </c>
      <c r="E165" s="241">
        <v>46648.0</v>
      </c>
      <c r="F165" s="241">
        <v>69972.0</v>
      </c>
      <c r="G165" s="180" t="s">
        <v>292</v>
      </c>
      <c r="H165" s="43">
        <f t="shared" si="2"/>
        <v>476108.1572</v>
      </c>
    </row>
    <row r="166" spans="8:8">
      <c r="A166" s="3" t="s">
        <v>177</v>
      </c>
      <c r="B166" s="4" t="s">
        <v>65</v>
      </c>
      <c r="C166" s="243">
        <v>0.01</v>
      </c>
      <c r="D166" s="243">
        <v>454090.2912000001</v>
      </c>
      <c r="E166" s="241">
        <v>46648.0</v>
      </c>
      <c r="F166" s="241">
        <v>69972.0</v>
      </c>
      <c r="G166" s="180" t="s">
        <v>292</v>
      </c>
      <c r="H166" s="43">
        <f t="shared" si="2"/>
        <v>570710.3012000001</v>
      </c>
    </row>
    <row r="167" spans="8:8">
      <c r="A167" s="3" t="s">
        <v>178</v>
      </c>
      <c r="B167" s="4" t="s">
        <v>65</v>
      </c>
      <c r="C167" s="243">
        <v>261975.168</v>
      </c>
      <c r="D167" s="243">
        <v>6821542.291200001</v>
      </c>
      <c r="E167" s="241">
        <v>46648.0</v>
      </c>
      <c r="F167" s="241">
        <v>69972.0</v>
      </c>
      <c r="G167" s="180" t="s">
        <v>292</v>
      </c>
      <c r="H167" s="43">
        <f t="shared" si="2"/>
        <v>7200137.4592</v>
      </c>
    </row>
    <row r="168" spans="8:8">
      <c r="A168" s="3" t="s">
        <v>179</v>
      </c>
      <c r="B168" s="4" t="s">
        <v>65</v>
      </c>
      <c r="C168" s="243">
        <v>0.01</v>
      </c>
      <c r="D168" s="243">
        <v>874705.9776000001</v>
      </c>
      <c r="E168" s="241">
        <v>46648.0</v>
      </c>
      <c r="F168" s="241">
        <v>69972.0</v>
      </c>
      <c r="G168" s="180" t="s">
        <v>292</v>
      </c>
      <c r="H168" s="43">
        <f t="shared" si="2"/>
        <v>991325.9876000001</v>
      </c>
    </row>
    <row r="169" spans="8:8">
      <c r="A169" s="3" t="s">
        <v>180</v>
      </c>
      <c r="B169" s="4" t="s">
        <v>65</v>
      </c>
      <c r="C169" s="243">
        <v>0.01</v>
      </c>
      <c r="D169" s="243">
        <v>410427.76320000004</v>
      </c>
      <c r="E169" s="241">
        <v>46648.0</v>
      </c>
      <c r="F169" s="241">
        <v>69972.0</v>
      </c>
      <c r="G169" s="180" t="s">
        <v>292</v>
      </c>
      <c r="H169" s="43">
        <f t="shared" si="2"/>
        <v>527047.7732</v>
      </c>
    </row>
    <row r="170" spans="8:8">
      <c r="A170" s="3" t="s">
        <v>181</v>
      </c>
      <c r="B170" s="4" t="s">
        <v>65</v>
      </c>
      <c r="C170" s="243">
        <v>0.01</v>
      </c>
      <c r="D170" s="243">
        <v>820855.5264000001</v>
      </c>
      <c r="E170" s="241">
        <v>46648.0</v>
      </c>
      <c r="F170" s="241">
        <v>69972.0</v>
      </c>
      <c r="G170" s="180" t="s">
        <v>292</v>
      </c>
      <c r="H170" s="43">
        <f t="shared" si="2"/>
        <v>937475.5364000001</v>
      </c>
    </row>
    <row r="171" spans="8:8">
      <c r="A171" s="3" t="s">
        <v>182</v>
      </c>
      <c r="B171" s="4" t="s">
        <v>65</v>
      </c>
      <c r="C171" s="243">
        <v>0.01</v>
      </c>
      <c r="D171" s="243">
        <v>385685.664</v>
      </c>
      <c r="E171" s="241">
        <v>46648.0</v>
      </c>
      <c r="F171" s="241">
        <v>69972.0</v>
      </c>
      <c r="G171" s="180" t="s">
        <v>292</v>
      </c>
      <c r="H171" s="43">
        <f t="shared" si="2"/>
        <v>502305.674</v>
      </c>
    </row>
    <row r="172" spans="8:8">
      <c r="A172" s="3" t="s">
        <v>183</v>
      </c>
      <c r="B172" s="4" t="s">
        <v>65</v>
      </c>
      <c r="C172" s="243">
        <v>0.01</v>
      </c>
      <c r="D172" s="243">
        <v>410427.76320000004</v>
      </c>
      <c r="E172" s="241">
        <v>46648.0</v>
      </c>
      <c r="F172" s="241">
        <v>69972.0</v>
      </c>
      <c r="G172" s="180" t="s">
        <v>292</v>
      </c>
      <c r="H172" s="43">
        <f t="shared" si="2"/>
        <v>527047.7732</v>
      </c>
    </row>
    <row r="173" spans="8:8">
      <c r="A173" s="3" t="s">
        <v>184</v>
      </c>
      <c r="B173" s="4" t="s">
        <v>65</v>
      </c>
      <c r="C173" s="243">
        <v>0.01</v>
      </c>
      <c r="D173" s="243">
        <v>454090.2912000001</v>
      </c>
      <c r="E173" s="241">
        <v>46648.0</v>
      </c>
      <c r="F173" s="241">
        <v>69972.0</v>
      </c>
      <c r="G173" s="180" t="s">
        <v>292</v>
      </c>
      <c r="H173" s="43">
        <f t="shared" si="2"/>
        <v>570710.3012000001</v>
      </c>
    </row>
    <row r="174" spans="8:8">
      <c r="A174" s="3" t="s">
        <v>185</v>
      </c>
      <c r="B174" s="4" t="s">
        <v>65</v>
      </c>
      <c r="C174" s="243">
        <v>0.01</v>
      </c>
      <c r="D174" s="243">
        <v>771371.328</v>
      </c>
      <c r="E174" s="241">
        <v>46648.0</v>
      </c>
      <c r="F174" s="241">
        <v>69972.0</v>
      </c>
      <c r="G174" s="180" t="s">
        <v>292</v>
      </c>
      <c r="H174" s="43">
        <f t="shared" si="2"/>
        <v>887991.338</v>
      </c>
    </row>
    <row r="175" spans="8:8">
      <c r="A175" s="3" t="s">
        <v>186</v>
      </c>
      <c r="B175" s="4" t="s">
        <v>65</v>
      </c>
      <c r="C175" s="243">
        <v>0.01</v>
      </c>
      <c r="D175" s="243">
        <v>820855.5264000001</v>
      </c>
      <c r="E175" s="241">
        <v>46648.0</v>
      </c>
      <c r="F175" s="241">
        <v>69972.0</v>
      </c>
      <c r="G175" s="180" t="s">
        <v>292</v>
      </c>
      <c r="H175" s="43">
        <f t="shared" si="2"/>
        <v>937475.5364000001</v>
      </c>
    </row>
    <row r="176" spans="8:8">
      <c r="A176" s="3" t="s">
        <v>187</v>
      </c>
      <c r="B176" s="4" t="s">
        <v>65</v>
      </c>
      <c r="C176" s="243">
        <v>0.01</v>
      </c>
      <c r="D176" s="243">
        <v>908180.5824000002</v>
      </c>
      <c r="E176" s="241">
        <v>46648.0</v>
      </c>
      <c r="F176" s="241">
        <v>69972.0</v>
      </c>
      <c r="G176" s="180" t="s">
        <v>292</v>
      </c>
      <c r="H176" s="43">
        <f t="shared" si="2"/>
        <v>1024800.5924000002</v>
      </c>
    </row>
    <row r="177" spans="8:8">
      <c r="A177" s="15" t="s">
        <v>188</v>
      </c>
      <c r="B177" s="16" t="s">
        <v>65</v>
      </c>
      <c r="C177" s="243">
        <v>0.01</v>
      </c>
      <c r="D177" s="243">
        <v>385685.664</v>
      </c>
      <c r="E177" s="241">
        <v>46648.0</v>
      </c>
      <c r="F177" s="241">
        <v>69972.0</v>
      </c>
      <c r="G177" s="180" t="s">
        <v>292</v>
      </c>
      <c r="H177" s="43">
        <f t="shared" si="2"/>
        <v>502305.674</v>
      </c>
    </row>
    <row r="178" spans="8:8">
      <c r="A178" s="3" t="s">
        <v>189</v>
      </c>
      <c r="B178" s="4" t="s">
        <v>65</v>
      </c>
      <c r="C178" s="243">
        <v>0.01</v>
      </c>
      <c r="D178" s="243">
        <v>410427.76320000004</v>
      </c>
      <c r="E178" s="241">
        <v>46648.0</v>
      </c>
      <c r="F178" s="241">
        <v>69972.0</v>
      </c>
      <c r="G178" s="180" t="s">
        <v>292</v>
      </c>
      <c r="H178" s="43">
        <f t="shared" si="3" ref="H178:H186">SUM(C178:F178)</f>
        <v>527047.7732</v>
      </c>
    </row>
    <row r="179" spans="8:8">
      <c r="A179" s="3" t="s">
        <v>190</v>
      </c>
      <c r="B179" s="16" t="s">
        <v>65</v>
      </c>
      <c r="C179" s="243">
        <v>0.01</v>
      </c>
      <c r="D179" s="243">
        <v>385685.664</v>
      </c>
      <c r="E179" s="241">
        <v>46648.0</v>
      </c>
      <c r="F179" s="241">
        <v>69972.0</v>
      </c>
      <c r="G179" s="180" t="s">
        <v>292</v>
      </c>
      <c r="H179" s="43">
        <f t="shared" si="3"/>
        <v>502305.674</v>
      </c>
    </row>
    <row r="180" spans="8:8" s="49" ht="15.0" customFormat="1">
      <c r="A180" s="3" t="s">
        <v>191</v>
      </c>
      <c r="B180" s="4" t="s">
        <v>65</v>
      </c>
      <c r="C180" s="243">
        <v>0.01</v>
      </c>
      <c r="D180" s="243">
        <v>410427.76320000004</v>
      </c>
      <c r="E180" s="241">
        <v>46648.0</v>
      </c>
      <c r="F180" s="241">
        <v>69972.0</v>
      </c>
      <c r="G180" s="180" t="s">
        <v>292</v>
      </c>
      <c r="H180" s="241">
        <f t="shared" si="3"/>
        <v>527047.7732</v>
      </c>
    </row>
    <row r="181" spans="8:8">
      <c r="A181" s="3" t="s">
        <v>192</v>
      </c>
      <c r="B181" s="4" t="s">
        <v>65</v>
      </c>
      <c r="C181" s="243">
        <v>0.01</v>
      </c>
      <c r="D181" s="243">
        <v>454090.2912000001</v>
      </c>
      <c r="E181" s="241">
        <v>46648.0</v>
      </c>
      <c r="F181" s="241">
        <v>69972.0</v>
      </c>
      <c r="G181" s="180" t="s">
        <v>292</v>
      </c>
      <c r="H181" s="43">
        <f t="shared" si="3"/>
        <v>570710.3012000001</v>
      </c>
    </row>
    <row r="182" spans="8:8">
      <c r="A182" s="3" t="s">
        <v>193</v>
      </c>
      <c r="B182" s="4" t="s">
        <v>65</v>
      </c>
      <c r="C182" s="243">
        <v>0.01</v>
      </c>
      <c r="D182" s="243">
        <v>385685.664</v>
      </c>
      <c r="E182" s="241">
        <v>46648.0</v>
      </c>
      <c r="F182" s="241">
        <v>69972.0</v>
      </c>
      <c r="G182" s="180" t="s">
        <v>292</v>
      </c>
      <c r="H182" s="43">
        <f t="shared" si="3"/>
        <v>502305.674</v>
      </c>
    </row>
    <row r="183" spans="8:8">
      <c r="A183" s="3" t="s">
        <v>194</v>
      </c>
      <c r="B183" s="4" t="s">
        <v>65</v>
      </c>
      <c r="C183" s="243">
        <v>0.01</v>
      </c>
      <c r="D183" s="243">
        <v>410427.76320000004</v>
      </c>
      <c r="E183" s="241">
        <v>46648.0</v>
      </c>
      <c r="F183" s="241">
        <v>69972.0</v>
      </c>
      <c r="G183" s="180" t="s">
        <v>292</v>
      </c>
      <c r="H183" s="43">
        <f t="shared" si="3"/>
        <v>527047.7732</v>
      </c>
    </row>
    <row r="184" spans="8:8">
      <c r="A184" s="3" t="s">
        <v>197</v>
      </c>
      <c r="B184" s="4" t="s">
        <v>196</v>
      </c>
      <c r="C184" s="243">
        <v>0.01</v>
      </c>
      <c r="D184" s="243">
        <v>1146661.152</v>
      </c>
      <c r="E184" s="241">
        <v>46648.0</v>
      </c>
      <c r="F184" s="241">
        <v>69972.0</v>
      </c>
      <c r="G184" s="180" t="s">
        <v>292</v>
      </c>
      <c r="H184" s="43">
        <f t="shared" si="3"/>
        <v>1263281.162</v>
      </c>
    </row>
    <row r="185" spans="8:8">
      <c r="A185" s="3" t="s">
        <v>198</v>
      </c>
      <c r="B185" s="4" t="s">
        <v>196</v>
      </c>
      <c r="C185" s="243">
        <v>0.01</v>
      </c>
      <c r="D185" s="243">
        <v>1.1417751072E7</v>
      </c>
      <c r="E185" s="241">
        <v>46648.0</v>
      </c>
      <c r="F185" s="241">
        <v>69972.0</v>
      </c>
      <c r="G185" s="180" t="s">
        <v>292</v>
      </c>
      <c r="H185" s="43">
        <f t="shared" si="3"/>
        <v>1.1534371082E7</v>
      </c>
    </row>
    <row r="186" spans="8:8">
      <c r="A186" s="204" t="s">
        <v>373</v>
      </c>
      <c r="B186" s="4" t="s">
        <v>196</v>
      </c>
      <c r="C186" s="243">
        <v>0.01</v>
      </c>
      <c r="D186" s="243">
        <v>4087792.8</v>
      </c>
      <c r="E186" s="241">
        <v>46648.0</v>
      </c>
      <c r="F186" s="241">
        <v>69972.0</v>
      </c>
      <c r="G186" s="180" t="s">
        <v>292</v>
      </c>
      <c r="H186" s="43">
        <f t="shared" si="3"/>
        <v>4204412.81</v>
      </c>
      <c r="L186" s="233"/>
      <c r="M186" s="238"/>
    </row>
    <row r="187" spans="8:8">
      <c r="A187" s="3" t="s">
        <v>201</v>
      </c>
      <c r="B187" s="4" t="s">
        <v>196</v>
      </c>
      <c r="C187" s="243">
        <v>0.01</v>
      </c>
      <c r="D187" s="243">
        <v>4087792.8</v>
      </c>
      <c r="E187" s="241">
        <v>46648.0</v>
      </c>
      <c r="F187" s="241">
        <v>69972.0</v>
      </c>
      <c r="G187" s="180" t="s">
        <v>292</v>
      </c>
      <c r="H187" s="43">
        <f>SUM(D187:F187)</f>
        <v>4204412.8</v>
      </c>
    </row>
    <row r="188" spans="8:8">
      <c r="A188" s="3" t="s">
        <v>202</v>
      </c>
      <c r="B188" s="16" t="s">
        <v>196</v>
      </c>
      <c r="C188" s="243">
        <v>0.01</v>
      </c>
      <c r="D188" s="243">
        <v>4087792.8</v>
      </c>
      <c r="E188" s="241">
        <v>46648.0</v>
      </c>
      <c r="F188" s="241">
        <v>69972.0</v>
      </c>
      <c r="G188" s="180" t="s">
        <v>292</v>
      </c>
      <c r="H188" s="43">
        <f t="shared" si="4" ref="H188:H251">SUM(C188:F188)</f>
        <v>4204412.81</v>
      </c>
    </row>
    <row r="189" spans="8:8">
      <c r="A189" s="3" t="s">
        <v>203</v>
      </c>
      <c r="B189" s="4" t="s">
        <v>196</v>
      </c>
      <c r="C189" s="243">
        <v>0.01</v>
      </c>
      <c r="D189" s="243">
        <v>4087792.8</v>
      </c>
      <c r="E189" s="241">
        <v>46648.0</v>
      </c>
      <c r="F189" s="241">
        <v>69972.0</v>
      </c>
      <c r="G189" s="180" t="s">
        <v>292</v>
      </c>
      <c r="H189" s="43">
        <f t="shared" si="4"/>
        <v>4204412.81</v>
      </c>
    </row>
    <row r="190" spans="8:8">
      <c r="A190" s="3" t="s">
        <v>204</v>
      </c>
      <c r="B190" s="4" t="s">
        <v>196</v>
      </c>
      <c r="C190" s="243">
        <v>0.01</v>
      </c>
      <c r="D190" s="243">
        <v>4087792.8</v>
      </c>
      <c r="E190" s="241">
        <v>46648.0</v>
      </c>
      <c r="F190" s="241">
        <v>69972.0</v>
      </c>
      <c r="G190" s="180" t="s">
        <v>292</v>
      </c>
      <c r="H190" s="43">
        <f t="shared" si="4"/>
        <v>4204412.81</v>
      </c>
    </row>
    <row r="191" spans="8:8">
      <c r="A191" s="3" t="s">
        <v>206</v>
      </c>
      <c r="B191" s="4" t="s">
        <v>196</v>
      </c>
      <c r="C191" s="243">
        <v>0.01</v>
      </c>
      <c r="D191" s="243">
        <v>4087792.8</v>
      </c>
      <c r="E191" s="241">
        <v>46648.0</v>
      </c>
      <c r="F191" s="241">
        <v>69972.0</v>
      </c>
      <c r="G191" s="180" t="s">
        <v>292</v>
      </c>
      <c r="H191" s="43">
        <f t="shared" si="4"/>
        <v>4204412.81</v>
      </c>
    </row>
    <row r="192" spans="8:8">
      <c r="A192" s="3" t="s">
        <v>207</v>
      </c>
      <c r="B192" s="4" t="s">
        <v>196</v>
      </c>
      <c r="C192" s="243">
        <v>0.01</v>
      </c>
      <c r="D192" s="243">
        <v>4087792.8</v>
      </c>
      <c r="E192" s="241">
        <v>46648.0</v>
      </c>
      <c r="F192" s="241">
        <v>69972.0</v>
      </c>
      <c r="G192" s="180" t="s">
        <v>292</v>
      </c>
      <c r="H192" s="43">
        <f t="shared" si="4"/>
        <v>4204412.81</v>
      </c>
    </row>
    <row r="193" spans="8:8">
      <c r="A193" s="3" t="s">
        <v>208</v>
      </c>
      <c r="B193" s="4" t="s">
        <v>196</v>
      </c>
      <c r="C193" s="243">
        <v>0.01</v>
      </c>
      <c r="D193" s="243">
        <v>4087792.8</v>
      </c>
      <c r="E193" s="241">
        <v>46648.0</v>
      </c>
      <c r="F193" s="241">
        <v>69972.0</v>
      </c>
      <c r="G193" s="180" t="s">
        <v>292</v>
      </c>
      <c r="H193" s="43">
        <f t="shared" si="4"/>
        <v>4204412.81</v>
      </c>
    </row>
    <row r="194" spans="8:8">
      <c r="A194" s="3" t="s">
        <v>209</v>
      </c>
      <c r="B194" s="4" t="s">
        <v>196</v>
      </c>
      <c r="C194" s="243">
        <v>0.01</v>
      </c>
      <c r="D194" s="243">
        <v>4087792.8</v>
      </c>
      <c r="E194" s="241">
        <v>46648.0</v>
      </c>
      <c r="F194" s="241">
        <v>69972.0</v>
      </c>
      <c r="G194" s="180" t="s">
        <v>292</v>
      </c>
      <c r="H194" s="43">
        <f t="shared" si="4"/>
        <v>4204412.81</v>
      </c>
    </row>
    <row r="195" spans="8:8">
      <c r="A195" s="3" t="s">
        <v>210</v>
      </c>
      <c r="B195" s="4" t="s">
        <v>196</v>
      </c>
      <c r="C195" s="243">
        <v>0.01</v>
      </c>
      <c r="D195" s="243">
        <v>4087792.8</v>
      </c>
      <c r="E195" s="241">
        <v>46648.0</v>
      </c>
      <c r="F195" s="241">
        <v>69972.0</v>
      </c>
      <c r="G195" s="180" t="s">
        <v>292</v>
      </c>
      <c r="H195" s="43">
        <f t="shared" si="4"/>
        <v>4204412.81</v>
      </c>
    </row>
    <row r="196" spans="8:8">
      <c r="A196" s="3" t="s">
        <v>211</v>
      </c>
      <c r="B196" s="4" t="s">
        <v>196</v>
      </c>
      <c r="C196" s="243">
        <v>0.01</v>
      </c>
      <c r="D196" s="243">
        <v>4087792.8</v>
      </c>
      <c r="E196" s="241">
        <v>46648.0</v>
      </c>
      <c r="F196" s="241">
        <v>69972.0</v>
      </c>
      <c r="G196" s="180" t="s">
        <v>292</v>
      </c>
      <c r="H196" s="43">
        <f t="shared" si="4"/>
        <v>4204412.81</v>
      </c>
    </row>
    <row r="197" spans="8:8">
      <c r="A197" s="3" t="s">
        <v>212</v>
      </c>
      <c r="B197" s="4" t="s">
        <v>196</v>
      </c>
      <c r="C197" s="243">
        <v>0.01</v>
      </c>
      <c r="D197" s="243">
        <v>4087792.8</v>
      </c>
      <c r="E197" s="241">
        <v>46648.0</v>
      </c>
      <c r="F197" s="241">
        <v>69972.0</v>
      </c>
      <c r="G197" s="180" t="s">
        <v>292</v>
      </c>
      <c r="H197" s="43">
        <f t="shared" si="4"/>
        <v>4204412.81</v>
      </c>
    </row>
    <row r="198" spans="8:8">
      <c r="A198" s="3" t="s">
        <v>214</v>
      </c>
      <c r="B198" s="4" t="s">
        <v>196</v>
      </c>
      <c r="C198" s="243">
        <v>0.01</v>
      </c>
      <c r="D198" s="243">
        <v>4087792.8</v>
      </c>
      <c r="E198" s="241">
        <v>46648.0</v>
      </c>
      <c r="F198" s="241">
        <v>69972.0</v>
      </c>
      <c r="G198" s="180" t="s">
        <v>292</v>
      </c>
      <c r="H198" s="43">
        <f t="shared" si="4"/>
        <v>4204412.81</v>
      </c>
    </row>
    <row r="199" spans="8:8">
      <c r="A199" s="3" t="s">
        <v>215</v>
      </c>
      <c r="B199" s="4" t="s">
        <v>196</v>
      </c>
      <c r="C199" s="243">
        <v>0.01</v>
      </c>
      <c r="D199" s="243">
        <v>4087792.8</v>
      </c>
      <c r="E199" s="241">
        <v>46648.0</v>
      </c>
      <c r="F199" s="241">
        <v>69972.0</v>
      </c>
      <c r="G199" s="180" t="s">
        <v>292</v>
      </c>
      <c r="H199" s="43">
        <f t="shared" si="4"/>
        <v>4204412.81</v>
      </c>
    </row>
    <row r="200" spans="8:8">
      <c r="A200" s="3" t="s">
        <v>216</v>
      </c>
      <c r="B200" s="4" t="s">
        <v>196</v>
      </c>
      <c r="C200" s="243">
        <v>0.01</v>
      </c>
      <c r="D200" s="243">
        <v>4087792.8</v>
      </c>
      <c r="E200" s="241">
        <v>46648.0</v>
      </c>
      <c r="F200" s="241">
        <v>69972.0</v>
      </c>
      <c r="G200" s="180" t="s">
        <v>292</v>
      </c>
      <c r="H200" s="43">
        <f t="shared" si="4"/>
        <v>4204412.81</v>
      </c>
    </row>
    <row r="201" spans="8:8">
      <c r="A201" s="3" t="s">
        <v>217</v>
      </c>
      <c r="B201" s="4" t="s">
        <v>196</v>
      </c>
      <c r="C201" s="243">
        <v>0.01</v>
      </c>
      <c r="D201" s="243">
        <v>4087792.8</v>
      </c>
      <c r="E201" s="241">
        <v>46648.0</v>
      </c>
      <c r="F201" s="241">
        <v>69972.0</v>
      </c>
      <c r="G201" s="180" t="s">
        <v>292</v>
      </c>
      <c r="H201" s="43">
        <f t="shared" si="4"/>
        <v>4204412.81</v>
      </c>
    </row>
    <row r="202" spans="8:8">
      <c r="A202" s="3" t="s">
        <v>218</v>
      </c>
      <c r="B202" s="4" t="s">
        <v>196</v>
      </c>
      <c r="C202" s="243">
        <v>0.01</v>
      </c>
      <c r="D202" s="243">
        <v>4087792.8</v>
      </c>
      <c r="E202" s="241">
        <v>46648.0</v>
      </c>
      <c r="F202" s="241">
        <v>69972.0</v>
      </c>
      <c r="G202" s="180" t="s">
        <v>292</v>
      </c>
      <c r="H202" s="43">
        <f t="shared" si="4"/>
        <v>4204412.81</v>
      </c>
    </row>
    <row r="203" spans="8:8">
      <c r="A203" s="3" t="s">
        <v>219</v>
      </c>
      <c r="B203" s="4" t="s">
        <v>196</v>
      </c>
      <c r="C203" s="243">
        <v>0.01</v>
      </c>
      <c r="D203" s="243">
        <v>4087792.8</v>
      </c>
      <c r="E203" s="241">
        <v>46648.0</v>
      </c>
      <c r="F203" s="241">
        <v>69972.0</v>
      </c>
      <c r="G203" s="180" t="s">
        <v>292</v>
      </c>
      <c r="H203" s="43">
        <f t="shared" si="4"/>
        <v>4204412.81</v>
      </c>
    </row>
    <row r="204" spans="8:8">
      <c r="A204" s="3" t="s">
        <v>220</v>
      </c>
      <c r="B204" s="4" t="s">
        <v>196</v>
      </c>
      <c r="C204" s="243">
        <v>0.01</v>
      </c>
      <c r="D204" s="243">
        <v>4087792.8</v>
      </c>
      <c r="E204" s="241">
        <v>46648.0</v>
      </c>
      <c r="F204" s="241">
        <v>69972.0</v>
      </c>
      <c r="G204" s="180" t="s">
        <v>292</v>
      </c>
      <c r="H204" s="43">
        <f t="shared" si="4"/>
        <v>4204412.81</v>
      </c>
    </row>
    <row r="205" spans="8:8">
      <c r="A205" s="18" t="s">
        <v>374</v>
      </c>
      <c r="B205" s="4" t="s">
        <v>196</v>
      </c>
      <c r="C205" s="243">
        <v>0.01</v>
      </c>
      <c r="D205" s="243">
        <v>4087792.8</v>
      </c>
      <c r="E205" s="241">
        <v>46648.0</v>
      </c>
      <c r="F205" s="241">
        <v>69972.0</v>
      </c>
      <c r="G205" s="180" t="s">
        <v>292</v>
      </c>
      <c r="H205" s="43">
        <f t="shared" si="4"/>
        <v>4204412.81</v>
      </c>
    </row>
    <row r="206" spans="8:8">
      <c r="A206" s="14" t="s">
        <v>375</v>
      </c>
      <c r="B206" s="4" t="s">
        <v>196</v>
      </c>
      <c r="C206" s="243">
        <v>0.01</v>
      </c>
      <c r="D206" s="243">
        <v>8175585.6</v>
      </c>
      <c r="E206" s="241">
        <v>46648.0</v>
      </c>
      <c r="F206" s="241">
        <v>69972.0</v>
      </c>
      <c r="G206" s="180" t="s">
        <v>292</v>
      </c>
      <c r="H206" s="43">
        <f t="shared" si="4"/>
        <v>8292205.609999999</v>
      </c>
    </row>
    <row r="207" spans="8:8">
      <c r="A207" s="3" t="s">
        <v>223</v>
      </c>
      <c r="B207" s="4" t="s">
        <v>196</v>
      </c>
      <c r="C207" s="243">
        <v>0.01</v>
      </c>
      <c r="D207" s="243">
        <v>4087792.8</v>
      </c>
      <c r="E207" s="241">
        <v>46648.0</v>
      </c>
      <c r="F207" s="241">
        <v>69972.0</v>
      </c>
      <c r="G207" s="180" t="s">
        <v>292</v>
      </c>
      <c r="H207" s="43">
        <f t="shared" si="4"/>
        <v>4204412.81</v>
      </c>
    </row>
    <row r="208" spans="8:8">
      <c r="A208" s="3" t="s">
        <v>224</v>
      </c>
      <c r="B208" s="4" t="s">
        <v>196</v>
      </c>
      <c r="C208" s="243">
        <v>0.01</v>
      </c>
      <c r="D208" s="243">
        <v>4087792.8</v>
      </c>
      <c r="E208" s="241">
        <v>46648.0</v>
      </c>
      <c r="F208" s="241">
        <v>69972.0</v>
      </c>
      <c r="G208" s="180" t="s">
        <v>292</v>
      </c>
      <c r="H208" s="43">
        <f t="shared" si="4"/>
        <v>4204412.81</v>
      </c>
    </row>
    <row r="209" spans="8:8">
      <c r="A209" s="3" t="s">
        <v>225</v>
      </c>
      <c r="B209" s="4" t="s">
        <v>196</v>
      </c>
      <c r="C209" s="243">
        <v>0.01</v>
      </c>
      <c r="D209" s="243">
        <v>4087792.8</v>
      </c>
      <c r="E209" s="241">
        <v>46648.0</v>
      </c>
      <c r="F209" s="241">
        <v>69972.0</v>
      </c>
      <c r="G209" s="180" t="s">
        <v>292</v>
      </c>
      <c r="H209" s="43">
        <f t="shared" si="4"/>
        <v>4204412.81</v>
      </c>
    </row>
    <row r="210" spans="8:8">
      <c r="A210" s="14" t="s">
        <v>376</v>
      </c>
      <c r="B210" s="4" t="s">
        <v>196</v>
      </c>
      <c r="C210" s="243">
        <v>0.01</v>
      </c>
      <c r="D210" s="243">
        <v>5372421.6</v>
      </c>
      <c r="E210" s="241">
        <v>46648.0</v>
      </c>
      <c r="F210" s="241">
        <v>69972.0</v>
      </c>
      <c r="G210" s="180" t="s">
        <v>292</v>
      </c>
      <c r="H210" s="43">
        <f t="shared" si="4"/>
        <v>5489041.609999999</v>
      </c>
    </row>
    <row r="211" spans="8:8">
      <c r="A211" s="3" t="s">
        <v>228</v>
      </c>
      <c r="B211" s="4" t="s">
        <v>196</v>
      </c>
      <c r="C211" s="243">
        <v>0.01</v>
      </c>
      <c r="D211" s="243">
        <v>4087792.8</v>
      </c>
      <c r="E211" s="241">
        <v>46648.0</v>
      </c>
      <c r="F211" s="241">
        <v>69972.0</v>
      </c>
      <c r="G211" s="180" t="s">
        <v>292</v>
      </c>
      <c r="H211" s="43">
        <f t="shared" si="4"/>
        <v>4204412.81</v>
      </c>
    </row>
    <row r="212" spans="8:8">
      <c r="A212" s="3" t="s">
        <v>229</v>
      </c>
      <c r="B212" s="4" t="s">
        <v>196</v>
      </c>
      <c r="C212" s="243">
        <v>0.01</v>
      </c>
      <c r="D212" s="243">
        <v>4087792.8</v>
      </c>
      <c r="E212" s="241">
        <v>46648.0</v>
      </c>
      <c r="F212" s="241">
        <v>69972.0</v>
      </c>
      <c r="G212" s="180" t="s">
        <v>292</v>
      </c>
      <c r="H212" s="43">
        <f t="shared" si="4"/>
        <v>4204412.81</v>
      </c>
    </row>
    <row r="213" spans="8:8">
      <c r="A213" s="3" t="s">
        <v>230</v>
      </c>
      <c r="B213" s="4" t="s">
        <v>196</v>
      </c>
      <c r="C213" s="243">
        <v>0.01</v>
      </c>
      <c r="D213" s="243">
        <v>4087792.8</v>
      </c>
      <c r="E213" s="241">
        <v>46648.0</v>
      </c>
      <c r="F213" s="241">
        <v>69972.0</v>
      </c>
      <c r="G213" s="180" t="s">
        <v>292</v>
      </c>
      <c r="H213" s="43">
        <f t="shared" si="4"/>
        <v>4204412.81</v>
      </c>
    </row>
    <row r="214" spans="8:8">
      <c r="A214" s="3" t="s">
        <v>231</v>
      </c>
      <c r="B214" s="4" t="s">
        <v>196</v>
      </c>
      <c r="C214" s="243">
        <v>0.01</v>
      </c>
      <c r="D214" s="243">
        <v>4087792.8</v>
      </c>
      <c r="E214" s="241">
        <v>46648.0</v>
      </c>
      <c r="F214" s="241">
        <v>69972.0</v>
      </c>
      <c r="G214" s="180" t="s">
        <v>292</v>
      </c>
      <c r="H214" s="43">
        <f t="shared" si="4"/>
        <v>4204412.81</v>
      </c>
    </row>
    <row r="215" spans="8:8">
      <c r="A215" s="3" t="s">
        <v>232</v>
      </c>
      <c r="B215" s="4" t="s">
        <v>196</v>
      </c>
      <c r="C215" s="243">
        <v>0.01</v>
      </c>
      <c r="D215" s="243">
        <v>4087792.8</v>
      </c>
      <c r="E215" s="241">
        <v>46648.0</v>
      </c>
      <c r="F215" s="241">
        <v>69972.0</v>
      </c>
      <c r="G215" s="180" t="s">
        <v>292</v>
      </c>
      <c r="H215" s="43">
        <f t="shared" si="4"/>
        <v>4204412.81</v>
      </c>
    </row>
    <row r="216" spans="8:8">
      <c r="A216" s="3" t="s">
        <v>233</v>
      </c>
      <c r="B216" s="4" t="s">
        <v>196</v>
      </c>
      <c r="C216" s="243">
        <v>0.01</v>
      </c>
      <c r="D216" s="243">
        <v>4087792.8</v>
      </c>
      <c r="E216" s="241">
        <v>46648.0</v>
      </c>
      <c r="F216" s="241">
        <v>69972.0</v>
      </c>
      <c r="G216" s="180" t="s">
        <v>292</v>
      </c>
      <c r="H216" s="43">
        <f t="shared" si="4"/>
        <v>4204412.81</v>
      </c>
    </row>
    <row r="217" spans="8:8">
      <c r="A217" s="3" t="s">
        <v>234</v>
      </c>
      <c r="B217" s="4" t="s">
        <v>196</v>
      </c>
      <c r="C217" s="243">
        <v>0.01</v>
      </c>
      <c r="D217" s="243">
        <v>4087792.8</v>
      </c>
      <c r="E217" s="241">
        <v>46648.0</v>
      </c>
      <c r="F217" s="241">
        <v>69972.0</v>
      </c>
      <c r="G217" s="180" t="s">
        <v>292</v>
      </c>
      <c r="H217" s="43">
        <f t="shared" si="4"/>
        <v>4204412.81</v>
      </c>
    </row>
    <row r="218" spans="8:8">
      <c r="A218" s="3" t="s">
        <v>235</v>
      </c>
      <c r="B218" s="4" t="s">
        <v>196</v>
      </c>
      <c r="C218" s="243">
        <v>0.01</v>
      </c>
      <c r="D218" s="243">
        <v>4087792.8</v>
      </c>
      <c r="E218" s="241">
        <v>46648.0</v>
      </c>
      <c r="F218" s="241">
        <v>69972.0</v>
      </c>
      <c r="G218" s="180" t="s">
        <v>292</v>
      </c>
      <c r="H218" s="43">
        <f t="shared" si="4"/>
        <v>4204412.81</v>
      </c>
    </row>
    <row r="219" spans="8:8">
      <c r="A219" s="3" t="s">
        <v>236</v>
      </c>
      <c r="B219" s="4" t="s">
        <v>196</v>
      </c>
      <c r="C219" s="243">
        <v>0.01</v>
      </c>
      <c r="D219" s="243">
        <v>4087792.8</v>
      </c>
      <c r="E219" s="241">
        <v>46648.0</v>
      </c>
      <c r="F219" s="241">
        <v>69972.0</v>
      </c>
      <c r="G219" s="180" t="s">
        <v>292</v>
      </c>
      <c r="H219" s="43">
        <f t="shared" si="4"/>
        <v>4204412.81</v>
      </c>
    </row>
    <row r="220" spans="8:8">
      <c r="A220" s="3" t="s">
        <v>237</v>
      </c>
      <c r="B220" s="4" t="s">
        <v>196</v>
      </c>
      <c r="C220" s="243">
        <v>0.01</v>
      </c>
      <c r="D220" s="243">
        <v>4087792.8</v>
      </c>
      <c r="E220" s="241">
        <v>46648.0</v>
      </c>
      <c r="F220" s="241">
        <v>69972.0</v>
      </c>
      <c r="G220" s="180" t="s">
        <v>292</v>
      </c>
      <c r="H220" s="43">
        <f t="shared" si="4"/>
        <v>4204412.81</v>
      </c>
    </row>
    <row r="221" spans="8:8">
      <c r="A221" s="3" t="s">
        <v>238</v>
      </c>
      <c r="B221" s="4" t="s">
        <v>196</v>
      </c>
      <c r="C221" s="243">
        <v>0.01</v>
      </c>
      <c r="D221" s="243">
        <v>4087792.8</v>
      </c>
      <c r="E221" s="241">
        <v>46648.0</v>
      </c>
      <c r="F221" s="241">
        <v>69972.0</v>
      </c>
      <c r="G221" s="180" t="s">
        <v>292</v>
      </c>
      <c r="H221" s="43">
        <f t="shared" si="4"/>
        <v>4204412.81</v>
      </c>
    </row>
    <row r="222" spans="8:8">
      <c r="A222" s="3" t="s">
        <v>239</v>
      </c>
      <c r="B222" s="4" t="s">
        <v>196</v>
      </c>
      <c r="C222" s="243">
        <v>0.01</v>
      </c>
      <c r="D222" s="243">
        <v>4087792.8</v>
      </c>
      <c r="E222" s="241">
        <v>46648.0</v>
      </c>
      <c r="F222" s="241">
        <v>69972.0</v>
      </c>
      <c r="G222" s="180" t="s">
        <v>292</v>
      </c>
      <c r="H222" s="43">
        <f t="shared" si="4"/>
        <v>4204412.81</v>
      </c>
    </row>
    <row r="223" spans="8:8">
      <c r="A223" s="3" t="s">
        <v>240</v>
      </c>
      <c r="B223" s="4" t="s">
        <v>196</v>
      </c>
      <c r="C223" s="243">
        <v>0.01</v>
      </c>
      <c r="D223" s="243">
        <v>4087792.8</v>
      </c>
      <c r="E223" s="241">
        <v>46648.0</v>
      </c>
      <c r="F223" s="241">
        <v>69972.0</v>
      </c>
      <c r="G223" s="180" t="s">
        <v>292</v>
      </c>
      <c r="H223" s="43">
        <f t="shared" si="4"/>
        <v>4204412.81</v>
      </c>
    </row>
    <row r="224" spans="8:8">
      <c r="A224" s="3" t="s">
        <v>241</v>
      </c>
      <c r="B224" s="16" t="s">
        <v>196</v>
      </c>
      <c r="C224" s="243">
        <v>0.01</v>
      </c>
      <c r="D224" s="243">
        <v>4087792.8</v>
      </c>
      <c r="E224" s="241">
        <v>46648.0</v>
      </c>
      <c r="F224" s="241">
        <v>69972.0</v>
      </c>
      <c r="G224" s="180" t="s">
        <v>292</v>
      </c>
      <c r="H224" s="43">
        <f t="shared" si="4"/>
        <v>4204412.81</v>
      </c>
    </row>
    <row r="225" spans="8:8">
      <c r="A225" s="3" t="s">
        <v>242</v>
      </c>
      <c r="B225" s="4" t="s">
        <v>196</v>
      </c>
      <c r="C225" s="243">
        <v>0.01</v>
      </c>
      <c r="D225" s="243">
        <v>4087792.8</v>
      </c>
      <c r="E225" s="241">
        <v>46648.0</v>
      </c>
      <c r="F225" s="241">
        <v>69972.0</v>
      </c>
      <c r="G225" s="180" t="s">
        <v>292</v>
      </c>
      <c r="H225" s="43">
        <f t="shared" si="4"/>
        <v>4204412.81</v>
      </c>
    </row>
    <row r="226" spans="8:8">
      <c r="A226" s="3" t="s">
        <v>243</v>
      </c>
      <c r="B226" s="4" t="s">
        <v>196</v>
      </c>
      <c r="C226" s="243">
        <v>0.01</v>
      </c>
      <c r="D226" s="243">
        <v>4087792.8</v>
      </c>
      <c r="E226" s="241">
        <v>46648.0</v>
      </c>
      <c r="F226" s="241">
        <v>69972.0</v>
      </c>
      <c r="G226" s="180" t="s">
        <v>292</v>
      </c>
      <c r="H226" s="43">
        <f t="shared" si="4"/>
        <v>4204412.81</v>
      </c>
      <c r="I226" s="49"/>
    </row>
    <row r="227" spans="8:8" s="49" ht="15.0" customFormat="1">
      <c r="A227" s="3" t="s">
        <v>244</v>
      </c>
      <c r="B227" s="4" t="s">
        <v>196</v>
      </c>
      <c r="C227" s="243">
        <v>0.01</v>
      </c>
      <c r="D227" s="243">
        <v>4087792.8</v>
      </c>
      <c r="E227" s="241">
        <v>46648.0</v>
      </c>
      <c r="F227" s="241">
        <v>69972.0</v>
      </c>
      <c r="G227" s="180" t="s">
        <v>292</v>
      </c>
      <c r="H227" s="241">
        <f t="shared" si="4"/>
        <v>4204412.81</v>
      </c>
      <c r="I227" s="39"/>
    </row>
    <row r="228" spans="8:8">
      <c r="A228" s="3" t="s">
        <v>246</v>
      </c>
      <c r="B228" s="4" t="s">
        <v>196</v>
      </c>
      <c r="C228" s="243">
        <v>0.01</v>
      </c>
      <c r="D228" s="243">
        <v>4087792.8</v>
      </c>
      <c r="E228" s="241">
        <v>46648.0</v>
      </c>
      <c r="F228" s="241">
        <v>69972.0</v>
      </c>
      <c r="G228" s="180" t="s">
        <v>292</v>
      </c>
      <c r="H228" s="43">
        <f t="shared" si="4"/>
        <v>4204412.81</v>
      </c>
    </row>
    <row r="229" spans="8:8">
      <c r="A229" s="3" t="s">
        <v>247</v>
      </c>
      <c r="B229" s="4" t="s">
        <v>196</v>
      </c>
      <c r="C229" s="243">
        <v>0.01</v>
      </c>
      <c r="D229" s="243">
        <v>4087792.8</v>
      </c>
      <c r="E229" s="241">
        <v>46648.0</v>
      </c>
      <c r="F229" s="241">
        <v>69972.0</v>
      </c>
      <c r="G229" s="180" t="s">
        <v>292</v>
      </c>
      <c r="H229" s="43">
        <f t="shared" si="4"/>
        <v>4204412.81</v>
      </c>
    </row>
    <row r="230" spans="8:8">
      <c r="A230" s="3" t="s">
        <v>248</v>
      </c>
      <c r="B230" s="4" t="s">
        <v>196</v>
      </c>
      <c r="C230" s="243">
        <v>0.01</v>
      </c>
      <c r="D230" s="243">
        <v>4087792.8</v>
      </c>
      <c r="E230" s="241">
        <v>46648.0</v>
      </c>
      <c r="F230" s="241">
        <v>69972.0</v>
      </c>
      <c r="G230" s="180" t="s">
        <v>292</v>
      </c>
      <c r="H230" s="43">
        <f t="shared" si="4"/>
        <v>4204412.81</v>
      </c>
    </row>
    <row r="231" spans="8:8">
      <c r="A231" s="3" t="s">
        <v>249</v>
      </c>
      <c r="B231" s="4" t="s">
        <v>196</v>
      </c>
      <c r="C231" s="243">
        <v>0.01</v>
      </c>
      <c r="D231" s="243">
        <v>4087792.8</v>
      </c>
      <c r="E231" s="241">
        <v>46648.0</v>
      </c>
      <c r="F231" s="241">
        <v>69972.0</v>
      </c>
      <c r="G231" s="180" t="s">
        <v>292</v>
      </c>
      <c r="H231" s="43">
        <f t="shared" si="4"/>
        <v>4204412.81</v>
      </c>
    </row>
    <row r="232" spans="8:8">
      <c r="A232" s="3" t="s">
        <v>250</v>
      </c>
      <c r="B232" s="4" t="s">
        <v>196</v>
      </c>
      <c r="C232" s="243">
        <v>0.01</v>
      </c>
      <c r="D232" s="243">
        <v>4087792.8</v>
      </c>
      <c r="E232" s="241">
        <v>46648.0</v>
      </c>
      <c r="F232" s="241">
        <v>69972.0</v>
      </c>
      <c r="G232" s="180" t="s">
        <v>292</v>
      </c>
      <c r="H232" s="43">
        <f t="shared" si="4"/>
        <v>4204412.81</v>
      </c>
    </row>
    <row r="233" spans="8:8">
      <c r="A233" s="3" t="s">
        <v>251</v>
      </c>
      <c r="B233" s="4" t="s">
        <v>196</v>
      </c>
      <c r="C233" s="243">
        <v>0.01</v>
      </c>
      <c r="D233" s="243">
        <v>4087792.8</v>
      </c>
      <c r="E233" s="241">
        <v>46648.0</v>
      </c>
      <c r="F233" s="241">
        <v>69972.0</v>
      </c>
      <c r="G233" s="180" t="s">
        <v>292</v>
      </c>
      <c r="H233" s="43">
        <f t="shared" si="4"/>
        <v>4204412.81</v>
      </c>
    </row>
    <row r="234" spans="8:8">
      <c r="A234" s="3" t="s">
        <v>252</v>
      </c>
      <c r="B234" s="4" t="s">
        <v>196</v>
      </c>
      <c r="C234" s="243">
        <v>0.01</v>
      </c>
      <c r="D234" s="243">
        <v>4087792.8</v>
      </c>
      <c r="E234" s="241">
        <v>46648.0</v>
      </c>
      <c r="F234" s="241">
        <v>69972.0</v>
      </c>
      <c r="G234" s="180" t="s">
        <v>292</v>
      </c>
      <c r="H234" s="43">
        <f t="shared" si="4"/>
        <v>4204412.81</v>
      </c>
    </row>
    <row r="235" spans="8:8">
      <c r="A235" s="14" t="s">
        <v>377</v>
      </c>
      <c r="B235" s="4" t="s">
        <v>196</v>
      </c>
      <c r="C235" s="243">
        <v>0.01</v>
      </c>
      <c r="D235" s="243">
        <v>4087792.8</v>
      </c>
      <c r="E235" s="241">
        <v>46648.0</v>
      </c>
      <c r="F235" s="241">
        <v>69972.0</v>
      </c>
      <c r="G235" s="180" t="s">
        <v>292</v>
      </c>
      <c r="H235" s="43">
        <f t="shared" si="4"/>
        <v>4204412.81</v>
      </c>
    </row>
    <row r="236" spans="8:8">
      <c r="A236" s="3" t="s">
        <v>254</v>
      </c>
      <c r="B236" s="4" t="s">
        <v>196</v>
      </c>
      <c r="C236" s="243">
        <v>0.01</v>
      </c>
      <c r="D236" s="243">
        <v>4087792.8</v>
      </c>
      <c r="E236" s="241">
        <v>46648.0</v>
      </c>
      <c r="F236" s="241">
        <v>69972.0</v>
      </c>
      <c r="G236" s="180" t="s">
        <v>292</v>
      </c>
      <c r="H236" s="43">
        <f t="shared" si="4"/>
        <v>4204412.81</v>
      </c>
    </row>
    <row r="237" spans="8:8">
      <c r="A237" s="3" t="s">
        <v>255</v>
      </c>
      <c r="B237" s="4" t="s">
        <v>196</v>
      </c>
      <c r="C237" s="243">
        <v>0.01</v>
      </c>
      <c r="D237" s="243">
        <v>4087792.8</v>
      </c>
      <c r="E237" s="241">
        <v>46648.0</v>
      </c>
      <c r="F237" s="241">
        <v>69972.0</v>
      </c>
      <c r="G237" s="180" t="s">
        <v>292</v>
      </c>
      <c r="H237" s="43">
        <f t="shared" si="4"/>
        <v>4204412.81</v>
      </c>
    </row>
    <row r="238" spans="8:8">
      <c r="A238" s="3" t="s">
        <v>256</v>
      </c>
      <c r="B238" s="4" t="s">
        <v>196</v>
      </c>
      <c r="C238" s="243">
        <v>0.01</v>
      </c>
      <c r="D238" s="243">
        <v>4087792.8</v>
      </c>
      <c r="E238" s="241">
        <v>46648.0</v>
      </c>
      <c r="F238" s="241">
        <v>69972.0</v>
      </c>
      <c r="G238" s="180" t="s">
        <v>292</v>
      </c>
      <c r="H238" s="43">
        <f t="shared" si="4"/>
        <v>4204412.81</v>
      </c>
    </row>
    <row r="239" spans="8:8">
      <c r="A239" s="3" t="s">
        <v>257</v>
      </c>
      <c r="B239" s="4" t="s">
        <v>196</v>
      </c>
      <c r="C239" s="243">
        <v>0.01</v>
      </c>
      <c r="D239" s="243">
        <v>4087792.8</v>
      </c>
      <c r="E239" s="241">
        <v>46648.0</v>
      </c>
      <c r="F239" s="241">
        <v>69972.0</v>
      </c>
      <c r="G239" s="180" t="s">
        <v>292</v>
      </c>
      <c r="H239" s="43">
        <f t="shared" si="4"/>
        <v>4204412.81</v>
      </c>
    </row>
    <row r="240" spans="8:8">
      <c r="A240" s="3" t="s">
        <v>258</v>
      </c>
      <c r="B240" s="4" t="s">
        <v>196</v>
      </c>
      <c r="C240" s="243">
        <v>0.01</v>
      </c>
      <c r="D240" s="243">
        <v>4087792.8</v>
      </c>
      <c r="E240" s="241">
        <v>46648.0</v>
      </c>
      <c r="F240" s="241">
        <v>69972.0</v>
      </c>
      <c r="G240" s="180" t="s">
        <v>292</v>
      </c>
      <c r="H240" s="43">
        <f t="shared" si="4"/>
        <v>4204412.81</v>
      </c>
    </row>
    <row r="241" spans="8:8">
      <c r="A241" s="3" t="s">
        <v>259</v>
      </c>
      <c r="B241" s="4" t="s">
        <v>196</v>
      </c>
      <c r="C241" s="243">
        <v>0.01</v>
      </c>
      <c r="D241" s="243">
        <v>4087792.8</v>
      </c>
      <c r="E241" s="241">
        <v>46648.0</v>
      </c>
      <c r="F241" s="241">
        <v>69972.0</v>
      </c>
      <c r="G241" s="180" t="s">
        <v>292</v>
      </c>
      <c r="H241" s="43">
        <f t="shared" si="4"/>
        <v>4204412.81</v>
      </c>
    </row>
    <row r="242" spans="8:8">
      <c r="A242" s="3" t="s">
        <v>260</v>
      </c>
      <c r="B242" s="4" t="s">
        <v>196</v>
      </c>
      <c r="C242" s="243">
        <v>0.01</v>
      </c>
      <c r="D242" s="243">
        <v>4087792.8</v>
      </c>
      <c r="E242" s="241">
        <v>46648.0</v>
      </c>
      <c r="F242" s="241">
        <v>69972.0</v>
      </c>
      <c r="G242" s="180" t="s">
        <v>292</v>
      </c>
      <c r="H242" s="43">
        <f t="shared" si="4"/>
        <v>4204412.81</v>
      </c>
    </row>
    <row r="243" spans="8:8">
      <c r="A243" s="3" t="s">
        <v>262</v>
      </c>
      <c r="B243" s="4" t="s">
        <v>196</v>
      </c>
      <c r="C243" s="243">
        <v>0.01</v>
      </c>
      <c r="D243" s="243">
        <v>4905351.359999999</v>
      </c>
      <c r="E243" s="241">
        <v>46648.0</v>
      </c>
      <c r="F243" s="241">
        <v>69972.0</v>
      </c>
      <c r="G243" s="180" t="s">
        <v>292</v>
      </c>
      <c r="H243" s="43">
        <f t="shared" si="4"/>
        <v>5021971.369999999</v>
      </c>
    </row>
    <row r="244" spans="8:8">
      <c r="A244" s="3" t="s">
        <v>265</v>
      </c>
      <c r="B244" s="4" t="s">
        <v>196</v>
      </c>
      <c r="C244" s="243">
        <v>0.01</v>
      </c>
      <c r="D244" s="243">
        <v>4087792.8</v>
      </c>
      <c r="E244" s="241">
        <v>46648.0</v>
      </c>
      <c r="F244" s="241">
        <v>69972.0</v>
      </c>
      <c r="G244" s="180" t="s">
        <v>292</v>
      </c>
      <c r="H244" s="43">
        <f t="shared" si="4"/>
        <v>4204412.81</v>
      </c>
    </row>
    <row r="245" spans="8:8">
      <c r="A245" s="3" t="s">
        <v>266</v>
      </c>
      <c r="B245" s="4" t="s">
        <v>196</v>
      </c>
      <c r="C245" s="243">
        <v>0.01</v>
      </c>
      <c r="D245" s="243">
        <v>4087792.8</v>
      </c>
      <c r="E245" s="241">
        <v>46648.0</v>
      </c>
      <c r="F245" s="241">
        <v>69972.0</v>
      </c>
      <c r="G245" s="180" t="s">
        <v>292</v>
      </c>
      <c r="H245" s="43">
        <f t="shared" si="4"/>
        <v>4204412.81</v>
      </c>
    </row>
    <row r="246" spans="8:8">
      <c r="A246" s="3" t="s">
        <v>267</v>
      </c>
      <c r="B246" s="4" t="s">
        <v>196</v>
      </c>
      <c r="C246" s="243">
        <v>0.01</v>
      </c>
      <c r="D246" s="243">
        <v>4087792.8</v>
      </c>
      <c r="E246" s="241">
        <v>46648.0</v>
      </c>
      <c r="F246" s="241">
        <v>69972.0</v>
      </c>
      <c r="G246" s="180" t="s">
        <v>292</v>
      </c>
      <c r="H246" s="43">
        <f t="shared" si="4"/>
        <v>4204412.81</v>
      </c>
    </row>
    <row r="247" spans="8:8">
      <c r="A247" s="3" t="s">
        <v>268</v>
      </c>
      <c r="B247" s="4" t="s">
        <v>196</v>
      </c>
      <c r="C247" s="243">
        <v>0.01</v>
      </c>
      <c r="D247" s="243">
        <v>4087792.8</v>
      </c>
      <c r="E247" s="241">
        <v>46648.0</v>
      </c>
      <c r="F247" s="241">
        <v>69972.0</v>
      </c>
      <c r="G247" s="180" t="s">
        <v>292</v>
      </c>
      <c r="H247" s="43">
        <f t="shared" si="4"/>
        <v>4204412.81</v>
      </c>
    </row>
    <row r="248" spans="8:8">
      <c r="A248" s="3" t="s">
        <v>269</v>
      </c>
      <c r="B248" s="4" t="s">
        <v>196</v>
      </c>
      <c r="C248" s="243">
        <v>0.01</v>
      </c>
      <c r="D248" s="243">
        <v>4087792.8</v>
      </c>
      <c r="E248" s="241">
        <v>46648.0</v>
      </c>
      <c r="F248" s="241">
        <v>69972.0</v>
      </c>
      <c r="G248" s="180" t="s">
        <v>292</v>
      </c>
      <c r="H248" s="43">
        <f t="shared" si="4"/>
        <v>4204412.81</v>
      </c>
    </row>
    <row r="249" spans="8:8">
      <c r="A249" s="3" t="s">
        <v>270</v>
      </c>
      <c r="B249" s="4" t="s">
        <v>196</v>
      </c>
      <c r="C249" s="243">
        <v>0.01</v>
      </c>
      <c r="D249" s="243">
        <v>4087792.8</v>
      </c>
      <c r="E249" s="241">
        <v>46648.0</v>
      </c>
      <c r="F249" s="241">
        <v>69972.0</v>
      </c>
      <c r="G249" s="180" t="s">
        <v>292</v>
      </c>
      <c r="H249" s="43">
        <f t="shared" si="4"/>
        <v>4204412.81</v>
      </c>
    </row>
    <row r="250" spans="8:8">
      <c r="A250" s="3" t="s">
        <v>271</v>
      </c>
      <c r="B250" s="4" t="s">
        <v>196</v>
      </c>
      <c r="C250" s="243">
        <v>0.01</v>
      </c>
      <c r="D250" s="243">
        <v>4087792.8</v>
      </c>
      <c r="E250" s="241">
        <v>46648.0</v>
      </c>
      <c r="F250" s="241">
        <v>69972.0</v>
      </c>
      <c r="G250" s="180" t="s">
        <v>292</v>
      </c>
      <c r="H250" s="43">
        <f t="shared" si="4"/>
        <v>4204412.81</v>
      </c>
    </row>
    <row r="251" spans="8:8">
      <c r="A251" s="3" t="s">
        <v>272</v>
      </c>
      <c r="B251" s="4" t="s">
        <v>196</v>
      </c>
      <c r="C251" s="243">
        <v>0.01</v>
      </c>
      <c r="D251" s="243">
        <v>4087792.8</v>
      </c>
      <c r="E251" s="241">
        <v>46648.0</v>
      </c>
      <c r="F251" s="241">
        <v>69972.0</v>
      </c>
      <c r="G251" s="180" t="s">
        <v>292</v>
      </c>
      <c r="H251" s="43">
        <f t="shared" si="4"/>
        <v>4204412.81</v>
      </c>
    </row>
    <row r="252" spans="8:8">
      <c r="A252" s="3" t="s">
        <v>273</v>
      </c>
      <c r="B252" s="4" t="s">
        <v>196</v>
      </c>
      <c r="C252" s="243">
        <v>0.01</v>
      </c>
      <c r="D252" s="243">
        <v>4087792.8</v>
      </c>
      <c r="E252" s="241">
        <v>46648.0</v>
      </c>
      <c r="F252" s="241">
        <v>69972.0</v>
      </c>
      <c r="G252" s="180" t="s">
        <v>292</v>
      </c>
      <c r="H252" s="43">
        <f t="shared" si="5" ref="H252:H256">SUM(C252:F252)</f>
        <v>4204412.81</v>
      </c>
    </row>
    <row r="253" spans="8:8">
      <c r="A253" s="3" t="s">
        <v>274</v>
      </c>
      <c r="B253" s="4" t="s">
        <v>196</v>
      </c>
      <c r="C253" s="243">
        <v>0.01</v>
      </c>
      <c r="D253" s="243">
        <v>4087792.8</v>
      </c>
      <c r="E253" s="241">
        <v>46648.0</v>
      </c>
      <c r="F253" s="241">
        <v>69972.0</v>
      </c>
      <c r="G253" s="180" t="s">
        <v>292</v>
      </c>
      <c r="H253" s="43">
        <f t="shared" si="5"/>
        <v>4204412.81</v>
      </c>
    </row>
    <row r="254" spans="8:8">
      <c r="A254" s="3" t="s">
        <v>275</v>
      </c>
      <c r="B254" s="4" t="s">
        <v>196</v>
      </c>
      <c r="C254" s="243">
        <v>0.01</v>
      </c>
      <c r="D254" s="243">
        <v>4087792.8</v>
      </c>
      <c r="E254" s="241">
        <v>46648.0</v>
      </c>
      <c r="F254" s="241">
        <v>69972.0</v>
      </c>
      <c r="G254" s="180" t="s">
        <v>292</v>
      </c>
      <c r="H254" s="43">
        <f t="shared" si="5"/>
        <v>4204412.81</v>
      </c>
    </row>
    <row r="255" spans="8:8">
      <c r="A255" s="3" t="s">
        <v>276</v>
      </c>
      <c r="B255" s="4" t="s">
        <v>196</v>
      </c>
      <c r="C255" s="243">
        <v>0.01</v>
      </c>
      <c r="D255" s="243">
        <v>4087792.8</v>
      </c>
      <c r="E255" s="241">
        <v>46648.0</v>
      </c>
      <c r="F255" s="241">
        <v>69972.0</v>
      </c>
      <c r="G255" s="180" t="s">
        <v>292</v>
      </c>
      <c r="H255" s="43">
        <f t="shared" si="5"/>
        <v>4204412.81</v>
      </c>
    </row>
    <row r="256" spans="8:8">
      <c r="A256" s="15" t="s">
        <v>277</v>
      </c>
      <c r="B256" s="4" t="s">
        <v>196</v>
      </c>
      <c r="C256" s="243">
        <v>0.01</v>
      </c>
      <c r="D256" s="243">
        <v>4087792.8</v>
      </c>
      <c r="E256" s="241">
        <v>46648.0</v>
      </c>
      <c r="F256" s="241">
        <v>69972.0</v>
      </c>
      <c r="G256" s="180" t="s">
        <v>292</v>
      </c>
      <c r="H256" s="43">
        <f t="shared" si="5"/>
        <v>4204412.81</v>
      </c>
    </row>
    <row r="257" spans="8:8">
      <c r="A257" s="3" t="s">
        <v>280</v>
      </c>
      <c r="B257" s="4" t="s">
        <v>196</v>
      </c>
      <c r="C257" s="243">
        <v>1740263.6160000004</v>
      </c>
      <c r="D257" s="243">
        <v>4909806.72</v>
      </c>
      <c r="E257" s="241">
        <v>46648.0</v>
      </c>
      <c r="F257" s="241">
        <v>69972.0</v>
      </c>
      <c r="G257" s="180" t="s">
        <v>292</v>
      </c>
      <c r="H257" s="43">
        <f>SUM(D257:F257)</f>
        <v>5026426.72</v>
      </c>
    </row>
    <row r="258" spans="8:8">
      <c r="A258" s="207" t="s">
        <v>281</v>
      </c>
      <c r="B258" s="208" t="s">
        <v>282</v>
      </c>
      <c r="C258" s="209">
        <v>1000000.0</v>
      </c>
      <c r="D258" s="218" t="s">
        <v>292</v>
      </c>
      <c r="E258" s="180" t="s">
        <v>292</v>
      </c>
      <c r="F258" s="180" t="s">
        <v>292</v>
      </c>
      <c r="G258" s="180" t="s">
        <v>292</v>
      </c>
      <c r="H258" s="210">
        <f>SUM(C258:F258)</f>
        <v>1000000.0</v>
      </c>
    </row>
    <row r="259" spans="8:8">
      <c r="A259" s="207" t="s">
        <v>283</v>
      </c>
      <c r="B259" s="208" t="s">
        <v>282</v>
      </c>
      <c r="C259" s="209">
        <v>756.0</v>
      </c>
      <c r="D259" s="218" t="s">
        <v>292</v>
      </c>
      <c r="E259" s="180" t="s">
        <v>292</v>
      </c>
      <c r="F259" s="180" t="s">
        <v>292</v>
      </c>
      <c r="G259" s="180" t="s">
        <v>292</v>
      </c>
      <c r="H259" s="210">
        <f t="shared" si="6" ref="H259:H267">SUM(C259:F259)</f>
        <v>756.0</v>
      </c>
    </row>
    <row r="260" spans="8:8">
      <c r="A260" s="207" t="s">
        <v>284</v>
      </c>
      <c r="B260" s="208" t="s">
        <v>285</v>
      </c>
      <c r="C260" s="211">
        <v>13995.0</v>
      </c>
      <c r="D260" s="218" t="s">
        <v>292</v>
      </c>
      <c r="E260" s="180" t="s">
        <v>292</v>
      </c>
      <c r="F260" s="180" t="s">
        <v>292</v>
      </c>
      <c r="G260" s="180" t="s">
        <v>292</v>
      </c>
      <c r="H260" s="210">
        <f t="shared" si="6"/>
        <v>13995.0</v>
      </c>
    </row>
    <row r="261" spans="8:8">
      <c r="A261" s="207" t="s">
        <v>286</v>
      </c>
      <c r="B261" s="208" t="s">
        <v>285</v>
      </c>
      <c r="C261" s="211">
        <v>23324.0</v>
      </c>
      <c r="D261" s="218" t="s">
        <v>292</v>
      </c>
      <c r="E261" s="180" t="s">
        <v>292</v>
      </c>
      <c r="F261" s="180" t="s">
        <v>292</v>
      </c>
      <c r="G261" s="180" t="s">
        <v>292</v>
      </c>
      <c r="H261" s="210">
        <f t="shared" si="6"/>
        <v>23324.0</v>
      </c>
    </row>
    <row r="262" spans="8:8">
      <c r="A262" s="15" t="s">
        <v>4</v>
      </c>
      <c r="B262" s="16" t="s">
        <v>285</v>
      </c>
      <c r="C262" s="20">
        <v>46648.0</v>
      </c>
      <c r="D262" s="218" t="s">
        <v>292</v>
      </c>
      <c r="E262" s="180" t="s">
        <v>292</v>
      </c>
      <c r="F262" s="180" t="s">
        <v>292</v>
      </c>
      <c r="G262" s="180" t="s">
        <v>292</v>
      </c>
      <c r="H262" s="210">
        <f t="shared" si="6"/>
        <v>46648.0</v>
      </c>
    </row>
    <row r="263" spans="8:8">
      <c r="A263" s="15" t="s">
        <v>287</v>
      </c>
      <c r="B263" s="16" t="s">
        <v>285</v>
      </c>
      <c r="C263" s="20">
        <v>139944.0</v>
      </c>
      <c r="D263" s="218" t="s">
        <v>292</v>
      </c>
      <c r="E263" s="180" t="s">
        <v>292</v>
      </c>
      <c r="F263" s="180" t="s">
        <v>292</v>
      </c>
      <c r="G263" s="180" t="s">
        <v>292</v>
      </c>
      <c r="H263" s="210">
        <f t="shared" si="6"/>
        <v>139944.0</v>
      </c>
    </row>
    <row r="264" spans="8:8">
      <c r="A264" s="15" t="s">
        <v>319</v>
      </c>
      <c r="B264" s="16" t="s">
        <v>285</v>
      </c>
      <c r="C264" s="20">
        <v>55978.0</v>
      </c>
      <c r="D264" s="218" t="s">
        <v>292</v>
      </c>
      <c r="E264" s="180" t="s">
        <v>292</v>
      </c>
      <c r="F264" s="180" t="s">
        <v>292</v>
      </c>
      <c r="G264" s="180" t="s">
        <v>292</v>
      </c>
      <c r="H264" s="210">
        <f t="shared" si="6"/>
        <v>55978.0</v>
      </c>
    </row>
    <row r="265" spans="8:8">
      <c r="A265" s="15" t="s">
        <v>5</v>
      </c>
      <c r="B265" s="16" t="s">
        <v>285</v>
      </c>
      <c r="C265" s="20">
        <v>69972.0</v>
      </c>
      <c r="D265" s="218" t="s">
        <v>292</v>
      </c>
      <c r="E265" s="180" t="s">
        <v>292</v>
      </c>
      <c r="F265" s="180" t="s">
        <v>292</v>
      </c>
      <c r="G265" s="180" t="s">
        <v>292</v>
      </c>
      <c r="H265" s="210">
        <f t="shared" si="6"/>
        <v>69972.0</v>
      </c>
    </row>
    <row r="266" spans="8:8">
      <c r="A266" s="15" t="s">
        <v>288</v>
      </c>
      <c r="B266" s="16" t="s">
        <v>285</v>
      </c>
      <c r="C266" s="20">
        <v>233240.0</v>
      </c>
      <c r="D266" s="218" t="s">
        <v>292</v>
      </c>
      <c r="E266" s="180" t="s">
        <v>292</v>
      </c>
      <c r="F266" s="180" t="s">
        <v>292</v>
      </c>
      <c r="G266" s="180" t="s">
        <v>292</v>
      </c>
      <c r="H266" s="210">
        <f t="shared" si="6"/>
        <v>233240.0</v>
      </c>
    </row>
    <row r="267" spans="8:8">
      <c r="A267" s="207" t="s">
        <v>291</v>
      </c>
      <c r="B267" s="208" t="s">
        <v>290</v>
      </c>
      <c r="C267" s="243">
        <v>733946.304</v>
      </c>
      <c r="D267" s="209">
        <v>733946.3</v>
      </c>
      <c r="E267" s="17">
        <v>46648.0</v>
      </c>
      <c r="F267" s="17">
        <v>69972.0</v>
      </c>
      <c r="G267" s="180" t="s">
        <v>292</v>
      </c>
      <c r="H267" s="210">
        <f t="shared" si="6"/>
        <v>1584512.604</v>
      </c>
    </row>
    <row r="268" spans="8:8">
      <c r="B268" s="71"/>
      <c r="C268" s="161"/>
      <c r="D268" s="161"/>
      <c r="E268" s="191"/>
    </row>
    <row r="269" spans="8:8">
      <c r="B269" s="71"/>
      <c r="C269" s="161"/>
      <c r="D269" s="161"/>
      <c r="E269" s="191"/>
    </row>
    <row r="270" spans="8:8">
      <c r="E270" s="191"/>
    </row>
    <row r="273" spans="8:8">
      <c r="A273" s="38" t="s">
        <v>351</v>
      </c>
    </row>
    <row r="282" spans="8:8">
      <c r="I282" s="49"/>
    </row>
    <row r="283" spans="8:8" s="49" ht="15.0" customFormat="1">
      <c r="A283" s="38"/>
      <c r="B283" s="39"/>
      <c r="C283" s="40"/>
      <c r="D283" s="40"/>
      <c r="E283" s="163"/>
      <c r="F283" s="163"/>
      <c r="G283" s="163"/>
      <c r="H283" s="161"/>
    </row>
    <row r="291" spans="8:8" s="49" ht="15.0" customFormat="1">
      <c r="A291" s="38"/>
      <c r="B291" s="39"/>
      <c r="C291" s="40"/>
      <c r="D291" s="40"/>
      <c r="E291" s="163"/>
      <c r="F291" s="163"/>
      <c r="G291" s="163"/>
      <c r="H291" s="161"/>
    </row>
    <row r="294" spans="8:8" s="49" ht="15.0" customFormat="1">
      <c r="A294" s="38"/>
      <c r="B294" s="39"/>
      <c r="C294" s="40"/>
      <c r="D294" s="40"/>
      <c r="E294" s="163"/>
      <c r="F294" s="163"/>
      <c r="G294" s="163"/>
      <c r="H294" s="161"/>
    </row>
    <row r="295" spans="8:8" s="49" ht="15.0" customFormat="1">
      <c r="A295" s="38"/>
      <c r="B295" s="39"/>
      <c r="C295" s="40"/>
      <c r="D295" s="40"/>
      <c r="E295" s="163"/>
      <c r="F295" s="163"/>
      <c r="G295" s="163"/>
      <c r="H295" s="161"/>
    </row>
    <row r="296" spans="8:8">
      <c r="I296" s="71"/>
    </row>
    <row r="297" spans="8:8">
      <c r="I297" s="71"/>
    </row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:N297"/>
  <sheetViews>
    <sheetView workbookViewId="0" topLeftCell="A244">
      <selection activeCell="A235" sqref="A235"/>
    </sheetView>
  </sheetViews>
  <sheetFormatPr defaultRowHeight="18.75" defaultColWidth="10"/>
  <cols>
    <col min="1" max="1" customWidth="1" width="87.0" style="250"/>
    <col min="2" max="2" customWidth="1" width="13.425781" style="251"/>
    <col min="3" max="4" customWidth="1" width="13.425781" style="252"/>
    <col min="5" max="6" customWidth="1" width="13.425781" style="253"/>
    <col min="7" max="7" customWidth="1" width="13.425781" style="254"/>
    <col min="8" max="16384" customWidth="0" width="11.425781" style="255"/>
  </cols>
  <sheetData>
    <row r="1" spans="8:8">
      <c r="A1" s="256" t="s">
        <v>378</v>
      </c>
      <c r="B1" s="256" t="s">
        <v>1</v>
      </c>
      <c r="C1" s="257" t="s">
        <v>2</v>
      </c>
      <c r="D1" s="257" t="s">
        <v>3</v>
      </c>
      <c r="E1" s="258" t="s">
        <v>4</v>
      </c>
      <c r="F1" s="258" t="s">
        <v>5</v>
      </c>
      <c r="G1" s="257" t="s">
        <v>294</v>
      </c>
    </row>
    <row r="2" spans="8:8">
      <c r="A2" s="259" t="s">
        <v>7</v>
      </c>
      <c r="B2" s="260" t="s">
        <v>8</v>
      </c>
      <c r="C2" s="261">
        <v>0.01</v>
      </c>
      <c r="D2" s="261">
        <v>669783.17952</v>
      </c>
      <c r="E2" s="262">
        <v>60643.0</v>
      </c>
      <c r="F2" s="262">
        <v>90964.0</v>
      </c>
      <c r="G2" s="263">
        <f t="shared" si="0" ref="G2:G5">SUM(C2:F2)</f>
        <v>821390.18952</v>
      </c>
    </row>
    <row r="3" spans="8:8">
      <c r="A3" s="259" t="s">
        <v>9</v>
      </c>
      <c r="B3" s="260" t="s">
        <v>8</v>
      </c>
      <c r="C3" s="261">
        <v>0.01</v>
      </c>
      <c r="D3" s="261">
        <v>669783.17952</v>
      </c>
      <c r="E3" s="262">
        <v>60643.0</v>
      </c>
      <c r="F3" s="262">
        <v>90964.0</v>
      </c>
      <c r="G3" s="263">
        <f t="shared" si="0"/>
        <v>821390.18952</v>
      </c>
    </row>
    <row r="4" spans="8:8">
      <c r="A4" s="259" t="s">
        <v>10</v>
      </c>
      <c r="B4" s="260" t="s">
        <v>8</v>
      </c>
      <c r="C4" s="261">
        <v>0.01</v>
      </c>
      <c r="D4" s="261">
        <v>669783.17952</v>
      </c>
      <c r="E4" s="262">
        <v>60643.0</v>
      </c>
      <c r="F4" s="262">
        <v>90964.0</v>
      </c>
      <c r="G4" s="263">
        <f t="shared" si="0"/>
        <v>821390.18952</v>
      </c>
    </row>
    <row r="5" spans="8:8">
      <c r="A5" s="259" t="s">
        <v>11</v>
      </c>
      <c r="B5" s="260" t="s">
        <v>8</v>
      </c>
      <c r="C5" s="264">
        <v>0.01</v>
      </c>
      <c r="D5" s="261">
        <v>956833.1445400002</v>
      </c>
      <c r="E5" s="262">
        <v>60643.0</v>
      </c>
      <c r="F5" s="262">
        <v>90964.0</v>
      </c>
      <c r="G5" s="263">
        <f t="shared" si="0"/>
        <v>1108440.1545400003</v>
      </c>
    </row>
    <row r="6" spans="8:8">
      <c r="A6" s="265" t="s">
        <v>379</v>
      </c>
      <c r="B6" s="266" t="s">
        <v>13</v>
      </c>
      <c r="C6" s="267">
        <v>493386.5664</v>
      </c>
      <c r="D6" s="267">
        <v>275073.9264</v>
      </c>
      <c r="E6" s="268">
        <v>60643.0</v>
      </c>
      <c r="F6" s="268">
        <v>90964.0</v>
      </c>
      <c r="G6" s="269">
        <f>SUM(C6:F6)+110000</f>
        <v>1030067.4928</v>
      </c>
      <c r="H6" s="270"/>
      <c r="I6" s="270"/>
      <c r="J6" s="270"/>
      <c r="K6" s="270"/>
      <c r="L6" s="270"/>
      <c r="M6" s="270"/>
    </row>
    <row r="7" spans="8:8">
      <c r="A7" s="265" t="s">
        <v>380</v>
      </c>
      <c r="B7" s="266" t="s">
        <v>13</v>
      </c>
      <c r="C7" s="267">
        <v>493386.5664</v>
      </c>
      <c r="D7" s="267">
        <v>275073.9264</v>
      </c>
      <c r="E7" s="268">
        <v>60643.0</v>
      </c>
      <c r="F7" s="268">
        <v>90964.0</v>
      </c>
      <c r="G7" s="269">
        <f>SUM(C7:F7)*2+220000</f>
        <v>2060134.9856</v>
      </c>
      <c r="H7" s="270"/>
      <c r="I7" s="270"/>
      <c r="J7" s="270"/>
      <c r="K7" s="270"/>
      <c r="L7" s="270"/>
      <c r="M7" s="270"/>
    </row>
    <row r="8" spans="8:8">
      <c r="A8" s="259" t="s">
        <v>15</v>
      </c>
      <c r="B8" s="260" t="s">
        <v>13</v>
      </c>
      <c r="C8" s="261">
        <v>493386.5664</v>
      </c>
      <c r="D8" s="261">
        <v>275073.9264</v>
      </c>
      <c r="E8" s="262">
        <v>60643.0</v>
      </c>
      <c r="F8" s="262">
        <v>90964.0</v>
      </c>
      <c r="G8" s="263">
        <f t="shared" si="1" ref="G8:G13">SUM(C8:F8)+110000</f>
        <v>1030067.4928</v>
      </c>
      <c r="H8" s="270"/>
      <c r="I8" s="270"/>
      <c r="J8" s="270"/>
      <c r="K8" s="270"/>
      <c r="L8" s="270"/>
      <c r="M8" s="270"/>
    </row>
    <row r="9" spans="8:8">
      <c r="A9" s="259" t="s">
        <v>16</v>
      </c>
      <c r="B9" s="260" t="s">
        <v>13</v>
      </c>
      <c r="C9" s="261">
        <v>493386.5664</v>
      </c>
      <c r="D9" s="261">
        <v>275073.9264</v>
      </c>
      <c r="E9" s="262">
        <v>60643.0</v>
      </c>
      <c r="F9" s="262">
        <v>90964.0</v>
      </c>
      <c r="G9" s="263">
        <f t="shared" si="1"/>
        <v>1030067.4928</v>
      </c>
      <c r="H9" s="270"/>
      <c r="I9" s="270"/>
      <c r="J9" s="270"/>
      <c r="K9" s="270"/>
      <c r="L9" s="270"/>
      <c r="M9" s="270"/>
    </row>
    <row r="10" spans="8:8">
      <c r="A10" s="259" t="s">
        <v>17</v>
      </c>
      <c r="B10" s="260" t="s">
        <v>13</v>
      </c>
      <c r="C10" s="261">
        <v>1718120.4767999998</v>
      </c>
      <c r="D10" s="261">
        <v>628740.4032</v>
      </c>
      <c r="E10" s="262">
        <v>60643.0</v>
      </c>
      <c r="F10" s="262">
        <v>90964.0</v>
      </c>
      <c r="G10" s="263">
        <f t="shared" si="1"/>
        <v>2608467.88</v>
      </c>
      <c r="H10" s="270"/>
      <c r="I10" s="270"/>
      <c r="J10" s="270"/>
      <c r="K10" s="270"/>
      <c r="L10" s="270"/>
      <c r="M10" s="270"/>
    </row>
    <row r="11" spans="8:8">
      <c r="A11" s="259" t="s">
        <v>18</v>
      </c>
      <c r="B11" s="260" t="s">
        <v>13</v>
      </c>
      <c r="C11" s="261">
        <v>585077.8752</v>
      </c>
      <c r="D11" s="261">
        <v>628740.4032</v>
      </c>
      <c r="E11" s="262">
        <v>60643.0</v>
      </c>
      <c r="F11" s="262">
        <v>90964.0</v>
      </c>
      <c r="G11" s="263">
        <f t="shared" si="1"/>
        <v>1475425.2784</v>
      </c>
      <c r="H11" s="270"/>
      <c r="I11" s="270"/>
      <c r="J11" s="270"/>
      <c r="K11" s="270"/>
      <c r="L11" s="270"/>
      <c r="M11" s="270"/>
    </row>
    <row r="12" spans="8:8">
      <c r="A12" s="259" t="s">
        <v>19</v>
      </c>
      <c r="B12" s="260" t="s">
        <v>13</v>
      </c>
      <c r="C12" s="261">
        <v>585077.8752</v>
      </c>
      <c r="D12" s="261">
        <v>628740.4032</v>
      </c>
      <c r="E12" s="262">
        <v>60643.0</v>
      </c>
      <c r="F12" s="262">
        <v>90964.0</v>
      </c>
      <c r="G12" s="263">
        <f t="shared" si="1"/>
        <v>1475425.2784</v>
      </c>
      <c r="H12" s="270"/>
      <c r="I12" s="270"/>
      <c r="J12" s="270"/>
      <c r="K12" s="270"/>
      <c r="L12" s="270"/>
      <c r="M12" s="270"/>
    </row>
    <row r="13" spans="8:8">
      <c r="A13" s="259" t="s">
        <v>20</v>
      </c>
      <c r="B13" s="260" t="s">
        <v>13</v>
      </c>
      <c r="C13" s="261">
        <v>585077.8752</v>
      </c>
      <c r="D13" s="261">
        <v>628740.4032</v>
      </c>
      <c r="E13" s="262">
        <v>60643.0</v>
      </c>
      <c r="F13" s="262">
        <v>90964.0</v>
      </c>
      <c r="G13" s="263">
        <f t="shared" si="1"/>
        <v>1475425.2784</v>
      </c>
    </row>
    <row r="14" spans="8:8">
      <c r="A14" s="265" t="s">
        <v>22</v>
      </c>
      <c r="B14" s="271" t="s">
        <v>13</v>
      </c>
      <c r="C14" s="261">
        <v>585077.8752</v>
      </c>
      <c r="D14" s="261">
        <v>628740.4032</v>
      </c>
      <c r="E14" s="262">
        <v>60643.0</v>
      </c>
      <c r="F14" s="262">
        <v>90964.0</v>
      </c>
      <c r="G14" s="269">
        <f>SUM(C14:F14)*2+220000</f>
        <v>2950850.5568</v>
      </c>
    </row>
    <row r="15" spans="8:8">
      <c r="A15" s="272" t="s">
        <v>23</v>
      </c>
      <c r="B15" s="271" t="s">
        <v>13</v>
      </c>
      <c r="C15" s="261">
        <v>585077.8752</v>
      </c>
      <c r="D15" s="261">
        <v>628740.4032</v>
      </c>
      <c r="E15" s="262">
        <v>60643.0</v>
      </c>
      <c r="F15" s="262">
        <v>90964.0</v>
      </c>
      <c r="G15" s="263">
        <f>SUM(C15:F15)+110000</f>
        <v>1475425.2784</v>
      </c>
    </row>
    <row r="16" spans="8:8">
      <c r="A16" s="265" t="s">
        <v>21</v>
      </c>
      <c r="B16" s="260" t="s">
        <v>13</v>
      </c>
      <c r="C16" s="261">
        <v>585077.8752</v>
      </c>
      <c r="D16" s="261">
        <v>628740.4032</v>
      </c>
      <c r="E16" s="262">
        <v>60643.0</v>
      </c>
      <c r="F16" s="262">
        <v>90964.0</v>
      </c>
      <c r="G16" s="269">
        <f>SUM(C16:F16)*2+220000</f>
        <v>2950850.5568</v>
      </c>
    </row>
    <row r="17" spans="8:8">
      <c r="A17" s="259" t="s">
        <v>24</v>
      </c>
      <c r="B17" s="271" t="s">
        <v>13</v>
      </c>
      <c r="C17" s="261">
        <v>585077.8752</v>
      </c>
      <c r="D17" s="261">
        <v>628740.4032</v>
      </c>
      <c r="E17" s="262">
        <v>60643.0</v>
      </c>
      <c r="F17" s="262">
        <v>90964.0</v>
      </c>
      <c r="G17" s="263">
        <f t="shared" si="2" ref="G17:G37">SUM(C17:F17)+110000</f>
        <v>1475425.2784</v>
      </c>
    </row>
    <row r="18" spans="8:8">
      <c r="A18" s="259" t="s">
        <v>25</v>
      </c>
      <c r="B18" s="260" t="s">
        <v>13</v>
      </c>
      <c r="C18" s="261">
        <v>585077.8752</v>
      </c>
      <c r="D18" s="261">
        <v>628740.4032</v>
      </c>
      <c r="E18" s="262">
        <v>60643.0</v>
      </c>
      <c r="F18" s="262">
        <v>90964.0</v>
      </c>
      <c r="G18" s="263">
        <f t="shared" si="2"/>
        <v>1475425.2784</v>
      </c>
    </row>
    <row r="19" spans="8:8">
      <c r="A19" s="259" t="s">
        <v>26</v>
      </c>
      <c r="B19" s="260" t="s">
        <v>13</v>
      </c>
      <c r="C19" s="261">
        <v>585077.8752</v>
      </c>
      <c r="D19" s="261">
        <v>628740.4032</v>
      </c>
      <c r="E19" s="262">
        <v>60643.0</v>
      </c>
      <c r="F19" s="262">
        <v>90964.0</v>
      </c>
      <c r="G19" s="263">
        <f t="shared" si="2"/>
        <v>1475425.2784</v>
      </c>
    </row>
    <row r="20" spans="8:8">
      <c r="A20" s="259" t="s">
        <v>27</v>
      </c>
      <c r="B20" s="260" t="s">
        <v>13</v>
      </c>
      <c r="C20" s="261">
        <v>585077.8752</v>
      </c>
      <c r="D20" s="261">
        <v>628740.4032</v>
      </c>
      <c r="E20" s="262">
        <v>60643.0</v>
      </c>
      <c r="F20" s="262">
        <v>90964.0</v>
      </c>
      <c r="G20" s="263">
        <f t="shared" si="2"/>
        <v>1475425.2784</v>
      </c>
    </row>
    <row r="21" spans="8:8">
      <c r="A21" s="259" t="s">
        <v>28</v>
      </c>
      <c r="B21" s="260" t="s">
        <v>13</v>
      </c>
      <c r="C21" s="261">
        <v>585077.8752</v>
      </c>
      <c r="D21" s="261">
        <v>628740.4032</v>
      </c>
      <c r="E21" s="262">
        <v>60643.0</v>
      </c>
      <c r="F21" s="262">
        <v>90964.0</v>
      </c>
      <c r="G21" s="263">
        <f t="shared" si="2"/>
        <v>1475425.2784</v>
      </c>
    </row>
    <row r="22" spans="8:8">
      <c r="A22" s="259" t="s">
        <v>29</v>
      </c>
      <c r="B22" s="260" t="s">
        <v>13</v>
      </c>
      <c r="C22" s="261">
        <v>585077.8752</v>
      </c>
      <c r="D22" s="261">
        <v>628740.4032</v>
      </c>
      <c r="E22" s="262">
        <v>60643.0</v>
      </c>
      <c r="F22" s="262">
        <v>90964.0</v>
      </c>
      <c r="G22" s="263">
        <f t="shared" si="2"/>
        <v>1475425.2784</v>
      </c>
    </row>
    <row r="23" spans="8:8">
      <c r="A23" s="273" t="s">
        <v>381</v>
      </c>
      <c r="B23" s="274" t="s">
        <v>13</v>
      </c>
      <c r="C23" s="267">
        <v>585077.8752</v>
      </c>
      <c r="D23" s="267">
        <v>628740.4032</v>
      </c>
      <c r="E23" s="268">
        <v>60643.0</v>
      </c>
      <c r="F23" s="268">
        <v>90964.0</v>
      </c>
      <c r="G23" s="269">
        <f t="shared" si="2"/>
        <v>1475425.2784</v>
      </c>
    </row>
    <row r="24" spans="8:8">
      <c r="A24" s="259" t="s">
        <v>31</v>
      </c>
      <c r="B24" s="260" t="s">
        <v>13</v>
      </c>
      <c r="C24" s="261">
        <v>585077.8752</v>
      </c>
      <c r="D24" s="261">
        <v>628740.4032</v>
      </c>
      <c r="E24" s="262">
        <v>60643.0</v>
      </c>
      <c r="F24" s="262">
        <v>90964.0</v>
      </c>
      <c r="G24" s="263">
        <f t="shared" si="2"/>
        <v>1475425.2784</v>
      </c>
    </row>
    <row r="25" spans="8:8">
      <c r="A25" s="259" t="s">
        <v>32</v>
      </c>
      <c r="B25" s="260" t="s">
        <v>13</v>
      </c>
      <c r="C25" s="261">
        <v>585077.8752</v>
      </c>
      <c r="D25" s="261">
        <v>628740.4032</v>
      </c>
      <c r="E25" s="262">
        <v>60643.0</v>
      </c>
      <c r="F25" s="262">
        <v>90964.0</v>
      </c>
      <c r="G25" s="263">
        <f t="shared" si="2"/>
        <v>1475425.2784</v>
      </c>
    </row>
    <row r="26" spans="8:8">
      <c r="A26" s="259" t="s">
        <v>33</v>
      </c>
      <c r="B26" s="260" t="s">
        <v>13</v>
      </c>
      <c r="C26" s="261">
        <v>585077.8752</v>
      </c>
      <c r="D26" s="261">
        <v>628740.4032</v>
      </c>
      <c r="E26" s="262">
        <v>60643.0</v>
      </c>
      <c r="F26" s="262">
        <v>90964.0</v>
      </c>
      <c r="G26" s="263">
        <f t="shared" si="2"/>
        <v>1475425.2784</v>
      </c>
    </row>
    <row r="27" spans="8:8">
      <c r="A27" s="259" t="s">
        <v>34</v>
      </c>
      <c r="B27" s="260" t="s">
        <v>13</v>
      </c>
      <c r="C27" s="261">
        <v>493386.5664</v>
      </c>
      <c r="D27" s="261">
        <v>275073.9264</v>
      </c>
      <c r="E27" s="262">
        <v>60643.0</v>
      </c>
      <c r="F27" s="262">
        <v>90964.0</v>
      </c>
      <c r="G27" s="263">
        <f t="shared" si="2"/>
        <v>1030067.4928</v>
      </c>
    </row>
    <row r="28" spans="8:8">
      <c r="A28" s="259" t="s">
        <v>35</v>
      </c>
      <c r="B28" s="260" t="s">
        <v>13</v>
      </c>
      <c r="C28" s="261">
        <v>493386.5664</v>
      </c>
      <c r="D28" s="261">
        <v>275073.9264</v>
      </c>
      <c r="E28" s="262">
        <v>60643.0</v>
      </c>
      <c r="F28" s="262">
        <v>90964.0</v>
      </c>
      <c r="G28" s="263">
        <f t="shared" si="2"/>
        <v>1030067.4928</v>
      </c>
    </row>
    <row r="29" spans="8:8">
      <c r="A29" s="259" t="s">
        <v>36</v>
      </c>
      <c r="B29" s="260" t="s">
        <v>13</v>
      </c>
      <c r="C29" s="261">
        <v>493386.5664</v>
      </c>
      <c r="D29" s="261">
        <v>275073.9264</v>
      </c>
      <c r="E29" s="262">
        <v>60643.0</v>
      </c>
      <c r="F29" s="262">
        <v>90964.0</v>
      </c>
      <c r="G29" s="263">
        <f t="shared" si="2"/>
        <v>1030067.4928</v>
      </c>
    </row>
    <row r="30" spans="8:8">
      <c r="A30" s="259" t="s">
        <v>382</v>
      </c>
      <c r="B30" s="260" t="s">
        <v>13</v>
      </c>
      <c r="C30" s="261">
        <v>493386.5664</v>
      </c>
      <c r="D30" s="261">
        <v>275073.9264</v>
      </c>
      <c r="E30" s="262">
        <v>60643.0</v>
      </c>
      <c r="F30" s="262">
        <v>90964.0</v>
      </c>
      <c r="G30" s="263">
        <f t="shared" si="2"/>
        <v>1030067.4928</v>
      </c>
    </row>
    <row r="31" spans="8:8">
      <c r="A31" s="259" t="s">
        <v>38</v>
      </c>
      <c r="B31" s="260" t="s">
        <v>13</v>
      </c>
      <c r="C31" s="261">
        <v>493386.5664</v>
      </c>
      <c r="D31" s="261">
        <v>275073.9264</v>
      </c>
      <c r="E31" s="262">
        <v>60643.0</v>
      </c>
      <c r="F31" s="262">
        <v>90964.0</v>
      </c>
      <c r="G31" s="263">
        <f t="shared" si="2"/>
        <v>1030067.4928</v>
      </c>
    </row>
    <row r="32" spans="8:8">
      <c r="A32" s="272" t="s">
        <v>39</v>
      </c>
      <c r="B32" s="260" t="s">
        <v>13</v>
      </c>
      <c r="C32" s="261">
        <v>493386.5664</v>
      </c>
      <c r="D32" s="261">
        <v>275073.9264</v>
      </c>
      <c r="E32" s="262">
        <v>60643.0</v>
      </c>
      <c r="F32" s="262">
        <v>90964.0</v>
      </c>
      <c r="G32" s="263">
        <f t="shared" si="2"/>
        <v>1030067.4928</v>
      </c>
    </row>
    <row r="33" spans="8:8" s="275" ht="18.75" customFormat="1">
      <c r="A33" s="259" t="s">
        <v>40</v>
      </c>
      <c r="B33" s="271" t="s">
        <v>13</v>
      </c>
      <c r="C33" s="261">
        <v>493386.5664</v>
      </c>
      <c r="D33" s="261">
        <v>275073.9264</v>
      </c>
      <c r="E33" s="262">
        <v>60643.0</v>
      </c>
      <c r="F33" s="262">
        <v>90964.0</v>
      </c>
      <c r="G33" s="263">
        <f t="shared" si="2"/>
        <v>1030067.4928</v>
      </c>
    </row>
    <row r="34" spans="8:8">
      <c r="A34" s="272" t="s">
        <v>41</v>
      </c>
      <c r="B34" s="271" t="s">
        <v>13</v>
      </c>
      <c r="C34" s="261">
        <v>493386.5664</v>
      </c>
      <c r="D34" s="261">
        <v>275073.9264</v>
      </c>
      <c r="E34" s="262">
        <v>60643.0</v>
      </c>
      <c r="F34" s="262">
        <v>90964.0</v>
      </c>
      <c r="G34" s="263">
        <f t="shared" si="2"/>
        <v>1030067.4928</v>
      </c>
    </row>
    <row r="35" spans="8:8" s="275" ht="18.75" customFormat="1">
      <c r="A35" s="259" t="s">
        <v>383</v>
      </c>
      <c r="B35" s="271" t="s">
        <v>13</v>
      </c>
      <c r="C35" s="261">
        <v>493386.5664</v>
      </c>
      <c r="D35" s="261">
        <v>275073.9264</v>
      </c>
      <c r="E35" s="262">
        <v>60643.0</v>
      </c>
      <c r="F35" s="262">
        <v>90964.0</v>
      </c>
      <c r="G35" s="263">
        <f t="shared" si="2"/>
        <v>1030067.4928</v>
      </c>
    </row>
    <row r="36" spans="8:8">
      <c r="A36" s="259" t="s">
        <v>43</v>
      </c>
      <c r="B36" s="260" t="s">
        <v>13</v>
      </c>
      <c r="C36" s="261">
        <v>493386.5664</v>
      </c>
      <c r="D36" s="261">
        <v>275073.9264</v>
      </c>
      <c r="E36" s="262">
        <v>60643.0</v>
      </c>
      <c r="F36" s="262">
        <v>90964.0</v>
      </c>
      <c r="G36" s="263">
        <f t="shared" si="2"/>
        <v>1030067.4928</v>
      </c>
    </row>
    <row r="37" spans="8:8">
      <c r="A37" s="259" t="s">
        <v>384</v>
      </c>
      <c r="B37" s="260" t="s">
        <v>13</v>
      </c>
      <c r="C37" s="261">
        <v>493386.5664</v>
      </c>
      <c r="D37" s="261">
        <v>275073.9264</v>
      </c>
      <c r="E37" s="262">
        <v>60643.0</v>
      </c>
      <c r="F37" s="262">
        <v>90964.0</v>
      </c>
      <c r="G37" s="263">
        <f t="shared" si="2"/>
        <v>1030067.4928</v>
      </c>
    </row>
    <row r="38" spans="8:8">
      <c r="A38" s="259" t="s">
        <v>45</v>
      </c>
      <c r="B38" s="260" t="s">
        <v>13</v>
      </c>
      <c r="C38" s="261">
        <v>1115577.5903999996</v>
      </c>
      <c r="D38" s="261">
        <v>654937.92</v>
      </c>
      <c r="E38" s="262">
        <v>60643.0</v>
      </c>
      <c r="F38" s="262">
        <v>90964.0</v>
      </c>
      <c r="G38" s="263">
        <f>SUM(C38:F38)+1100000</f>
        <v>3022122.5104</v>
      </c>
    </row>
    <row r="39" spans="8:8">
      <c r="A39" s="259" t="s">
        <v>46</v>
      </c>
      <c r="B39" s="260" t="s">
        <v>13</v>
      </c>
      <c r="C39" s="261">
        <v>1115577.5903999996</v>
      </c>
      <c r="D39" s="261">
        <v>654937.92</v>
      </c>
      <c r="E39" s="262">
        <v>60643.0</v>
      </c>
      <c r="F39" s="262">
        <v>90964.0</v>
      </c>
      <c r="G39" s="263">
        <f t="shared" si="3" ref="G39:G49">SUM(C39:F39)+110000</f>
        <v>2032122.5104</v>
      </c>
    </row>
    <row r="40" spans="8:8">
      <c r="A40" s="259" t="s">
        <v>47</v>
      </c>
      <c r="B40" s="260" t="s">
        <v>13</v>
      </c>
      <c r="C40" s="261">
        <v>1569667.8816</v>
      </c>
      <c r="D40" s="261">
        <v>654937.92</v>
      </c>
      <c r="E40" s="262">
        <v>60643.0</v>
      </c>
      <c r="F40" s="262">
        <v>90964.0</v>
      </c>
      <c r="G40" s="263">
        <f t="shared" si="3"/>
        <v>2486212.8016</v>
      </c>
    </row>
    <row r="41" spans="8:8">
      <c r="A41" s="259" t="s">
        <v>48</v>
      </c>
      <c r="B41" s="260" t="s">
        <v>13</v>
      </c>
      <c r="C41" s="261">
        <v>493386.5664</v>
      </c>
      <c r="D41" s="261">
        <v>654937.92</v>
      </c>
      <c r="E41" s="262">
        <v>60643.0</v>
      </c>
      <c r="F41" s="262">
        <v>90964.0</v>
      </c>
      <c r="G41" s="263">
        <f t="shared" si="3"/>
        <v>1409931.4864</v>
      </c>
    </row>
    <row r="42" spans="8:8">
      <c r="A42" s="259" t="s">
        <v>49</v>
      </c>
      <c r="B42" s="260" t="s">
        <v>13</v>
      </c>
      <c r="C42" s="261">
        <v>493386.5664</v>
      </c>
      <c r="D42" s="261">
        <v>275073.9264</v>
      </c>
      <c r="E42" s="262">
        <v>60643.0</v>
      </c>
      <c r="F42" s="262">
        <v>90964.0</v>
      </c>
      <c r="G42" s="263">
        <f t="shared" si="3"/>
        <v>1030067.4928</v>
      </c>
    </row>
    <row r="43" spans="8:8">
      <c r="A43" s="272" t="s">
        <v>385</v>
      </c>
      <c r="B43" s="260" t="s">
        <v>13</v>
      </c>
      <c r="C43" s="261">
        <v>493386.5664</v>
      </c>
      <c r="D43" s="261">
        <v>275073.9264</v>
      </c>
      <c r="E43" s="262">
        <v>60643.0</v>
      </c>
      <c r="F43" s="262">
        <v>90964.0</v>
      </c>
      <c r="G43" s="263">
        <f t="shared" si="3"/>
        <v>1030067.4928</v>
      </c>
    </row>
    <row r="44" spans="8:8" s="275" ht="18.75" customFormat="1">
      <c r="A44" s="259" t="s">
        <v>51</v>
      </c>
      <c r="B44" s="271" t="s">
        <v>13</v>
      </c>
      <c r="C44" s="261">
        <v>493386.5664</v>
      </c>
      <c r="D44" s="261">
        <v>275073.9264</v>
      </c>
      <c r="E44" s="262">
        <v>60643.0</v>
      </c>
      <c r="F44" s="262">
        <v>90964.0</v>
      </c>
      <c r="G44" s="263">
        <f t="shared" si="3"/>
        <v>1030067.4928</v>
      </c>
    </row>
    <row r="45" spans="8:8">
      <c r="A45" s="259" t="s">
        <v>52</v>
      </c>
      <c r="B45" s="260" t="s">
        <v>13</v>
      </c>
      <c r="C45" s="261">
        <v>493386.5664</v>
      </c>
      <c r="D45" s="261">
        <v>275073.9264</v>
      </c>
      <c r="E45" s="262">
        <v>60643.0</v>
      </c>
      <c r="F45" s="262">
        <v>90964.0</v>
      </c>
      <c r="G45" s="263">
        <f t="shared" si="3"/>
        <v>1030067.4928</v>
      </c>
    </row>
    <row r="46" spans="8:8">
      <c r="A46" s="259" t="s">
        <v>386</v>
      </c>
      <c r="B46" s="260" t="s">
        <v>13</v>
      </c>
      <c r="C46" s="261">
        <v>493386.5664</v>
      </c>
      <c r="D46" s="261">
        <v>275073.9264</v>
      </c>
      <c r="E46" s="262">
        <v>60643.0</v>
      </c>
      <c r="F46" s="262">
        <v>90964.0</v>
      </c>
      <c r="G46" s="263">
        <f t="shared" si="3"/>
        <v>1030067.4928</v>
      </c>
    </row>
    <row r="47" spans="8:8">
      <c r="A47" s="259" t="s">
        <v>54</v>
      </c>
      <c r="B47" s="260" t="s">
        <v>13</v>
      </c>
      <c r="C47" s="261">
        <v>493386.5664</v>
      </c>
      <c r="D47" s="261">
        <v>275073.9264</v>
      </c>
      <c r="E47" s="262">
        <v>60643.0</v>
      </c>
      <c r="F47" s="262">
        <v>90964.0</v>
      </c>
      <c r="G47" s="263">
        <f t="shared" si="3"/>
        <v>1030067.4928</v>
      </c>
    </row>
    <row r="48" spans="8:8">
      <c r="A48" s="272" t="s">
        <v>55</v>
      </c>
      <c r="B48" s="260" t="s">
        <v>13</v>
      </c>
      <c r="C48" s="261">
        <v>493386.5664</v>
      </c>
      <c r="D48" s="261">
        <v>275073.9264</v>
      </c>
      <c r="E48" s="262">
        <v>60643.0</v>
      </c>
      <c r="F48" s="262">
        <v>90964.0</v>
      </c>
      <c r="G48" s="263">
        <f t="shared" si="3"/>
        <v>1030067.4928</v>
      </c>
    </row>
    <row r="49" spans="8:8" s="275" ht="18.75" customFormat="1">
      <c r="A49" s="276" t="s">
        <v>387</v>
      </c>
      <c r="B49" s="271" t="s">
        <v>13</v>
      </c>
      <c r="C49" s="261">
        <v>98240.688</v>
      </c>
      <c r="D49" s="261">
        <v>720431.7119999999</v>
      </c>
      <c r="E49" s="262">
        <v>60643.0</v>
      </c>
      <c r="F49" s="262">
        <v>90964.0</v>
      </c>
      <c r="G49" s="262">
        <f t="shared" si="3"/>
        <v>1080279.4</v>
      </c>
    </row>
    <row r="50" spans="8:8">
      <c r="A50" s="259" t="s">
        <v>57</v>
      </c>
      <c r="B50" s="260" t="s">
        <v>60</v>
      </c>
      <c r="C50" s="261">
        <v>0.01</v>
      </c>
      <c r="D50" s="261">
        <v>681135.4368</v>
      </c>
      <c r="E50" s="262">
        <v>60643.0</v>
      </c>
      <c r="F50" s="262">
        <v>90964.0</v>
      </c>
      <c r="G50" s="263">
        <f t="shared" si="4" ref="G50:G113">SUM(C50:F50)</f>
        <v>832742.4468</v>
      </c>
    </row>
    <row r="51" spans="8:8">
      <c r="A51" s="259" t="s">
        <v>58</v>
      </c>
      <c r="B51" s="260" t="s">
        <v>60</v>
      </c>
      <c r="C51" s="261">
        <v>0.01</v>
      </c>
      <c r="D51" s="261">
        <v>681135.4368</v>
      </c>
      <c r="E51" s="262">
        <v>60643.0</v>
      </c>
      <c r="F51" s="262">
        <v>90964.0</v>
      </c>
      <c r="G51" s="263">
        <f t="shared" si="4"/>
        <v>832742.4468</v>
      </c>
    </row>
    <row r="52" spans="8:8">
      <c r="A52" s="259" t="s">
        <v>59</v>
      </c>
      <c r="B52" s="260" t="s">
        <v>60</v>
      </c>
      <c r="C52" s="261">
        <v>0.01</v>
      </c>
      <c r="D52" s="261">
        <v>681135.4368</v>
      </c>
      <c r="E52" s="262">
        <v>60643.0</v>
      </c>
      <c r="F52" s="262">
        <v>90964.0</v>
      </c>
      <c r="G52" s="263">
        <f t="shared" si="4"/>
        <v>832742.4468</v>
      </c>
    </row>
    <row r="53" spans="8:8">
      <c r="A53" s="259" t="s">
        <v>61</v>
      </c>
      <c r="B53" s="260" t="s">
        <v>60</v>
      </c>
      <c r="C53" s="261">
        <v>141903.21600000001</v>
      </c>
      <c r="D53" s="261">
        <v>1191987.0144</v>
      </c>
      <c r="E53" s="262">
        <v>60643.0</v>
      </c>
      <c r="F53" s="262">
        <v>90964.0</v>
      </c>
      <c r="G53" s="263">
        <f t="shared" si="4"/>
        <v>1485497.2304</v>
      </c>
    </row>
    <row r="54" spans="8:8">
      <c r="A54" s="259" t="s">
        <v>62</v>
      </c>
      <c r="B54" s="260" t="s">
        <v>60</v>
      </c>
      <c r="C54" s="261">
        <v>0.01</v>
      </c>
      <c r="D54" s="261">
        <v>681135.4368</v>
      </c>
      <c r="E54" s="262">
        <v>60643.0</v>
      </c>
      <c r="F54" s="262">
        <v>90964.0</v>
      </c>
      <c r="G54" s="263">
        <f t="shared" si="4"/>
        <v>832742.4468</v>
      </c>
    </row>
    <row r="55" spans="8:8">
      <c r="A55" s="259" t="s">
        <v>63</v>
      </c>
      <c r="B55" s="260" t="s">
        <v>60</v>
      </c>
      <c r="C55" s="261">
        <v>0.01</v>
      </c>
      <c r="D55" s="261">
        <v>681135.4368</v>
      </c>
      <c r="E55" s="262">
        <v>60643.0</v>
      </c>
      <c r="F55" s="262">
        <v>90964.0</v>
      </c>
      <c r="G55" s="263">
        <f t="shared" si="4"/>
        <v>832742.4468</v>
      </c>
    </row>
    <row r="56" spans="8:8">
      <c r="A56" s="259" t="s">
        <v>64</v>
      </c>
      <c r="B56" s="260" t="s">
        <v>65</v>
      </c>
      <c r="C56" s="261">
        <v>0.01</v>
      </c>
      <c r="D56" s="261">
        <v>501391.36319999996</v>
      </c>
      <c r="E56" s="262">
        <v>60643.0</v>
      </c>
      <c r="F56" s="262">
        <v>90964.0</v>
      </c>
      <c r="G56" s="263">
        <f t="shared" si="4"/>
        <v>652998.3732</v>
      </c>
    </row>
    <row r="57" spans="8:8">
      <c r="A57" s="259" t="s">
        <v>66</v>
      </c>
      <c r="B57" s="260" t="s">
        <v>65</v>
      </c>
      <c r="C57" s="261">
        <v>0.01</v>
      </c>
      <c r="D57" s="261">
        <v>533556.09216</v>
      </c>
      <c r="E57" s="262">
        <v>60643.0</v>
      </c>
      <c r="F57" s="262">
        <v>90964.0</v>
      </c>
      <c r="G57" s="263">
        <f t="shared" si="4"/>
        <v>685163.10216</v>
      </c>
    </row>
    <row r="58" spans="8:8">
      <c r="A58" s="259" t="s">
        <v>67</v>
      </c>
      <c r="B58" s="260" t="s">
        <v>65</v>
      </c>
      <c r="C58" s="261">
        <v>0.01</v>
      </c>
      <c r="D58" s="261">
        <v>501391.36319999996</v>
      </c>
      <c r="E58" s="262">
        <v>60643.0</v>
      </c>
      <c r="F58" s="262">
        <v>90964.0</v>
      </c>
      <c r="G58" s="263">
        <f t="shared" si="4"/>
        <v>652998.3732</v>
      </c>
    </row>
    <row r="59" spans="8:8">
      <c r="A59" s="259" t="s">
        <v>68</v>
      </c>
      <c r="B59" s="260" t="s">
        <v>65</v>
      </c>
      <c r="C59" s="261">
        <v>0.01</v>
      </c>
      <c r="D59" s="261">
        <v>533556.09216</v>
      </c>
      <c r="E59" s="262">
        <v>60643.0</v>
      </c>
      <c r="F59" s="262">
        <v>90964.0</v>
      </c>
      <c r="G59" s="263">
        <f t="shared" si="4"/>
        <v>685163.10216</v>
      </c>
    </row>
    <row r="60" spans="8:8">
      <c r="A60" s="259" t="s">
        <v>69</v>
      </c>
      <c r="B60" s="260" t="s">
        <v>65</v>
      </c>
      <c r="C60" s="261">
        <v>0.01</v>
      </c>
      <c r="D60" s="261">
        <v>650862.75072</v>
      </c>
      <c r="E60" s="262">
        <v>60643.0</v>
      </c>
      <c r="F60" s="262">
        <v>90964.0</v>
      </c>
      <c r="G60" s="263">
        <f t="shared" si="4"/>
        <v>802469.76072</v>
      </c>
    </row>
    <row r="61" spans="8:8">
      <c r="A61" s="259" t="s">
        <v>70</v>
      </c>
      <c r="B61" s="260" t="s">
        <v>65</v>
      </c>
      <c r="C61" s="261">
        <v>0.01</v>
      </c>
      <c r="D61" s="261">
        <v>501391.36319999996</v>
      </c>
      <c r="E61" s="262">
        <v>60643.0</v>
      </c>
      <c r="F61" s="262">
        <v>90964.0</v>
      </c>
      <c r="G61" s="263">
        <f t="shared" si="4"/>
        <v>652998.3732</v>
      </c>
    </row>
    <row r="62" spans="8:8">
      <c r="A62" s="272" t="s">
        <v>71</v>
      </c>
      <c r="B62" s="271" t="s">
        <v>65</v>
      </c>
      <c r="C62" s="261">
        <v>0.01</v>
      </c>
      <c r="D62" s="261">
        <v>590317.3785600001</v>
      </c>
      <c r="E62" s="262">
        <v>60643.0</v>
      </c>
      <c r="F62" s="262">
        <v>90964.0</v>
      </c>
      <c r="G62" s="263">
        <f t="shared" si="4"/>
        <v>741924.3885600001</v>
      </c>
    </row>
    <row r="63" spans="8:8">
      <c r="A63" s="272" t="s">
        <v>72</v>
      </c>
      <c r="B63" s="271" t="s">
        <v>65</v>
      </c>
      <c r="C63" s="261">
        <v>0.01</v>
      </c>
      <c r="D63" s="261">
        <v>533556.09216</v>
      </c>
      <c r="E63" s="262">
        <v>60643.0</v>
      </c>
      <c r="F63" s="262">
        <v>90964.0</v>
      </c>
      <c r="G63" s="263">
        <f t="shared" si="4"/>
        <v>685163.10216</v>
      </c>
    </row>
    <row r="64" spans="8:8">
      <c r="A64" s="259" t="s">
        <v>73</v>
      </c>
      <c r="B64" s="260" t="s">
        <v>65</v>
      </c>
      <c r="C64" s="261">
        <v>0.01</v>
      </c>
      <c r="D64" s="261">
        <v>501391.36319999996</v>
      </c>
      <c r="E64" s="262">
        <v>60643.0</v>
      </c>
      <c r="F64" s="262">
        <v>90964.0</v>
      </c>
      <c r="G64" s="263">
        <f t="shared" si="4"/>
        <v>652998.3732</v>
      </c>
    </row>
    <row r="65" spans="8:8">
      <c r="A65" s="259" t="s">
        <v>74</v>
      </c>
      <c r="B65" s="260" t="s">
        <v>65</v>
      </c>
      <c r="C65" s="261">
        <v>0.01</v>
      </c>
      <c r="D65" s="261">
        <v>533556.09216</v>
      </c>
      <c r="E65" s="262">
        <v>60643.0</v>
      </c>
      <c r="F65" s="262">
        <v>90964.0</v>
      </c>
      <c r="G65" s="263">
        <f t="shared" si="4"/>
        <v>685163.10216</v>
      </c>
    </row>
    <row r="66" spans="8:8">
      <c r="A66" s="259" t="s">
        <v>75</v>
      </c>
      <c r="B66" s="260" t="s">
        <v>65</v>
      </c>
      <c r="C66" s="261">
        <v>0.01</v>
      </c>
      <c r="D66" s="261">
        <v>823038.6528</v>
      </c>
      <c r="E66" s="262">
        <v>60643.0</v>
      </c>
      <c r="F66" s="262">
        <v>90964.0</v>
      </c>
      <c r="G66" s="263">
        <f t="shared" si="4"/>
        <v>974645.6628</v>
      </c>
    </row>
    <row r="67" spans="8:8">
      <c r="A67" s="259" t="s">
        <v>76</v>
      </c>
      <c r="B67" s="260" t="s">
        <v>65</v>
      </c>
      <c r="C67" s="261">
        <v>0.01</v>
      </c>
      <c r="D67" s="261">
        <v>501391.36319999996</v>
      </c>
      <c r="E67" s="262">
        <v>60643.0</v>
      </c>
      <c r="F67" s="262">
        <v>90964.0</v>
      </c>
      <c r="G67" s="263">
        <f t="shared" si="4"/>
        <v>652998.3732</v>
      </c>
    </row>
    <row r="68" spans="8:8">
      <c r="A68" s="259" t="s">
        <v>77</v>
      </c>
      <c r="B68" s="260" t="s">
        <v>65</v>
      </c>
      <c r="C68" s="261">
        <v>0.01</v>
      </c>
      <c r="D68" s="261">
        <v>533556.09216</v>
      </c>
      <c r="E68" s="262">
        <v>60643.0</v>
      </c>
      <c r="F68" s="262">
        <v>90964.0</v>
      </c>
      <c r="G68" s="263">
        <f t="shared" si="4"/>
        <v>685163.10216</v>
      </c>
    </row>
    <row r="69" spans="8:8">
      <c r="A69" s="259" t="s">
        <v>78</v>
      </c>
      <c r="B69" s="260" t="s">
        <v>65</v>
      </c>
      <c r="C69" s="261">
        <v>0.01</v>
      </c>
      <c r="D69" s="261">
        <v>590317.3785600001</v>
      </c>
      <c r="E69" s="262">
        <v>60643.0</v>
      </c>
      <c r="F69" s="262">
        <v>90964.0</v>
      </c>
      <c r="G69" s="263">
        <f t="shared" si="4"/>
        <v>741924.3885600001</v>
      </c>
    </row>
    <row r="70" spans="8:8">
      <c r="A70" s="259" t="s">
        <v>79</v>
      </c>
      <c r="B70" s="260" t="s">
        <v>65</v>
      </c>
      <c r="C70" s="261">
        <v>0.01</v>
      </c>
      <c r="D70" s="261">
        <v>650862.75072</v>
      </c>
      <c r="E70" s="262">
        <v>60643.0</v>
      </c>
      <c r="F70" s="262">
        <v>90964.0</v>
      </c>
      <c r="G70" s="263">
        <f t="shared" si="4"/>
        <v>802469.76072</v>
      </c>
    </row>
    <row r="71" spans="8:8">
      <c r="A71" s="259" t="s">
        <v>80</v>
      </c>
      <c r="B71" s="260" t="s">
        <v>65</v>
      </c>
      <c r="C71" s="261">
        <v>0.01</v>
      </c>
      <c r="D71" s="261">
        <v>501391.36319999996</v>
      </c>
      <c r="E71" s="262">
        <v>60643.0</v>
      </c>
      <c r="F71" s="262">
        <v>90964.0</v>
      </c>
      <c r="G71" s="263">
        <f t="shared" si="4"/>
        <v>652998.3732</v>
      </c>
    </row>
    <row r="72" spans="8:8">
      <c r="A72" s="259" t="s">
        <v>81</v>
      </c>
      <c r="B72" s="260" t="s">
        <v>65</v>
      </c>
      <c r="C72" s="261">
        <v>0.01</v>
      </c>
      <c r="D72" s="261">
        <v>533556.09216</v>
      </c>
      <c r="E72" s="262">
        <v>60643.0</v>
      </c>
      <c r="F72" s="262">
        <v>90964.0</v>
      </c>
      <c r="G72" s="263">
        <f t="shared" si="4"/>
        <v>685163.10216</v>
      </c>
    </row>
    <row r="73" spans="8:8">
      <c r="A73" s="259" t="s">
        <v>82</v>
      </c>
      <c r="B73" s="260" t="s">
        <v>65</v>
      </c>
      <c r="C73" s="261">
        <v>0.01</v>
      </c>
      <c r="D73" s="261">
        <v>1002782.7263999999</v>
      </c>
      <c r="E73" s="262">
        <v>60643.0</v>
      </c>
      <c r="F73" s="262">
        <v>90964.0</v>
      </c>
      <c r="G73" s="263">
        <f t="shared" si="4"/>
        <v>1154389.7363999998</v>
      </c>
    </row>
    <row r="74" spans="8:8">
      <c r="A74" s="259" t="s">
        <v>83</v>
      </c>
      <c r="B74" s="260" t="s">
        <v>65</v>
      </c>
      <c r="C74" s="261">
        <v>0.01</v>
      </c>
      <c r="D74" s="261">
        <v>1067112.18432</v>
      </c>
      <c r="E74" s="262">
        <v>60643.0</v>
      </c>
      <c r="F74" s="262">
        <v>90964.0</v>
      </c>
      <c r="G74" s="263">
        <f t="shared" si="4"/>
        <v>1218719.19432</v>
      </c>
    </row>
    <row r="75" spans="8:8">
      <c r="A75" s="259" t="s">
        <v>84</v>
      </c>
      <c r="B75" s="260" t="s">
        <v>65</v>
      </c>
      <c r="C75" s="261">
        <v>0.01</v>
      </c>
      <c r="D75" s="261">
        <v>533556.09216</v>
      </c>
      <c r="E75" s="262">
        <v>60643.0</v>
      </c>
      <c r="F75" s="262">
        <v>90964.0</v>
      </c>
      <c r="G75" s="263">
        <f t="shared" si="4"/>
        <v>685163.10216</v>
      </c>
    </row>
    <row r="76" spans="8:8">
      <c r="A76" s="259" t="s">
        <v>85</v>
      </c>
      <c r="B76" s="260" t="s">
        <v>65</v>
      </c>
      <c r="C76" s="261">
        <v>0.01</v>
      </c>
      <c r="D76" s="261">
        <v>1067112.18432</v>
      </c>
      <c r="E76" s="262">
        <v>60643.0</v>
      </c>
      <c r="F76" s="262">
        <v>90964.0</v>
      </c>
      <c r="G76" s="263">
        <f t="shared" si="4"/>
        <v>1218719.19432</v>
      </c>
    </row>
    <row r="77" spans="8:8">
      <c r="A77" s="272" t="s">
        <v>86</v>
      </c>
      <c r="B77" s="271" t="s">
        <v>65</v>
      </c>
      <c r="C77" s="261">
        <v>0.01</v>
      </c>
      <c r="D77" s="261">
        <v>533556.09216</v>
      </c>
      <c r="E77" s="262">
        <v>60643.0</v>
      </c>
      <c r="F77" s="262">
        <v>90964.0</v>
      </c>
      <c r="G77" s="263">
        <f t="shared" si="4"/>
        <v>685163.10216</v>
      </c>
    </row>
    <row r="78" spans="8:8" s="275" ht="18.75" customFormat="1">
      <c r="A78" s="272" t="s">
        <v>87</v>
      </c>
      <c r="B78" s="271" t="s">
        <v>65</v>
      </c>
      <c r="C78" s="261">
        <v>0.01</v>
      </c>
      <c r="D78" s="261">
        <v>590317.3785600001</v>
      </c>
      <c r="E78" s="262">
        <v>60643.0</v>
      </c>
      <c r="F78" s="262">
        <v>90964.0</v>
      </c>
      <c r="G78" s="262">
        <f t="shared" si="4"/>
        <v>741924.3885600001</v>
      </c>
    </row>
    <row r="79" spans="8:8">
      <c r="A79" s="272" t="s">
        <v>88</v>
      </c>
      <c r="B79" s="271" t="s">
        <v>65</v>
      </c>
      <c r="C79" s="261">
        <v>0.01</v>
      </c>
      <c r="D79" s="261">
        <v>650862.75072</v>
      </c>
      <c r="E79" s="262">
        <v>60643.0</v>
      </c>
      <c r="F79" s="262">
        <v>90964.0</v>
      </c>
      <c r="G79" s="263">
        <f t="shared" si="4"/>
        <v>802469.76072</v>
      </c>
    </row>
    <row r="80" spans="8:8">
      <c r="A80" s="272" t="s">
        <v>89</v>
      </c>
      <c r="B80" s="271" t="s">
        <v>65</v>
      </c>
      <c r="C80" s="261">
        <v>0.01</v>
      </c>
      <c r="D80" s="261">
        <v>737896.7231999999</v>
      </c>
      <c r="E80" s="262">
        <v>60643.0</v>
      </c>
      <c r="F80" s="262">
        <v>90964.0</v>
      </c>
      <c r="G80" s="263">
        <f t="shared" si="4"/>
        <v>889503.7331999999</v>
      </c>
    </row>
    <row r="81" spans="8:8">
      <c r="A81" s="272" t="s">
        <v>90</v>
      </c>
      <c r="B81" s="271" t="s">
        <v>65</v>
      </c>
      <c r="C81" s="261">
        <v>0.01</v>
      </c>
      <c r="D81" s="261">
        <v>792765.9667199999</v>
      </c>
      <c r="E81" s="262">
        <v>60643.0</v>
      </c>
      <c r="F81" s="262">
        <v>90964.0</v>
      </c>
      <c r="G81" s="263">
        <f t="shared" si="4"/>
        <v>944372.9767199999</v>
      </c>
    </row>
    <row r="82" spans="8:8">
      <c r="A82" s="272" t="s">
        <v>91</v>
      </c>
      <c r="B82" s="271" t="s">
        <v>65</v>
      </c>
      <c r="C82" s="261">
        <v>0.01</v>
      </c>
      <c r="D82" s="261">
        <v>840067.0387199998</v>
      </c>
      <c r="E82" s="262">
        <v>60643.0</v>
      </c>
      <c r="F82" s="262">
        <v>90964.0</v>
      </c>
      <c r="G82" s="263">
        <f t="shared" si="4"/>
        <v>991674.0487199998</v>
      </c>
    </row>
    <row r="83" spans="8:8">
      <c r="A83" s="272" t="s">
        <v>92</v>
      </c>
      <c r="B83" s="271" t="s">
        <v>65</v>
      </c>
      <c r="C83" s="261">
        <v>0.01</v>
      </c>
      <c r="D83" s="261">
        <v>501391.36319999996</v>
      </c>
      <c r="E83" s="262">
        <v>60643.0</v>
      </c>
      <c r="F83" s="262">
        <v>90964.0</v>
      </c>
      <c r="G83" s="263">
        <f t="shared" si="4"/>
        <v>652998.3732</v>
      </c>
    </row>
    <row r="84" spans="8:8">
      <c r="A84" s="272" t="s">
        <v>93</v>
      </c>
      <c r="B84" s="271" t="s">
        <v>65</v>
      </c>
      <c r="C84" s="261">
        <v>0.01</v>
      </c>
      <c r="D84" s="261">
        <v>533556.09216</v>
      </c>
      <c r="E84" s="262">
        <v>60643.0</v>
      </c>
      <c r="F84" s="262">
        <v>90964.0</v>
      </c>
      <c r="G84" s="263">
        <f t="shared" si="4"/>
        <v>685163.10216</v>
      </c>
    </row>
    <row r="85" spans="8:8">
      <c r="A85" s="272" t="s">
        <v>94</v>
      </c>
      <c r="B85" s="271" t="s">
        <v>65</v>
      </c>
      <c r="C85" s="261">
        <v>0.01</v>
      </c>
      <c r="D85" s="261">
        <v>650862.75072</v>
      </c>
      <c r="E85" s="262">
        <v>60643.0</v>
      </c>
      <c r="F85" s="262">
        <v>90964.0</v>
      </c>
      <c r="G85" s="263">
        <f t="shared" si="4"/>
        <v>802469.76072</v>
      </c>
    </row>
    <row r="86" spans="8:8">
      <c r="A86" s="272" t="s">
        <v>95</v>
      </c>
      <c r="B86" s="271" t="s">
        <v>65</v>
      </c>
      <c r="C86" s="261">
        <v>0.01</v>
      </c>
      <c r="D86" s="261">
        <v>533556.09216</v>
      </c>
      <c r="E86" s="262">
        <v>60643.0</v>
      </c>
      <c r="F86" s="262">
        <v>90964.0</v>
      </c>
      <c r="G86" s="263">
        <f t="shared" si="4"/>
        <v>685163.10216</v>
      </c>
    </row>
    <row r="87" spans="8:8">
      <c r="A87" s="272" t="s">
        <v>96</v>
      </c>
      <c r="B87" s="271" t="s">
        <v>65</v>
      </c>
      <c r="C87" s="261">
        <v>0.01</v>
      </c>
      <c r="D87" s="261">
        <v>650862.75072</v>
      </c>
      <c r="E87" s="262">
        <v>60643.0</v>
      </c>
      <c r="F87" s="262">
        <v>90964.0</v>
      </c>
      <c r="G87" s="263">
        <f t="shared" si="4"/>
        <v>802469.76072</v>
      </c>
    </row>
    <row r="88" spans="8:8">
      <c r="A88" s="272" t="s">
        <v>97</v>
      </c>
      <c r="B88" s="271" t="s">
        <v>65</v>
      </c>
      <c r="C88" s="261">
        <v>0.01</v>
      </c>
      <c r="D88" s="261">
        <v>501391.36319999996</v>
      </c>
      <c r="E88" s="262">
        <v>60643.0</v>
      </c>
      <c r="F88" s="262">
        <v>90964.0</v>
      </c>
      <c r="G88" s="263">
        <f t="shared" si="4"/>
        <v>652998.3732</v>
      </c>
    </row>
    <row r="89" spans="8:8">
      <c r="A89" s="272" t="s">
        <v>98</v>
      </c>
      <c r="B89" s="271" t="s">
        <v>65</v>
      </c>
      <c r="C89" s="261">
        <v>0.01</v>
      </c>
      <c r="D89" s="261">
        <v>533556.09216</v>
      </c>
      <c r="E89" s="262">
        <v>60643.0</v>
      </c>
      <c r="F89" s="262">
        <v>90964.0</v>
      </c>
      <c r="G89" s="263">
        <f t="shared" si="4"/>
        <v>685163.10216</v>
      </c>
    </row>
    <row r="90" spans="8:8" s="275" ht="18.75" customFormat="1">
      <c r="A90" s="272" t="s">
        <v>99</v>
      </c>
      <c r="B90" s="271" t="s">
        <v>65</v>
      </c>
      <c r="C90" s="261">
        <v>0.01</v>
      </c>
      <c r="D90" s="261">
        <v>650862.75072</v>
      </c>
      <c r="E90" s="262">
        <v>60643.0</v>
      </c>
      <c r="F90" s="262">
        <v>90964.0</v>
      </c>
      <c r="G90" s="262">
        <f t="shared" si="4"/>
        <v>802469.76072</v>
      </c>
    </row>
    <row r="91" spans="8:8">
      <c r="A91" s="272" t="s">
        <v>100</v>
      </c>
      <c r="B91" s="271" t="s">
        <v>65</v>
      </c>
      <c r="C91" s="261">
        <v>0.01</v>
      </c>
      <c r="D91" s="261">
        <v>792765.9667199999</v>
      </c>
      <c r="E91" s="262">
        <v>60643.0</v>
      </c>
      <c r="F91" s="262">
        <v>90964.0</v>
      </c>
      <c r="G91" s="263">
        <f t="shared" si="4"/>
        <v>944372.9767199999</v>
      </c>
    </row>
    <row r="92" spans="8:8">
      <c r="A92" s="272" t="s">
        <v>101</v>
      </c>
      <c r="B92" s="271" t="s">
        <v>65</v>
      </c>
      <c r="C92" s="261">
        <v>0.01</v>
      </c>
      <c r="D92" s="261">
        <v>840067.0387199998</v>
      </c>
      <c r="E92" s="262">
        <v>60643.0</v>
      </c>
      <c r="F92" s="262">
        <v>90964.0</v>
      </c>
      <c r="G92" s="263">
        <f t="shared" si="4"/>
        <v>991674.0487199998</v>
      </c>
    </row>
    <row r="93" spans="8:8">
      <c r="A93" s="272" t="s">
        <v>102</v>
      </c>
      <c r="B93" s="271" t="s">
        <v>65</v>
      </c>
      <c r="C93" s="261">
        <v>0.01</v>
      </c>
      <c r="D93" s="261">
        <v>527879.96352</v>
      </c>
      <c r="E93" s="262">
        <v>60643.0</v>
      </c>
      <c r="F93" s="262">
        <v>90964.0</v>
      </c>
      <c r="G93" s="263">
        <f t="shared" si="4"/>
        <v>679486.97352</v>
      </c>
    </row>
    <row r="94" spans="8:8">
      <c r="A94" s="272" t="s">
        <v>103</v>
      </c>
      <c r="B94" s="271" t="s">
        <v>65</v>
      </c>
      <c r="C94" s="261">
        <v>0.01</v>
      </c>
      <c r="D94" s="261">
        <v>501391.36319999996</v>
      </c>
      <c r="E94" s="262">
        <v>60643.0</v>
      </c>
      <c r="F94" s="262">
        <v>90964.0</v>
      </c>
      <c r="G94" s="263">
        <f t="shared" si="4"/>
        <v>652998.3732</v>
      </c>
    </row>
    <row r="95" spans="8:8">
      <c r="A95" s="272" t="s">
        <v>104</v>
      </c>
      <c r="B95" s="271" t="s">
        <v>65</v>
      </c>
      <c r="C95" s="261">
        <v>0.01</v>
      </c>
      <c r="D95" s="261">
        <v>533556.09216</v>
      </c>
      <c r="E95" s="262">
        <v>60643.0</v>
      </c>
      <c r="F95" s="262">
        <v>90964.0</v>
      </c>
      <c r="G95" s="263">
        <f t="shared" si="4"/>
        <v>685163.10216</v>
      </c>
    </row>
    <row r="96" spans="8:8" s="275" ht="18.75" customFormat="1">
      <c r="A96" s="259" t="s">
        <v>105</v>
      </c>
      <c r="B96" s="260" t="s">
        <v>65</v>
      </c>
      <c r="C96" s="261">
        <v>0.01</v>
      </c>
      <c r="D96" s="261">
        <v>590317.3785600001</v>
      </c>
      <c r="E96" s="262">
        <v>60643.0</v>
      </c>
      <c r="F96" s="262">
        <v>90964.0</v>
      </c>
      <c r="G96" s="262">
        <f t="shared" si="4"/>
        <v>741924.3885600001</v>
      </c>
    </row>
    <row r="97" spans="8:8">
      <c r="A97" s="259" t="s">
        <v>108</v>
      </c>
      <c r="B97" s="260" t="s">
        <v>65</v>
      </c>
      <c r="C97" s="261">
        <v>0.01</v>
      </c>
      <c r="D97" s="261">
        <v>533556.09216</v>
      </c>
      <c r="E97" s="262">
        <v>60643.0</v>
      </c>
      <c r="F97" s="262">
        <v>90964.0</v>
      </c>
      <c r="G97" s="263">
        <f t="shared" si="4"/>
        <v>685163.10216</v>
      </c>
    </row>
    <row r="98" spans="8:8">
      <c r="A98" s="259" t="s">
        <v>109</v>
      </c>
      <c r="B98" s="260" t="s">
        <v>65</v>
      </c>
      <c r="C98" s="261">
        <v>0.01</v>
      </c>
      <c r="D98" s="261">
        <v>590317.3785600001</v>
      </c>
      <c r="E98" s="262">
        <v>60643.0</v>
      </c>
      <c r="F98" s="262">
        <v>90964.0</v>
      </c>
      <c r="G98" s="263">
        <f t="shared" si="4"/>
        <v>741924.3885600001</v>
      </c>
    </row>
    <row r="99" spans="8:8">
      <c r="A99" s="259" t="s">
        <v>110</v>
      </c>
      <c r="B99" s="260" t="s">
        <v>65</v>
      </c>
      <c r="C99" s="261">
        <v>2860000.0</v>
      </c>
      <c r="D99" s="261">
        <v>490039.10591999994</v>
      </c>
      <c r="E99" s="262">
        <v>60643.0</v>
      </c>
      <c r="F99" s="262">
        <v>90964.0</v>
      </c>
      <c r="G99" s="263">
        <f t="shared" si="4"/>
        <v>3501646.10592</v>
      </c>
    </row>
    <row r="100" spans="8:8">
      <c r="A100" s="259" t="s">
        <v>111</v>
      </c>
      <c r="B100" s="260" t="s">
        <v>65</v>
      </c>
      <c r="C100" s="261">
        <v>0.01</v>
      </c>
      <c r="D100" s="261">
        <v>501391.36319999996</v>
      </c>
      <c r="E100" s="262">
        <v>60643.0</v>
      </c>
      <c r="F100" s="262">
        <v>90964.0</v>
      </c>
      <c r="G100" s="263">
        <f t="shared" si="4"/>
        <v>652998.3732</v>
      </c>
    </row>
    <row r="101" spans="8:8">
      <c r="A101" s="259" t="s">
        <v>112</v>
      </c>
      <c r="B101" s="260" t="s">
        <v>65</v>
      </c>
      <c r="C101" s="261">
        <v>0.01</v>
      </c>
      <c r="D101" s="261">
        <v>533556.09216</v>
      </c>
      <c r="E101" s="262">
        <v>60643.0</v>
      </c>
      <c r="F101" s="262">
        <v>90964.0</v>
      </c>
      <c r="G101" s="263">
        <f t="shared" si="4"/>
        <v>685163.10216</v>
      </c>
    </row>
    <row r="102" spans="8:8">
      <c r="A102" s="259" t="s">
        <v>113</v>
      </c>
      <c r="B102" s="260" t="s">
        <v>65</v>
      </c>
      <c r="C102" s="261">
        <v>0.01</v>
      </c>
      <c r="D102" s="261">
        <v>590317.3785600001</v>
      </c>
      <c r="E102" s="262">
        <v>60643.0</v>
      </c>
      <c r="F102" s="262">
        <v>90964.0</v>
      </c>
      <c r="G102" s="263">
        <f t="shared" si="4"/>
        <v>741924.3885600001</v>
      </c>
    </row>
    <row r="103" spans="8:8">
      <c r="A103" s="259" t="s">
        <v>114</v>
      </c>
      <c r="B103" s="260" t="s">
        <v>65</v>
      </c>
      <c r="C103" s="261">
        <v>0.01</v>
      </c>
      <c r="D103" s="261">
        <v>501391.36319999996</v>
      </c>
      <c r="E103" s="262">
        <v>60643.0</v>
      </c>
      <c r="F103" s="262">
        <v>90964.0</v>
      </c>
      <c r="G103" s="263">
        <f t="shared" si="4"/>
        <v>652998.3732</v>
      </c>
    </row>
    <row r="104" spans="8:8">
      <c r="A104" s="259" t="s">
        <v>115</v>
      </c>
      <c r="B104" s="260" t="s">
        <v>65</v>
      </c>
      <c r="C104" s="261">
        <v>0.01</v>
      </c>
      <c r="D104" s="261">
        <v>533556.09216</v>
      </c>
      <c r="E104" s="262">
        <v>60643.0</v>
      </c>
      <c r="F104" s="262">
        <v>90964.0</v>
      </c>
      <c r="G104" s="263">
        <f t="shared" si="4"/>
        <v>685163.10216</v>
      </c>
    </row>
    <row r="105" spans="8:8">
      <c r="A105" s="259" t="s">
        <v>116</v>
      </c>
      <c r="B105" s="260" t="s">
        <v>65</v>
      </c>
      <c r="C105" s="261">
        <v>0.01</v>
      </c>
      <c r="D105" s="261">
        <v>590317.3785600001</v>
      </c>
      <c r="E105" s="262">
        <v>60643.0</v>
      </c>
      <c r="F105" s="262">
        <v>90964.0</v>
      </c>
      <c r="G105" s="263">
        <f t="shared" si="4"/>
        <v>741924.3885600001</v>
      </c>
    </row>
    <row r="106" spans="8:8">
      <c r="A106" s="259" t="s">
        <v>117</v>
      </c>
      <c r="B106" s="260" t="s">
        <v>65</v>
      </c>
      <c r="C106" s="261">
        <v>0.01</v>
      </c>
      <c r="D106" s="261">
        <v>533556.09216</v>
      </c>
      <c r="E106" s="262">
        <v>60643.0</v>
      </c>
      <c r="F106" s="262">
        <v>90964.0</v>
      </c>
      <c r="G106" s="263">
        <f t="shared" si="4"/>
        <v>685163.10216</v>
      </c>
    </row>
    <row r="107" spans="8:8">
      <c r="A107" s="259" t="s">
        <v>118</v>
      </c>
      <c r="B107" s="260" t="s">
        <v>65</v>
      </c>
      <c r="C107" s="261">
        <v>0.01</v>
      </c>
      <c r="D107" s="261">
        <v>501391.36319999996</v>
      </c>
      <c r="E107" s="262">
        <v>60643.0</v>
      </c>
      <c r="F107" s="262">
        <v>90964.0</v>
      </c>
      <c r="G107" s="263">
        <f t="shared" si="4"/>
        <v>652998.3732</v>
      </c>
    </row>
    <row r="108" spans="8:8">
      <c r="A108" s="259" t="s">
        <v>119</v>
      </c>
      <c r="B108" s="260" t="s">
        <v>65</v>
      </c>
      <c r="C108" s="261">
        <v>0.01</v>
      </c>
      <c r="D108" s="261">
        <v>533556.09216</v>
      </c>
      <c r="E108" s="262">
        <v>60643.0</v>
      </c>
      <c r="F108" s="262">
        <v>90964.0</v>
      </c>
      <c r="G108" s="263">
        <f t="shared" si="4"/>
        <v>685163.10216</v>
      </c>
    </row>
    <row r="109" spans="8:8">
      <c r="A109" s="259" t="s">
        <v>120</v>
      </c>
      <c r="B109" s="260" t="s">
        <v>65</v>
      </c>
      <c r="C109" s="261">
        <v>0.01</v>
      </c>
      <c r="D109" s="261">
        <v>1002782.7263999999</v>
      </c>
      <c r="E109" s="262">
        <v>60643.0</v>
      </c>
      <c r="F109" s="262">
        <v>90964.0</v>
      </c>
      <c r="G109" s="263">
        <f t="shared" si="4"/>
        <v>1154389.7363999998</v>
      </c>
    </row>
    <row r="110" spans="8:8">
      <c r="A110" s="259" t="s">
        <v>121</v>
      </c>
      <c r="B110" s="260" t="s">
        <v>65</v>
      </c>
      <c r="C110" s="261">
        <v>0.01</v>
      </c>
      <c r="D110" s="261">
        <v>1067112.18432</v>
      </c>
      <c r="E110" s="262">
        <v>60643.0</v>
      </c>
      <c r="F110" s="262">
        <v>90964.0</v>
      </c>
      <c r="G110" s="263">
        <f t="shared" si="4"/>
        <v>1218719.19432</v>
      </c>
    </row>
    <row r="111" spans="8:8">
      <c r="A111" s="259" t="s">
        <v>122</v>
      </c>
      <c r="B111" s="260" t="s">
        <v>65</v>
      </c>
      <c r="C111" s="261">
        <v>0.01</v>
      </c>
      <c r="D111" s="261">
        <v>501391.36319999996</v>
      </c>
      <c r="E111" s="262">
        <v>60643.0</v>
      </c>
      <c r="F111" s="262">
        <v>90964.0</v>
      </c>
      <c r="G111" s="263">
        <f t="shared" si="4"/>
        <v>652998.3732</v>
      </c>
    </row>
    <row r="112" spans="8:8">
      <c r="A112" s="259" t="s">
        <v>123</v>
      </c>
      <c r="B112" s="260" t="s">
        <v>65</v>
      </c>
      <c r="C112" s="261">
        <v>0.01</v>
      </c>
      <c r="D112" s="261">
        <v>533556.09216</v>
      </c>
      <c r="E112" s="262">
        <v>60643.0</v>
      </c>
      <c r="F112" s="262">
        <v>90964.0</v>
      </c>
      <c r="G112" s="263">
        <f t="shared" si="4"/>
        <v>685163.10216</v>
      </c>
    </row>
    <row r="113" spans="8:8">
      <c r="A113" s="259" t="s">
        <v>124</v>
      </c>
      <c r="B113" s="260" t="s">
        <v>65</v>
      </c>
      <c r="C113" s="261">
        <v>0.01</v>
      </c>
      <c r="D113" s="261">
        <v>590317.3785600001</v>
      </c>
      <c r="E113" s="262">
        <v>60643.0</v>
      </c>
      <c r="F113" s="262">
        <v>90964.0</v>
      </c>
      <c r="G113" s="263">
        <f t="shared" si="4"/>
        <v>741924.3885600001</v>
      </c>
    </row>
    <row r="114" spans="8:8">
      <c r="A114" s="259" t="s">
        <v>125</v>
      </c>
      <c r="B114" s="260" t="s">
        <v>65</v>
      </c>
      <c r="C114" s="261">
        <v>0.01</v>
      </c>
      <c r="D114" s="261">
        <v>650862.75072</v>
      </c>
      <c r="E114" s="262">
        <v>60643.0</v>
      </c>
      <c r="F114" s="262">
        <v>90964.0</v>
      </c>
      <c r="G114" s="263">
        <f t="shared" si="5" ref="G114:G177">SUM(C114:F114)</f>
        <v>802469.76072</v>
      </c>
    </row>
    <row r="115" spans="8:8">
      <c r="A115" s="259" t="s">
        <v>126</v>
      </c>
      <c r="B115" s="260" t="s">
        <v>65</v>
      </c>
      <c r="C115" s="261">
        <v>0.01</v>
      </c>
      <c r="D115" s="261">
        <v>737896.7231999999</v>
      </c>
      <c r="E115" s="262">
        <v>60643.0</v>
      </c>
      <c r="F115" s="262">
        <v>90964.0</v>
      </c>
      <c r="G115" s="263">
        <f t="shared" si="5"/>
        <v>889503.7331999999</v>
      </c>
    </row>
    <row r="116" spans="8:8">
      <c r="A116" s="259" t="s">
        <v>127</v>
      </c>
      <c r="B116" s="260" t="s">
        <v>65</v>
      </c>
      <c r="C116" s="261">
        <v>0.01</v>
      </c>
      <c r="D116" s="261">
        <v>1002782.7263999999</v>
      </c>
      <c r="E116" s="262">
        <v>60643.0</v>
      </c>
      <c r="F116" s="262">
        <v>90964.0</v>
      </c>
      <c r="G116" s="263">
        <f t="shared" si="5"/>
        <v>1154389.7363999998</v>
      </c>
    </row>
    <row r="117" spans="8:8">
      <c r="A117" s="259" t="s">
        <v>128</v>
      </c>
      <c r="B117" s="260" t="s">
        <v>65</v>
      </c>
      <c r="C117" s="261">
        <v>0.01</v>
      </c>
      <c r="D117" s="261">
        <v>1067112.18432</v>
      </c>
      <c r="E117" s="262">
        <v>60643.0</v>
      </c>
      <c r="F117" s="262">
        <v>90964.0</v>
      </c>
      <c r="G117" s="263">
        <f t="shared" si="5"/>
        <v>1218719.19432</v>
      </c>
    </row>
    <row r="118" spans="8:8">
      <c r="A118" s="259" t="s">
        <v>129</v>
      </c>
      <c r="B118" s="260" t="s">
        <v>65</v>
      </c>
      <c r="C118" s="261">
        <v>0.01</v>
      </c>
      <c r="D118" s="261">
        <v>1180634.7571200002</v>
      </c>
      <c r="E118" s="262">
        <v>60643.0</v>
      </c>
      <c r="F118" s="262">
        <v>90964.0</v>
      </c>
      <c r="G118" s="263">
        <f t="shared" si="5"/>
        <v>1332241.7671200002</v>
      </c>
    </row>
    <row r="119" spans="8:8">
      <c r="A119" s="259" t="s">
        <v>130</v>
      </c>
      <c r="B119" s="260" t="s">
        <v>65</v>
      </c>
      <c r="C119" s="261">
        <v>0.01</v>
      </c>
      <c r="D119" s="261">
        <v>1301725.50144</v>
      </c>
      <c r="E119" s="262">
        <v>60643.0</v>
      </c>
      <c r="F119" s="262">
        <v>90964.0</v>
      </c>
      <c r="G119" s="263">
        <f t="shared" si="5"/>
        <v>1453332.51144</v>
      </c>
    </row>
    <row r="120" spans="8:8">
      <c r="A120" s="259" t="s">
        <v>131</v>
      </c>
      <c r="B120" s="260" t="s">
        <v>65</v>
      </c>
      <c r="C120" s="261">
        <v>0.01</v>
      </c>
      <c r="D120" s="261">
        <v>1475793.4463999998</v>
      </c>
      <c r="E120" s="262">
        <v>60643.0</v>
      </c>
      <c r="F120" s="262">
        <v>90964.0</v>
      </c>
      <c r="G120" s="263">
        <f t="shared" si="5"/>
        <v>1627400.4563999998</v>
      </c>
    </row>
    <row r="121" spans="8:8">
      <c r="A121" s="259" t="s">
        <v>132</v>
      </c>
      <c r="B121" s="260" t="s">
        <v>65</v>
      </c>
      <c r="C121" s="261">
        <v>0.01</v>
      </c>
      <c r="D121" s="261">
        <v>501391.36319999996</v>
      </c>
      <c r="E121" s="262">
        <v>60643.0</v>
      </c>
      <c r="F121" s="262">
        <v>90964.0</v>
      </c>
      <c r="G121" s="263">
        <f t="shared" si="5"/>
        <v>652998.3732</v>
      </c>
    </row>
    <row r="122" spans="8:8">
      <c r="A122" s="259" t="s">
        <v>133</v>
      </c>
      <c r="B122" s="260" t="s">
        <v>65</v>
      </c>
      <c r="C122" s="261">
        <v>0.01</v>
      </c>
      <c r="D122" s="261">
        <v>533556.09216</v>
      </c>
      <c r="E122" s="262">
        <v>60643.0</v>
      </c>
      <c r="F122" s="262">
        <v>90964.0</v>
      </c>
      <c r="G122" s="263">
        <f t="shared" si="5"/>
        <v>685163.10216</v>
      </c>
    </row>
    <row r="123" spans="8:8">
      <c r="A123" s="259" t="s">
        <v>134</v>
      </c>
      <c r="B123" s="260" t="s">
        <v>65</v>
      </c>
      <c r="C123" s="261">
        <v>0.01</v>
      </c>
      <c r="D123" s="261">
        <v>590317.3785600001</v>
      </c>
      <c r="E123" s="262">
        <v>60643.0</v>
      </c>
      <c r="F123" s="262">
        <v>90964.0</v>
      </c>
      <c r="G123" s="263">
        <f t="shared" si="5"/>
        <v>741924.3885600001</v>
      </c>
    </row>
    <row r="124" spans="8:8">
      <c r="A124" s="259" t="s">
        <v>135</v>
      </c>
      <c r="B124" s="260" t="s">
        <v>65</v>
      </c>
      <c r="C124" s="261">
        <v>0.01</v>
      </c>
      <c r="D124" s="261">
        <v>501391.36319999996</v>
      </c>
      <c r="E124" s="262">
        <v>60643.0</v>
      </c>
      <c r="F124" s="262">
        <v>90964.0</v>
      </c>
      <c r="G124" s="263">
        <f t="shared" si="5"/>
        <v>652998.3732</v>
      </c>
    </row>
    <row r="125" spans="8:8">
      <c r="A125" s="259" t="s">
        <v>136</v>
      </c>
      <c r="B125" s="260" t="s">
        <v>65</v>
      </c>
      <c r="C125" s="261">
        <v>0.01</v>
      </c>
      <c r="D125" s="261">
        <v>533556.09216</v>
      </c>
      <c r="E125" s="262">
        <v>60643.0</v>
      </c>
      <c r="F125" s="262">
        <v>90964.0</v>
      </c>
      <c r="G125" s="263">
        <f t="shared" si="5"/>
        <v>685163.10216</v>
      </c>
    </row>
    <row r="126" spans="8:8">
      <c r="A126" s="259" t="s">
        <v>137</v>
      </c>
      <c r="B126" s="260" t="s">
        <v>65</v>
      </c>
      <c r="C126" s="261">
        <v>0.01</v>
      </c>
      <c r="D126" s="261">
        <v>1002782.7263999999</v>
      </c>
      <c r="E126" s="262">
        <v>60643.0</v>
      </c>
      <c r="F126" s="262">
        <v>90964.0</v>
      </c>
      <c r="G126" s="263">
        <f t="shared" si="5"/>
        <v>1154389.7363999998</v>
      </c>
    </row>
    <row r="127" spans="8:8">
      <c r="A127" s="259" t="s">
        <v>138</v>
      </c>
      <c r="B127" s="260" t="s">
        <v>65</v>
      </c>
      <c r="C127" s="261">
        <v>0.01</v>
      </c>
      <c r="D127" s="261">
        <v>1067112.18432</v>
      </c>
      <c r="E127" s="262">
        <v>60643.0</v>
      </c>
      <c r="F127" s="262">
        <v>90964.0</v>
      </c>
      <c r="G127" s="263">
        <f t="shared" si="5"/>
        <v>1218719.19432</v>
      </c>
    </row>
    <row r="128" spans="8:8">
      <c r="A128" s="259" t="s">
        <v>139</v>
      </c>
      <c r="B128" s="260" t="s">
        <v>65</v>
      </c>
      <c r="C128" s="261">
        <v>0.01</v>
      </c>
      <c r="D128" s="261">
        <v>501391.36319999996</v>
      </c>
      <c r="E128" s="262">
        <v>60643.0</v>
      </c>
      <c r="F128" s="262">
        <v>90964.0</v>
      </c>
      <c r="G128" s="263">
        <f t="shared" si="5"/>
        <v>652998.3732</v>
      </c>
    </row>
    <row r="129" spans="8:8">
      <c r="A129" s="259" t="s">
        <v>140</v>
      </c>
      <c r="B129" s="260" t="s">
        <v>65</v>
      </c>
      <c r="C129" s="261">
        <v>0.01</v>
      </c>
      <c r="D129" s="261">
        <v>533556.09216</v>
      </c>
      <c r="E129" s="262">
        <v>60643.0</v>
      </c>
      <c r="F129" s="262">
        <v>90964.0</v>
      </c>
      <c r="G129" s="263">
        <f t="shared" si="5"/>
        <v>685163.10216</v>
      </c>
    </row>
    <row r="130" spans="8:8">
      <c r="A130" s="259" t="s">
        <v>141</v>
      </c>
      <c r="B130" s="260" t="s">
        <v>65</v>
      </c>
      <c r="C130" s="261">
        <v>0.01</v>
      </c>
      <c r="D130" s="261">
        <v>590317.3785600001</v>
      </c>
      <c r="E130" s="262">
        <v>60643.0</v>
      </c>
      <c r="F130" s="262">
        <v>90964.0</v>
      </c>
      <c r="G130" s="263">
        <f t="shared" si="5"/>
        <v>741924.3885600001</v>
      </c>
    </row>
    <row r="131" spans="8:8">
      <c r="A131" s="259" t="s">
        <v>142</v>
      </c>
      <c r="B131" s="260" t="s">
        <v>65</v>
      </c>
      <c r="C131" s="261">
        <v>0.01</v>
      </c>
      <c r="D131" s="261">
        <v>1002782.7263999999</v>
      </c>
      <c r="E131" s="262">
        <v>60643.0</v>
      </c>
      <c r="F131" s="262">
        <v>90964.0</v>
      </c>
      <c r="G131" s="263">
        <f t="shared" si="5"/>
        <v>1154389.7363999998</v>
      </c>
    </row>
    <row r="132" spans="8:8">
      <c r="A132" s="259" t="s">
        <v>143</v>
      </c>
      <c r="B132" s="260" t="s">
        <v>65</v>
      </c>
      <c r="C132" s="261">
        <v>0.01</v>
      </c>
      <c r="D132" s="261">
        <v>1067112.18432</v>
      </c>
      <c r="E132" s="262">
        <v>60643.0</v>
      </c>
      <c r="F132" s="262">
        <v>90964.0</v>
      </c>
      <c r="G132" s="263">
        <f t="shared" si="5"/>
        <v>1218719.19432</v>
      </c>
    </row>
    <row r="133" spans="8:8">
      <c r="A133" s="259" t="s">
        <v>144</v>
      </c>
      <c r="B133" s="260" t="s">
        <v>65</v>
      </c>
      <c r="C133" s="261">
        <v>0.01</v>
      </c>
      <c r="D133" s="261">
        <v>1180634.7571200002</v>
      </c>
      <c r="E133" s="262">
        <v>60643.0</v>
      </c>
      <c r="F133" s="262">
        <v>90964.0</v>
      </c>
      <c r="G133" s="263">
        <f t="shared" si="5"/>
        <v>1332241.7671200002</v>
      </c>
    </row>
    <row r="134" spans="8:8">
      <c r="A134" s="259" t="s">
        <v>145</v>
      </c>
      <c r="B134" s="260" t="s">
        <v>65</v>
      </c>
      <c r="C134" s="261">
        <v>0.01</v>
      </c>
      <c r="D134" s="261">
        <v>501391.36319999996</v>
      </c>
      <c r="E134" s="262">
        <v>60643.0</v>
      </c>
      <c r="F134" s="262">
        <v>90964.0</v>
      </c>
      <c r="G134" s="263">
        <f t="shared" si="5"/>
        <v>652998.3732</v>
      </c>
    </row>
    <row r="135" spans="8:8">
      <c r="A135" s="259" t="s">
        <v>146</v>
      </c>
      <c r="B135" s="260" t="s">
        <v>65</v>
      </c>
      <c r="C135" s="261">
        <v>0.01</v>
      </c>
      <c r="D135" s="261">
        <v>533556.09216</v>
      </c>
      <c r="E135" s="262">
        <v>60643.0</v>
      </c>
      <c r="F135" s="262">
        <v>90964.0</v>
      </c>
      <c r="G135" s="263">
        <f t="shared" si="5"/>
        <v>685163.10216</v>
      </c>
    </row>
    <row r="136" spans="8:8">
      <c r="A136" s="259" t="s">
        <v>147</v>
      </c>
      <c r="B136" s="260" t="s">
        <v>65</v>
      </c>
      <c r="C136" s="261">
        <v>0.01</v>
      </c>
      <c r="D136" s="261">
        <v>590317.3785600001</v>
      </c>
      <c r="E136" s="262">
        <v>60643.0</v>
      </c>
      <c r="F136" s="262">
        <v>90964.0</v>
      </c>
      <c r="G136" s="263">
        <f t="shared" si="5"/>
        <v>741924.3885600001</v>
      </c>
    </row>
    <row r="137" spans="8:8">
      <c r="A137" s="259" t="s">
        <v>148</v>
      </c>
      <c r="B137" s="260" t="s">
        <v>65</v>
      </c>
      <c r="C137" s="261">
        <v>0.01</v>
      </c>
      <c r="D137" s="261">
        <v>533556.09216</v>
      </c>
      <c r="E137" s="262">
        <v>60643.0</v>
      </c>
      <c r="F137" s="262">
        <v>90964.0</v>
      </c>
      <c r="G137" s="263">
        <f t="shared" si="5"/>
        <v>685163.10216</v>
      </c>
    </row>
    <row r="138" spans="8:8">
      <c r="A138" s="259" t="s">
        <v>149</v>
      </c>
      <c r="B138" s="260" t="s">
        <v>65</v>
      </c>
      <c r="C138" s="261">
        <v>0.01</v>
      </c>
      <c r="D138" s="261">
        <v>590317.3785600001</v>
      </c>
      <c r="E138" s="262">
        <v>60643.0</v>
      </c>
      <c r="F138" s="262">
        <v>90964.0</v>
      </c>
      <c r="G138" s="263">
        <f t="shared" si="5"/>
        <v>741924.3885600001</v>
      </c>
    </row>
    <row r="139" spans="8:8">
      <c r="A139" s="259" t="s">
        <v>150</v>
      </c>
      <c r="B139" s="260" t="s">
        <v>65</v>
      </c>
      <c r="C139" s="261">
        <v>0.01</v>
      </c>
      <c r="D139" s="261">
        <v>792765.9667199999</v>
      </c>
      <c r="E139" s="262">
        <v>60643.0</v>
      </c>
      <c r="F139" s="262">
        <v>90964.0</v>
      </c>
      <c r="G139" s="263">
        <f t="shared" si="5"/>
        <v>944372.9767199999</v>
      </c>
    </row>
    <row r="140" spans="8:8">
      <c r="A140" s="259" t="s">
        <v>151</v>
      </c>
      <c r="B140" s="260" t="s">
        <v>65</v>
      </c>
      <c r="C140" s="261">
        <v>0.01</v>
      </c>
      <c r="D140" s="261">
        <v>1067112.18432</v>
      </c>
      <c r="E140" s="262">
        <v>60643.0</v>
      </c>
      <c r="F140" s="262">
        <v>90964.0</v>
      </c>
      <c r="G140" s="263">
        <f t="shared" si="5"/>
        <v>1218719.19432</v>
      </c>
    </row>
    <row r="141" spans="8:8">
      <c r="A141" s="259" t="s">
        <v>152</v>
      </c>
      <c r="B141" s="260" t="s">
        <v>65</v>
      </c>
      <c r="C141" s="261">
        <v>0.01</v>
      </c>
      <c r="D141" s="261">
        <v>1180634.7571200002</v>
      </c>
      <c r="E141" s="262">
        <v>60643.0</v>
      </c>
      <c r="F141" s="262">
        <v>90964.0</v>
      </c>
      <c r="G141" s="263">
        <f t="shared" si="5"/>
        <v>1332241.7671200002</v>
      </c>
    </row>
    <row r="142" spans="8:8">
      <c r="A142" s="259" t="s">
        <v>153</v>
      </c>
      <c r="B142" s="260" t="s">
        <v>65</v>
      </c>
      <c r="C142" s="261">
        <v>0.01</v>
      </c>
      <c r="D142" s="261">
        <v>2459655.744</v>
      </c>
      <c r="E142" s="262">
        <v>60643.0</v>
      </c>
      <c r="F142" s="262">
        <v>90964.0</v>
      </c>
      <c r="G142" s="263">
        <f t="shared" si="5"/>
        <v>2611262.7539999997</v>
      </c>
    </row>
    <row r="143" spans="8:8">
      <c r="A143" s="259" t="s">
        <v>154</v>
      </c>
      <c r="B143" s="260" t="s">
        <v>65</v>
      </c>
      <c r="C143" s="261">
        <v>0.01</v>
      </c>
      <c r="D143" s="261">
        <v>473010.72000000003</v>
      </c>
      <c r="E143" s="262">
        <v>60643.0</v>
      </c>
      <c r="F143" s="262">
        <v>90964.0</v>
      </c>
      <c r="G143" s="263">
        <f t="shared" si="5"/>
        <v>624617.73</v>
      </c>
    </row>
    <row r="144" spans="8:8">
      <c r="A144" s="259" t="s">
        <v>155</v>
      </c>
      <c r="B144" s="260" t="s">
        <v>65</v>
      </c>
      <c r="C144" s="261">
        <v>0.01</v>
      </c>
      <c r="D144" s="261">
        <v>501391.36319999996</v>
      </c>
      <c r="E144" s="262">
        <v>60643.0</v>
      </c>
      <c r="F144" s="262">
        <v>90964.0</v>
      </c>
      <c r="G144" s="263">
        <f t="shared" si="5"/>
        <v>652998.3732</v>
      </c>
    </row>
    <row r="145" spans="8:8">
      <c r="A145" s="259" t="s">
        <v>156</v>
      </c>
      <c r="B145" s="260" t="s">
        <v>65</v>
      </c>
      <c r="C145" s="261">
        <v>0.01</v>
      </c>
      <c r="D145" s="261">
        <v>533556.09216</v>
      </c>
      <c r="E145" s="262">
        <v>60643.0</v>
      </c>
      <c r="F145" s="262">
        <v>90964.0</v>
      </c>
      <c r="G145" s="263">
        <f t="shared" si="5"/>
        <v>685163.10216</v>
      </c>
    </row>
    <row r="146" spans="8:8">
      <c r="A146" s="259" t="s">
        <v>157</v>
      </c>
      <c r="B146" s="260" t="s">
        <v>65</v>
      </c>
      <c r="C146" s="261">
        <v>0.01</v>
      </c>
      <c r="D146" s="261">
        <v>501391.36319999996</v>
      </c>
      <c r="E146" s="262">
        <v>60643.0</v>
      </c>
      <c r="F146" s="262">
        <v>90964.0</v>
      </c>
      <c r="G146" s="263">
        <f t="shared" si="5"/>
        <v>652998.3732</v>
      </c>
    </row>
    <row r="147" spans="8:8">
      <c r="A147" s="259" t="s">
        <v>158</v>
      </c>
      <c r="B147" s="260" t="s">
        <v>65</v>
      </c>
      <c r="C147" s="261">
        <v>0.01</v>
      </c>
      <c r="D147" s="261">
        <v>533556.09216</v>
      </c>
      <c r="E147" s="262">
        <v>60643.0</v>
      </c>
      <c r="F147" s="262">
        <v>90964.0</v>
      </c>
      <c r="G147" s="263">
        <f t="shared" si="5"/>
        <v>685163.10216</v>
      </c>
    </row>
    <row r="148" spans="8:8">
      <c r="A148" s="259" t="s">
        <v>159</v>
      </c>
      <c r="B148" s="260" t="s">
        <v>65</v>
      </c>
      <c r="C148" s="261">
        <v>0.01</v>
      </c>
      <c r="D148" s="261">
        <v>590317.3785600001</v>
      </c>
      <c r="E148" s="262">
        <v>60643.0</v>
      </c>
      <c r="F148" s="262">
        <v>90964.0</v>
      </c>
      <c r="G148" s="263">
        <f t="shared" si="5"/>
        <v>741924.3885600001</v>
      </c>
    </row>
    <row r="149" spans="8:8">
      <c r="A149" s="259" t="s">
        <v>160</v>
      </c>
      <c r="B149" s="260" t="s">
        <v>65</v>
      </c>
      <c r="C149" s="261">
        <v>0.01</v>
      </c>
      <c r="D149" s="261">
        <v>533556.09216</v>
      </c>
      <c r="E149" s="262">
        <v>60643.0</v>
      </c>
      <c r="F149" s="262">
        <v>90964.0</v>
      </c>
      <c r="G149" s="263">
        <f t="shared" si="5"/>
        <v>685163.10216</v>
      </c>
    </row>
    <row r="150" spans="8:8">
      <c r="A150" s="272" t="s">
        <v>161</v>
      </c>
      <c r="B150" s="271" t="s">
        <v>65</v>
      </c>
      <c r="C150" s="261">
        <v>0.01</v>
      </c>
      <c r="D150" s="261">
        <v>590317.3785600001</v>
      </c>
      <c r="E150" s="262">
        <v>60643.0</v>
      </c>
      <c r="F150" s="262">
        <v>90964.0</v>
      </c>
      <c r="G150" s="263">
        <f t="shared" si="5"/>
        <v>741924.3885600001</v>
      </c>
    </row>
    <row r="151" spans="8:8">
      <c r="A151" s="272" t="s">
        <v>162</v>
      </c>
      <c r="B151" s="271" t="s">
        <v>65</v>
      </c>
      <c r="C151" s="261">
        <v>0.01</v>
      </c>
      <c r="D151" s="261">
        <v>1067112.18432</v>
      </c>
      <c r="E151" s="262">
        <v>60643.0</v>
      </c>
      <c r="F151" s="262">
        <v>90964.0</v>
      </c>
      <c r="G151" s="263">
        <f t="shared" si="5"/>
        <v>1218719.19432</v>
      </c>
    </row>
    <row r="152" spans="8:8">
      <c r="A152" s="272" t="s">
        <v>163</v>
      </c>
      <c r="B152" s="271" t="s">
        <v>65</v>
      </c>
      <c r="C152" s="261">
        <v>0.01</v>
      </c>
      <c r="D152" s="261">
        <v>1180634.7571200002</v>
      </c>
      <c r="E152" s="262">
        <v>60643.0</v>
      </c>
      <c r="F152" s="262">
        <v>90964.0</v>
      </c>
      <c r="G152" s="263">
        <f t="shared" si="5"/>
        <v>1332241.7671200002</v>
      </c>
    </row>
    <row r="153" spans="8:8">
      <c r="A153" s="259" t="s">
        <v>164</v>
      </c>
      <c r="B153" s="260" t="s">
        <v>65</v>
      </c>
      <c r="C153" s="261">
        <v>0.01</v>
      </c>
      <c r="D153" s="261">
        <v>461658.46271999995</v>
      </c>
      <c r="E153" s="262">
        <v>60643.0</v>
      </c>
      <c r="F153" s="262">
        <v>90964.0</v>
      </c>
      <c r="G153" s="263">
        <f t="shared" si="5"/>
        <v>613265.47272</v>
      </c>
    </row>
    <row r="154" spans="8:8">
      <c r="A154" s="259" t="s">
        <v>165</v>
      </c>
      <c r="B154" s="260" t="s">
        <v>65</v>
      </c>
      <c r="C154" s="261">
        <v>0.01</v>
      </c>
      <c r="D154" s="261">
        <v>518419.74912000005</v>
      </c>
      <c r="E154" s="262">
        <v>60643.0</v>
      </c>
      <c r="F154" s="262">
        <v>90964.0</v>
      </c>
      <c r="G154" s="263">
        <f t="shared" si="5"/>
        <v>670026.7591200001</v>
      </c>
    </row>
    <row r="155" spans="8:8">
      <c r="A155" s="259" t="s">
        <v>166</v>
      </c>
      <c r="B155" s="260" t="s">
        <v>65</v>
      </c>
      <c r="C155" s="261">
        <v>0.01</v>
      </c>
      <c r="D155" s="261">
        <v>501391.36319999996</v>
      </c>
      <c r="E155" s="262">
        <v>60643.0</v>
      </c>
      <c r="F155" s="262">
        <v>90964.0</v>
      </c>
      <c r="G155" s="263">
        <f t="shared" si="5"/>
        <v>652998.3732</v>
      </c>
    </row>
    <row r="156" spans="8:8">
      <c r="A156" s="259" t="s">
        <v>167</v>
      </c>
      <c r="B156" s="260" t="s">
        <v>65</v>
      </c>
      <c r="C156" s="261">
        <v>0.01</v>
      </c>
      <c r="D156" s="261">
        <v>533556.09216</v>
      </c>
      <c r="E156" s="262">
        <v>60643.0</v>
      </c>
      <c r="F156" s="262">
        <v>90964.0</v>
      </c>
      <c r="G156" s="263">
        <f t="shared" si="5"/>
        <v>685163.10216</v>
      </c>
    </row>
    <row r="157" spans="8:8">
      <c r="A157" s="259" t="s">
        <v>168</v>
      </c>
      <c r="B157" s="260" t="s">
        <v>65</v>
      </c>
      <c r="C157" s="261">
        <v>0.01</v>
      </c>
      <c r="D157" s="261">
        <v>1002782.7263999999</v>
      </c>
      <c r="E157" s="262">
        <v>60643.0</v>
      </c>
      <c r="F157" s="262">
        <v>90964.0</v>
      </c>
      <c r="G157" s="263">
        <f t="shared" si="5"/>
        <v>1154389.7363999998</v>
      </c>
    </row>
    <row r="158" spans="8:8">
      <c r="A158" s="259" t="s">
        <v>169</v>
      </c>
      <c r="B158" s="260" t="s">
        <v>65</v>
      </c>
      <c r="C158" s="261">
        <v>0.01</v>
      </c>
      <c r="D158" s="261">
        <v>1067112.18432</v>
      </c>
      <c r="E158" s="262">
        <v>60643.0</v>
      </c>
      <c r="F158" s="262">
        <v>90964.0</v>
      </c>
      <c r="G158" s="263">
        <f t="shared" si="5"/>
        <v>1218719.19432</v>
      </c>
    </row>
    <row r="159" spans="8:8">
      <c r="A159" s="259" t="s">
        <v>170</v>
      </c>
      <c r="B159" s="260" t="s">
        <v>65</v>
      </c>
      <c r="C159" s="261">
        <v>0.01</v>
      </c>
      <c r="D159" s="261">
        <v>501391.36319999996</v>
      </c>
      <c r="E159" s="262">
        <v>60643.0</v>
      </c>
      <c r="F159" s="262">
        <v>90964.0</v>
      </c>
      <c r="G159" s="263">
        <f t="shared" si="5"/>
        <v>652998.3732</v>
      </c>
    </row>
    <row r="160" spans="8:8">
      <c r="A160" s="259" t="s">
        <v>171</v>
      </c>
      <c r="B160" s="260" t="s">
        <v>65</v>
      </c>
      <c r="C160" s="261">
        <v>0.01</v>
      </c>
      <c r="D160" s="261">
        <v>533556.09216</v>
      </c>
      <c r="E160" s="262">
        <v>60643.0</v>
      </c>
      <c r="F160" s="262">
        <v>90964.0</v>
      </c>
      <c r="G160" s="263">
        <f t="shared" si="5"/>
        <v>685163.10216</v>
      </c>
    </row>
    <row r="161" spans="8:8">
      <c r="A161" s="259" t="s">
        <v>172</v>
      </c>
      <c r="B161" s="260" t="s">
        <v>65</v>
      </c>
      <c r="C161" s="261">
        <v>0.01</v>
      </c>
      <c r="D161" s="261">
        <v>590317.3785600001</v>
      </c>
      <c r="E161" s="262">
        <v>60643.0</v>
      </c>
      <c r="F161" s="262">
        <v>90964.0</v>
      </c>
      <c r="G161" s="263">
        <f t="shared" si="5"/>
        <v>741924.3885600001</v>
      </c>
    </row>
    <row r="162" spans="8:8">
      <c r="A162" s="259" t="s">
        <v>173</v>
      </c>
      <c r="B162" s="260" t="s">
        <v>65</v>
      </c>
      <c r="C162" s="261">
        <v>0.01</v>
      </c>
      <c r="D162" s="261">
        <v>1002782.7263999999</v>
      </c>
      <c r="E162" s="262">
        <v>60643.0</v>
      </c>
      <c r="F162" s="262">
        <v>90964.0</v>
      </c>
      <c r="G162" s="263">
        <f t="shared" si="5"/>
        <v>1154389.7363999998</v>
      </c>
    </row>
    <row r="163" spans="8:8">
      <c r="A163" s="259" t="s">
        <v>174</v>
      </c>
      <c r="B163" s="260" t="s">
        <v>65</v>
      </c>
      <c r="C163" s="261">
        <v>0.01</v>
      </c>
      <c r="D163" s="261">
        <v>1067112.18432</v>
      </c>
      <c r="E163" s="262">
        <v>60643.0</v>
      </c>
      <c r="F163" s="262">
        <v>90964.0</v>
      </c>
      <c r="G163" s="263">
        <f t="shared" si="5"/>
        <v>1218719.19432</v>
      </c>
    </row>
    <row r="164" spans="8:8">
      <c r="A164" s="259" t="s">
        <v>175</v>
      </c>
      <c r="B164" s="260" t="s">
        <v>65</v>
      </c>
      <c r="C164" s="261">
        <v>0.01</v>
      </c>
      <c r="D164" s="261">
        <v>1180634.7571200002</v>
      </c>
      <c r="E164" s="262">
        <v>60643.0</v>
      </c>
      <c r="F164" s="262">
        <v>90964.0</v>
      </c>
      <c r="G164" s="263">
        <f t="shared" si="5"/>
        <v>1332241.7671200002</v>
      </c>
    </row>
    <row r="165" spans="8:8">
      <c r="A165" s="259" t="s">
        <v>176</v>
      </c>
      <c r="B165" s="260" t="s">
        <v>65</v>
      </c>
      <c r="C165" s="261">
        <v>0.01</v>
      </c>
      <c r="D165" s="261">
        <v>467334.59136</v>
      </c>
      <c r="E165" s="262">
        <v>60643.0</v>
      </c>
      <c r="F165" s="262">
        <v>90964.0</v>
      </c>
      <c r="G165" s="263">
        <f t="shared" si="5"/>
        <v>618941.60136</v>
      </c>
    </row>
    <row r="166" spans="8:8">
      <c r="A166" s="259" t="s">
        <v>177</v>
      </c>
      <c r="B166" s="260" t="s">
        <v>65</v>
      </c>
      <c r="C166" s="261">
        <v>0.01</v>
      </c>
      <c r="D166" s="261">
        <v>590317.3785600001</v>
      </c>
      <c r="E166" s="262">
        <v>60643.0</v>
      </c>
      <c r="F166" s="262">
        <v>90964.0</v>
      </c>
      <c r="G166" s="263">
        <f t="shared" si="5"/>
        <v>741924.3885600001</v>
      </c>
    </row>
    <row r="167" spans="8:8">
      <c r="A167" s="259" t="s">
        <v>178</v>
      </c>
      <c r="B167" s="260" t="s">
        <v>65</v>
      </c>
      <c r="C167" s="261">
        <v>2860000.0</v>
      </c>
      <c r="D167" s="261">
        <v>8868004.97856</v>
      </c>
      <c r="E167" s="262">
        <v>60643.0</v>
      </c>
      <c r="F167" s="262">
        <v>90964.0</v>
      </c>
      <c r="G167" s="263">
        <f t="shared" si="5"/>
        <v>1.187961197856E7</v>
      </c>
    </row>
    <row r="168" spans="8:8">
      <c r="A168" s="259" t="s">
        <v>179</v>
      </c>
      <c r="B168" s="260" t="s">
        <v>65</v>
      </c>
      <c r="C168" s="261">
        <v>0.01</v>
      </c>
      <c r="D168" s="261">
        <v>1137117.7708800002</v>
      </c>
      <c r="E168" s="262">
        <v>60643.0</v>
      </c>
      <c r="F168" s="262">
        <v>90964.0</v>
      </c>
      <c r="G168" s="263">
        <f t="shared" si="5"/>
        <v>1288724.7808800002</v>
      </c>
    </row>
    <row r="169" spans="8:8">
      <c r="A169" s="259" t="s">
        <v>180</v>
      </c>
      <c r="B169" s="260" t="s">
        <v>65</v>
      </c>
      <c r="C169" s="261">
        <v>0.01</v>
      </c>
      <c r="D169" s="261">
        <v>533556.09216</v>
      </c>
      <c r="E169" s="262">
        <v>60643.0</v>
      </c>
      <c r="F169" s="262">
        <v>90964.0</v>
      </c>
      <c r="G169" s="263">
        <f t="shared" si="5"/>
        <v>685163.10216</v>
      </c>
    </row>
    <row r="170" spans="8:8">
      <c r="A170" s="259" t="s">
        <v>181</v>
      </c>
      <c r="B170" s="260" t="s">
        <v>65</v>
      </c>
      <c r="C170" s="261">
        <v>0.01</v>
      </c>
      <c r="D170" s="261">
        <v>1067112.18432</v>
      </c>
      <c r="E170" s="262">
        <v>60643.0</v>
      </c>
      <c r="F170" s="262">
        <v>90964.0</v>
      </c>
      <c r="G170" s="263">
        <f t="shared" si="5"/>
        <v>1218719.19432</v>
      </c>
    </row>
    <row r="171" spans="8:8">
      <c r="A171" s="259" t="s">
        <v>182</v>
      </c>
      <c r="B171" s="260" t="s">
        <v>65</v>
      </c>
      <c r="C171" s="261">
        <v>0.01</v>
      </c>
      <c r="D171" s="261">
        <v>501391.36319999996</v>
      </c>
      <c r="E171" s="262">
        <v>60643.0</v>
      </c>
      <c r="F171" s="262">
        <v>90964.0</v>
      </c>
      <c r="G171" s="263">
        <f t="shared" si="5"/>
        <v>652998.3732</v>
      </c>
    </row>
    <row r="172" spans="8:8">
      <c r="A172" s="259" t="s">
        <v>183</v>
      </c>
      <c r="B172" s="260" t="s">
        <v>65</v>
      </c>
      <c r="C172" s="261">
        <v>0.01</v>
      </c>
      <c r="D172" s="261">
        <v>533556.09216</v>
      </c>
      <c r="E172" s="262">
        <v>60643.0</v>
      </c>
      <c r="F172" s="262">
        <v>90964.0</v>
      </c>
      <c r="G172" s="263">
        <f t="shared" si="5"/>
        <v>685163.10216</v>
      </c>
    </row>
    <row r="173" spans="8:8">
      <c r="A173" s="259" t="s">
        <v>184</v>
      </c>
      <c r="B173" s="260" t="s">
        <v>65</v>
      </c>
      <c r="C173" s="261">
        <v>0.01</v>
      </c>
      <c r="D173" s="261">
        <v>590317.3785600001</v>
      </c>
      <c r="E173" s="262">
        <v>60643.0</v>
      </c>
      <c r="F173" s="262">
        <v>90964.0</v>
      </c>
      <c r="G173" s="263">
        <f t="shared" si="5"/>
        <v>741924.3885600001</v>
      </c>
    </row>
    <row r="174" spans="8:8">
      <c r="A174" s="259" t="s">
        <v>185</v>
      </c>
      <c r="B174" s="260" t="s">
        <v>65</v>
      </c>
      <c r="C174" s="261">
        <v>0.01</v>
      </c>
      <c r="D174" s="261">
        <v>1002782.7263999999</v>
      </c>
      <c r="E174" s="262">
        <v>60643.0</v>
      </c>
      <c r="F174" s="262">
        <v>90964.0</v>
      </c>
      <c r="G174" s="263">
        <f t="shared" si="5"/>
        <v>1154389.7363999998</v>
      </c>
    </row>
    <row r="175" spans="8:8">
      <c r="A175" s="259" t="s">
        <v>186</v>
      </c>
      <c r="B175" s="260" t="s">
        <v>65</v>
      </c>
      <c r="C175" s="261">
        <v>0.01</v>
      </c>
      <c r="D175" s="261">
        <v>1067112.18432</v>
      </c>
      <c r="E175" s="262">
        <v>60643.0</v>
      </c>
      <c r="F175" s="262">
        <v>90964.0</v>
      </c>
      <c r="G175" s="263">
        <f t="shared" si="5"/>
        <v>1218719.19432</v>
      </c>
    </row>
    <row r="176" spans="8:8">
      <c r="A176" s="259" t="s">
        <v>187</v>
      </c>
      <c r="B176" s="260" t="s">
        <v>65</v>
      </c>
      <c r="C176" s="261">
        <v>0.01</v>
      </c>
      <c r="D176" s="261">
        <v>1180634.7571200002</v>
      </c>
      <c r="E176" s="262">
        <v>60643.0</v>
      </c>
      <c r="F176" s="262">
        <v>90964.0</v>
      </c>
      <c r="G176" s="263">
        <f t="shared" si="5"/>
        <v>1332241.7671200002</v>
      </c>
    </row>
    <row r="177" spans="8:8">
      <c r="A177" s="272" t="s">
        <v>188</v>
      </c>
      <c r="B177" s="271" t="s">
        <v>65</v>
      </c>
      <c r="C177" s="261">
        <v>0.01</v>
      </c>
      <c r="D177" s="261">
        <v>501391.36319999996</v>
      </c>
      <c r="E177" s="262">
        <v>60643.0</v>
      </c>
      <c r="F177" s="262">
        <v>90964.0</v>
      </c>
      <c r="G177" s="263">
        <f t="shared" si="5"/>
        <v>652998.3732</v>
      </c>
    </row>
    <row r="178" spans="8:8">
      <c r="A178" s="259" t="s">
        <v>189</v>
      </c>
      <c r="B178" s="260" t="s">
        <v>65</v>
      </c>
      <c r="C178" s="261">
        <v>0.01</v>
      </c>
      <c r="D178" s="261">
        <v>533556.09216</v>
      </c>
      <c r="E178" s="262">
        <v>60643.0</v>
      </c>
      <c r="F178" s="262">
        <v>90964.0</v>
      </c>
      <c r="G178" s="263">
        <f t="shared" si="6" ref="G178:G186">SUM(C178:F178)</f>
        <v>685163.10216</v>
      </c>
    </row>
    <row r="179" spans="8:8">
      <c r="A179" s="259" t="s">
        <v>190</v>
      </c>
      <c r="B179" s="271" t="s">
        <v>65</v>
      </c>
      <c r="C179" s="261">
        <v>0.01</v>
      </c>
      <c r="D179" s="261">
        <v>501391.36319999996</v>
      </c>
      <c r="E179" s="262">
        <v>60643.0</v>
      </c>
      <c r="F179" s="262">
        <v>90964.0</v>
      </c>
      <c r="G179" s="263">
        <f t="shared" si="6"/>
        <v>652998.3732</v>
      </c>
    </row>
    <row r="180" spans="8:8" s="275" ht="18.75" customFormat="1">
      <c r="A180" s="259" t="s">
        <v>191</v>
      </c>
      <c r="B180" s="260" t="s">
        <v>65</v>
      </c>
      <c r="C180" s="261">
        <v>0.01</v>
      </c>
      <c r="D180" s="261">
        <v>533556.09216</v>
      </c>
      <c r="E180" s="262">
        <v>60643.0</v>
      </c>
      <c r="F180" s="262">
        <v>90964.0</v>
      </c>
      <c r="G180" s="262">
        <f t="shared" si="6"/>
        <v>685163.10216</v>
      </c>
    </row>
    <row r="181" spans="8:8">
      <c r="A181" s="259" t="s">
        <v>192</v>
      </c>
      <c r="B181" s="260" t="s">
        <v>65</v>
      </c>
      <c r="C181" s="261">
        <v>0.01</v>
      </c>
      <c r="D181" s="261">
        <v>590317.3785600001</v>
      </c>
      <c r="E181" s="262">
        <v>60643.0</v>
      </c>
      <c r="F181" s="262">
        <v>90964.0</v>
      </c>
      <c r="G181" s="263">
        <f t="shared" si="6"/>
        <v>741924.3885600001</v>
      </c>
    </row>
    <row r="182" spans="8:8">
      <c r="A182" s="259" t="s">
        <v>193</v>
      </c>
      <c r="B182" s="260" t="s">
        <v>65</v>
      </c>
      <c r="C182" s="261">
        <v>0.01</v>
      </c>
      <c r="D182" s="261">
        <v>501391.36319999996</v>
      </c>
      <c r="E182" s="262">
        <v>60643.0</v>
      </c>
      <c r="F182" s="262">
        <v>90964.0</v>
      </c>
      <c r="G182" s="263">
        <f t="shared" si="6"/>
        <v>652998.3732</v>
      </c>
    </row>
    <row r="183" spans="8:8">
      <c r="A183" s="259" t="s">
        <v>194</v>
      </c>
      <c r="B183" s="260" t="s">
        <v>65</v>
      </c>
      <c r="C183" s="261">
        <v>0.01</v>
      </c>
      <c r="D183" s="261">
        <v>533556.09216</v>
      </c>
      <c r="E183" s="262">
        <v>60643.0</v>
      </c>
      <c r="F183" s="262">
        <v>90964.0</v>
      </c>
      <c r="G183" s="263">
        <f t="shared" si="6"/>
        <v>685163.10216</v>
      </c>
    </row>
    <row r="184" spans="8:8">
      <c r="A184" s="259" t="s">
        <v>197</v>
      </c>
      <c r="B184" s="260" t="s">
        <v>196</v>
      </c>
      <c r="C184" s="261">
        <v>0.01</v>
      </c>
      <c r="D184" s="261">
        <v>1490659.4976</v>
      </c>
      <c r="E184" s="262">
        <v>60643.0</v>
      </c>
      <c r="F184" s="262">
        <v>90964.0</v>
      </c>
      <c r="G184" s="263">
        <f t="shared" si="6"/>
        <v>1642266.5076</v>
      </c>
    </row>
    <row r="185" spans="8:8">
      <c r="A185" s="259" t="s">
        <v>198</v>
      </c>
      <c r="B185" s="260" t="s">
        <v>196</v>
      </c>
      <c r="C185" s="261">
        <v>0.01</v>
      </c>
      <c r="D185" s="261">
        <v>1.48430763936E7</v>
      </c>
      <c r="E185" s="262">
        <v>60643.0</v>
      </c>
      <c r="F185" s="262">
        <v>90964.0</v>
      </c>
      <c r="G185" s="263">
        <f t="shared" si="6"/>
        <v>1.49946834036E7</v>
      </c>
    </row>
    <row r="186" spans="8:8">
      <c r="A186" s="259" t="s">
        <v>388</v>
      </c>
      <c r="B186" s="260" t="s">
        <v>196</v>
      </c>
      <c r="C186" s="261">
        <v>0.01</v>
      </c>
      <c r="D186" s="261">
        <v>5314130.64</v>
      </c>
      <c r="E186" s="262">
        <v>60643.0</v>
      </c>
      <c r="F186" s="262">
        <v>90964.0</v>
      </c>
      <c r="G186" s="263">
        <f t="shared" si="6"/>
        <v>5465737.649999999</v>
      </c>
      <c r="K186" s="277"/>
      <c r="L186" s="278"/>
    </row>
    <row r="187" spans="8:8">
      <c r="A187" s="259" t="s">
        <v>201</v>
      </c>
      <c r="B187" s="260" t="s">
        <v>196</v>
      </c>
      <c r="C187" s="261">
        <v>0.01</v>
      </c>
      <c r="D187" s="261">
        <v>5314130.64</v>
      </c>
      <c r="E187" s="262">
        <v>60643.0</v>
      </c>
      <c r="F187" s="262">
        <v>90964.0</v>
      </c>
      <c r="G187" s="263">
        <f>SUM(D187:F187)</f>
        <v>5465737.64</v>
      </c>
    </row>
    <row r="188" spans="8:8">
      <c r="A188" s="259" t="s">
        <v>202</v>
      </c>
      <c r="B188" s="271" t="s">
        <v>196</v>
      </c>
      <c r="C188" s="261">
        <v>0.01</v>
      </c>
      <c r="D188" s="261">
        <v>5314130.64</v>
      </c>
      <c r="E188" s="262">
        <v>60643.0</v>
      </c>
      <c r="F188" s="262">
        <v>90964.0</v>
      </c>
      <c r="G188" s="263">
        <f t="shared" si="7" ref="G188:G251">SUM(C188:F188)</f>
        <v>5465737.649999999</v>
      </c>
    </row>
    <row r="189" spans="8:8">
      <c r="A189" s="259" t="s">
        <v>203</v>
      </c>
      <c r="B189" s="260" t="s">
        <v>196</v>
      </c>
      <c r="C189" s="261">
        <v>0.01</v>
      </c>
      <c r="D189" s="261">
        <v>5314130.64</v>
      </c>
      <c r="E189" s="262">
        <v>60643.0</v>
      </c>
      <c r="F189" s="262">
        <v>90964.0</v>
      </c>
      <c r="G189" s="263">
        <f t="shared" si="7"/>
        <v>5465737.649999999</v>
      </c>
    </row>
    <row r="190" spans="8:8">
      <c r="A190" s="259" t="s">
        <v>204</v>
      </c>
      <c r="B190" s="260" t="s">
        <v>196</v>
      </c>
      <c r="C190" s="261">
        <v>0.01</v>
      </c>
      <c r="D190" s="261">
        <v>5314130.64</v>
      </c>
      <c r="E190" s="262">
        <v>60643.0</v>
      </c>
      <c r="F190" s="262">
        <v>90964.0</v>
      </c>
      <c r="G190" s="263">
        <f t="shared" si="7"/>
        <v>5465737.649999999</v>
      </c>
    </row>
    <row r="191" spans="8:8">
      <c r="A191" s="259" t="s">
        <v>206</v>
      </c>
      <c r="B191" s="260" t="s">
        <v>196</v>
      </c>
      <c r="C191" s="261">
        <v>0.01</v>
      </c>
      <c r="D191" s="261">
        <v>5314130.64</v>
      </c>
      <c r="E191" s="262">
        <v>60643.0</v>
      </c>
      <c r="F191" s="262">
        <v>90964.0</v>
      </c>
      <c r="G191" s="263">
        <f t="shared" si="7"/>
        <v>5465737.649999999</v>
      </c>
    </row>
    <row r="192" spans="8:8">
      <c r="A192" s="259" t="s">
        <v>207</v>
      </c>
      <c r="B192" s="260" t="s">
        <v>196</v>
      </c>
      <c r="C192" s="261">
        <v>0.01</v>
      </c>
      <c r="D192" s="261">
        <v>5314130.64</v>
      </c>
      <c r="E192" s="262">
        <v>60643.0</v>
      </c>
      <c r="F192" s="262">
        <v>90964.0</v>
      </c>
      <c r="G192" s="263">
        <f t="shared" si="7"/>
        <v>5465737.649999999</v>
      </c>
    </row>
    <row r="193" spans="8:8">
      <c r="A193" s="259" t="s">
        <v>208</v>
      </c>
      <c r="B193" s="260" t="s">
        <v>196</v>
      </c>
      <c r="C193" s="261">
        <v>0.01</v>
      </c>
      <c r="D193" s="261">
        <v>5314130.64</v>
      </c>
      <c r="E193" s="262">
        <v>60643.0</v>
      </c>
      <c r="F193" s="262">
        <v>90964.0</v>
      </c>
      <c r="G193" s="263">
        <f t="shared" si="7"/>
        <v>5465737.649999999</v>
      </c>
    </row>
    <row r="194" spans="8:8">
      <c r="A194" s="259" t="s">
        <v>209</v>
      </c>
      <c r="B194" s="260" t="s">
        <v>196</v>
      </c>
      <c r="C194" s="261">
        <v>0.01</v>
      </c>
      <c r="D194" s="261">
        <v>5314130.64</v>
      </c>
      <c r="E194" s="262">
        <v>60643.0</v>
      </c>
      <c r="F194" s="262">
        <v>90964.0</v>
      </c>
      <c r="G194" s="263">
        <f t="shared" si="7"/>
        <v>5465737.649999999</v>
      </c>
    </row>
    <row r="195" spans="8:8">
      <c r="A195" s="259" t="s">
        <v>210</v>
      </c>
      <c r="B195" s="260" t="s">
        <v>196</v>
      </c>
      <c r="C195" s="261">
        <v>0.01</v>
      </c>
      <c r="D195" s="261">
        <v>5314130.64</v>
      </c>
      <c r="E195" s="262">
        <v>60643.0</v>
      </c>
      <c r="F195" s="262">
        <v>90964.0</v>
      </c>
      <c r="G195" s="263">
        <f t="shared" si="7"/>
        <v>5465737.649999999</v>
      </c>
    </row>
    <row r="196" spans="8:8">
      <c r="A196" s="259" t="s">
        <v>211</v>
      </c>
      <c r="B196" s="260" t="s">
        <v>196</v>
      </c>
      <c r="C196" s="261">
        <v>0.01</v>
      </c>
      <c r="D196" s="261">
        <v>5314130.64</v>
      </c>
      <c r="E196" s="262">
        <v>60643.0</v>
      </c>
      <c r="F196" s="262">
        <v>90964.0</v>
      </c>
      <c r="G196" s="263">
        <f t="shared" si="7"/>
        <v>5465737.649999999</v>
      </c>
    </row>
    <row r="197" spans="8:8">
      <c r="A197" s="259" t="s">
        <v>212</v>
      </c>
      <c r="B197" s="260" t="s">
        <v>196</v>
      </c>
      <c r="C197" s="261">
        <v>0.01</v>
      </c>
      <c r="D197" s="261">
        <v>5314130.64</v>
      </c>
      <c r="E197" s="262">
        <v>60643.0</v>
      </c>
      <c r="F197" s="262">
        <v>90964.0</v>
      </c>
      <c r="G197" s="263">
        <f t="shared" si="7"/>
        <v>5465737.649999999</v>
      </c>
    </row>
    <row r="198" spans="8:8">
      <c r="A198" s="259" t="s">
        <v>214</v>
      </c>
      <c r="B198" s="260" t="s">
        <v>196</v>
      </c>
      <c r="C198" s="261">
        <v>0.01</v>
      </c>
      <c r="D198" s="261">
        <v>5314130.64</v>
      </c>
      <c r="E198" s="262">
        <v>60643.0</v>
      </c>
      <c r="F198" s="262">
        <v>90964.0</v>
      </c>
      <c r="G198" s="263">
        <f t="shared" si="7"/>
        <v>5465737.649999999</v>
      </c>
    </row>
    <row r="199" spans="8:8">
      <c r="A199" s="259" t="s">
        <v>215</v>
      </c>
      <c r="B199" s="260" t="s">
        <v>196</v>
      </c>
      <c r="C199" s="261">
        <v>0.01</v>
      </c>
      <c r="D199" s="261">
        <v>5314130.64</v>
      </c>
      <c r="E199" s="262">
        <v>60643.0</v>
      </c>
      <c r="F199" s="262">
        <v>90964.0</v>
      </c>
      <c r="G199" s="263">
        <f t="shared" si="7"/>
        <v>5465737.649999999</v>
      </c>
    </row>
    <row r="200" spans="8:8">
      <c r="A200" s="259" t="s">
        <v>216</v>
      </c>
      <c r="B200" s="260" t="s">
        <v>196</v>
      </c>
      <c r="C200" s="261">
        <v>0.01</v>
      </c>
      <c r="D200" s="261">
        <v>5314130.64</v>
      </c>
      <c r="E200" s="262">
        <v>60643.0</v>
      </c>
      <c r="F200" s="262">
        <v>90964.0</v>
      </c>
      <c r="G200" s="263">
        <f t="shared" si="7"/>
        <v>5465737.649999999</v>
      </c>
    </row>
    <row r="201" spans="8:8">
      <c r="A201" s="259" t="s">
        <v>217</v>
      </c>
      <c r="B201" s="260" t="s">
        <v>196</v>
      </c>
      <c r="C201" s="261">
        <v>0.01</v>
      </c>
      <c r="D201" s="261">
        <v>5314130.64</v>
      </c>
      <c r="E201" s="262">
        <v>60643.0</v>
      </c>
      <c r="F201" s="262">
        <v>90964.0</v>
      </c>
      <c r="G201" s="263">
        <f t="shared" si="7"/>
        <v>5465737.649999999</v>
      </c>
    </row>
    <row r="202" spans="8:8">
      <c r="A202" s="259" t="s">
        <v>218</v>
      </c>
      <c r="B202" s="260" t="s">
        <v>196</v>
      </c>
      <c r="C202" s="261">
        <v>0.01</v>
      </c>
      <c r="D202" s="261">
        <v>5314130.64</v>
      </c>
      <c r="E202" s="262">
        <v>60643.0</v>
      </c>
      <c r="F202" s="262">
        <v>90964.0</v>
      </c>
      <c r="G202" s="263">
        <f t="shared" si="7"/>
        <v>5465737.649999999</v>
      </c>
    </row>
    <row r="203" spans="8:8">
      <c r="A203" s="259" t="s">
        <v>219</v>
      </c>
      <c r="B203" s="260" t="s">
        <v>196</v>
      </c>
      <c r="C203" s="261">
        <v>0.01</v>
      </c>
      <c r="D203" s="261">
        <v>5314130.64</v>
      </c>
      <c r="E203" s="262">
        <v>60643.0</v>
      </c>
      <c r="F203" s="262">
        <v>90964.0</v>
      </c>
      <c r="G203" s="263">
        <f t="shared" si="7"/>
        <v>5465737.649999999</v>
      </c>
    </row>
    <row r="204" spans="8:8">
      <c r="A204" s="259" t="s">
        <v>220</v>
      </c>
      <c r="B204" s="260" t="s">
        <v>196</v>
      </c>
      <c r="C204" s="261">
        <v>0.01</v>
      </c>
      <c r="D204" s="261">
        <v>5314130.64</v>
      </c>
      <c r="E204" s="262">
        <v>60643.0</v>
      </c>
      <c r="F204" s="262">
        <v>90964.0</v>
      </c>
      <c r="G204" s="263">
        <f t="shared" si="7"/>
        <v>5465737.649999999</v>
      </c>
    </row>
    <row r="205" spans="8:8">
      <c r="A205" s="279" t="s">
        <v>389</v>
      </c>
      <c r="B205" s="260" t="s">
        <v>196</v>
      </c>
      <c r="C205" s="261">
        <v>0.01</v>
      </c>
      <c r="D205" s="261">
        <v>5314130.64</v>
      </c>
      <c r="E205" s="262">
        <v>60643.0</v>
      </c>
      <c r="F205" s="262">
        <v>90964.0</v>
      </c>
      <c r="G205" s="263">
        <f t="shared" si="7"/>
        <v>5465737.649999999</v>
      </c>
    </row>
    <row r="206" spans="8:8">
      <c r="A206" s="259" t="s">
        <v>222</v>
      </c>
      <c r="B206" s="260" t="s">
        <v>196</v>
      </c>
      <c r="C206" s="261">
        <v>0.01</v>
      </c>
      <c r="D206" s="261">
        <v>1.062826128E7</v>
      </c>
      <c r="E206" s="262">
        <v>60643.0</v>
      </c>
      <c r="F206" s="262">
        <v>90964.0</v>
      </c>
      <c r="G206" s="263">
        <f t="shared" si="7"/>
        <v>1.077986829E7</v>
      </c>
    </row>
    <row r="207" spans="8:8">
      <c r="A207" s="259" t="s">
        <v>223</v>
      </c>
      <c r="B207" s="260" t="s">
        <v>196</v>
      </c>
      <c r="C207" s="261">
        <v>0.01</v>
      </c>
      <c r="D207" s="261">
        <v>5314130.64</v>
      </c>
      <c r="E207" s="262">
        <v>60643.0</v>
      </c>
      <c r="F207" s="262">
        <v>90964.0</v>
      </c>
      <c r="G207" s="263">
        <f t="shared" si="7"/>
        <v>5465737.649999999</v>
      </c>
    </row>
    <row r="208" spans="8:8">
      <c r="A208" s="259" t="s">
        <v>224</v>
      </c>
      <c r="B208" s="260" t="s">
        <v>196</v>
      </c>
      <c r="C208" s="261">
        <v>0.01</v>
      </c>
      <c r="D208" s="261">
        <v>5314130.64</v>
      </c>
      <c r="E208" s="262">
        <v>60643.0</v>
      </c>
      <c r="F208" s="262">
        <v>90964.0</v>
      </c>
      <c r="G208" s="263">
        <f t="shared" si="7"/>
        <v>5465737.649999999</v>
      </c>
    </row>
    <row r="209" spans="8:8">
      <c r="A209" s="259" t="s">
        <v>225</v>
      </c>
      <c r="B209" s="260" t="s">
        <v>196</v>
      </c>
      <c r="C209" s="261">
        <v>0.01</v>
      </c>
      <c r="D209" s="261">
        <v>5314130.64</v>
      </c>
      <c r="E209" s="262">
        <v>60643.0</v>
      </c>
      <c r="F209" s="262">
        <v>90964.0</v>
      </c>
      <c r="G209" s="263">
        <f t="shared" si="7"/>
        <v>5465737.649999999</v>
      </c>
    </row>
    <row r="210" spans="8:8">
      <c r="A210" s="280" t="s">
        <v>390</v>
      </c>
      <c r="B210" s="260" t="s">
        <v>196</v>
      </c>
      <c r="C210" s="261">
        <v>0.01</v>
      </c>
      <c r="D210" s="261">
        <v>6984148.079999999</v>
      </c>
      <c r="E210" s="262">
        <v>60643.0</v>
      </c>
      <c r="F210" s="262">
        <v>90964.0</v>
      </c>
      <c r="G210" s="263">
        <f t="shared" si="7"/>
        <v>7135755.089999999</v>
      </c>
    </row>
    <row r="211" spans="8:8">
      <c r="A211" s="259" t="s">
        <v>228</v>
      </c>
      <c r="B211" s="260" t="s">
        <v>196</v>
      </c>
      <c r="C211" s="261">
        <v>0.01</v>
      </c>
      <c r="D211" s="261">
        <v>5314130.64</v>
      </c>
      <c r="E211" s="262">
        <v>60643.0</v>
      </c>
      <c r="F211" s="262">
        <v>90964.0</v>
      </c>
      <c r="G211" s="263">
        <f t="shared" si="7"/>
        <v>5465737.649999999</v>
      </c>
    </row>
    <row r="212" spans="8:8">
      <c r="A212" s="259" t="s">
        <v>229</v>
      </c>
      <c r="B212" s="260" t="s">
        <v>196</v>
      </c>
      <c r="C212" s="261">
        <v>0.01</v>
      </c>
      <c r="D212" s="261">
        <v>5314130.64</v>
      </c>
      <c r="E212" s="262">
        <v>60643.0</v>
      </c>
      <c r="F212" s="262">
        <v>90964.0</v>
      </c>
      <c r="G212" s="263">
        <f t="shared" si="7"/>
        <v>5465737.649999999</v>
      </c>
    </row>
    <row r="213" spans="8:8">
      <c r="A213" s="259" t="s">
        <v>230</v>
      </c>
      <c r="B213" s="260" t="s">
        <v>196</v>
      </c>
      <c r="C213" s="261">
        <v>0.01</v>
      </c>
      <c r="D213" s="261">
        <v>5314130.64</v>
      </c>
      <c r="E213" s="262">
        <v>60643.0</v>
      </c>
      <c r="F213" s="262">
        <v>90964.0</v>
      </c>
      <c r="G213" s="263">
        <f t="shared" si="7"/>
        <v>5465737.649999999</v>
      </c>
    </row>
    <row r="214" spans="8:8">
      <c r="A214" s="259" t="s">
        <v>231</v>
      </c>
      <c r="B214" s="260" t="s">
        <v>196</v>
      </c>
      <c r="C214" s="261">
        <v>0.01</v>
      </c>
      <c r="D214" s="261">
        <v>5314130.64</v>
      </c>
      <c r="E214" s="262">
        <v>60643.0</v>
      </c>
      <c r="F214" s="262">
        <v>90964.0</v>
      </c>
      <c r="G214" s="263">
        <f t="shared" si="7"/>
        <v>5465737.649999999</v>
      </c>
    </row>
    <row r="215" spans="8:8">
      <c r="A215" s="259" t="s">
        <v>232</v>
      </c>
      <c r="B215" s="260" t="s">
        <v>196</v>
      </c>
      <c r="C215" s="261">
        <v>0.01</v>
      </c>
      <c r="D215" s="261">
        <v>5314130.64</v>
      </c>
      <c r="E215" s="262">
        <v>60643.0</v>
      </c>
      <c r="F215" s="262">
        <v>90964.0</v>
      </c>
      <c r="G215" s="263">
        <f t="shared" si="7"/>
        <v>5465737.649999999</v>
      </c>
    </row>
    <row r="216" spans="8:8">
      <c r="A216" s="259" t="s">
        <v>233</v>
      </c>
      <c r="B216" s="260" t="s">
        <v>196</v>
      </c>
      <c r="C216" s="261">
        <v>0.01</v>
      </c>
      <c r="D216" s="261">
        <v>5314130.64</v>
      </c>
      <c r="E216" s="262">
        <v>60643.0</v>
      </c>
      <c r="F216" s="262">
        <v>90964.0</v>
      </c>
      <c r="G216" s="263">
        <f t="shared" si="7"/>
        <v>5465737.649999999</v>
      </c>
    </row>
    <row r="217" spans="8:8">
      <c r="A217" s="259" t="s">
        <v>234</v>
      </c>
      <c r="B217" s="260" t="s">
        <v>196</v>
      </c>
      <c r="C217" s="261">
        <v>0.01</v>
      </c>
      <c r="D217" s="261">
        <v>5314130.64</v>
      </c>
      <c r="E217" s="262">
        <v>60643.0</v>
      </c>
      <c r="F217" s="262">
        <v>90964.0</v>
      </c>
      <c r="G217" s="263">
        <f t="shared" si="7"/>
        <v>5465737.649999999</v>
      </c>
    </row>
    <row r="218" spans="8:8">
      <c r="A218" s="259" t="s">
        <v>235</v>
      </c>
      <c r="B218" s="260" t="s">
        <v>196</v>
      </c>
      <c r="C218" s="261">
        <v>0.01</v>
      </c>
      <c r="D218" s="261">
        <v>5314130.64</v>
      </c>
      <c r="E218" s="262">
        <v>60643.0</v>
      </c>
      <c r="F218" s="262">
        <v>90964.0</v>
      </c>
      <c r="G218" s="263">
        <f t="shared" si="7"/>
        <v>5465737.649999999</v>
      </c>
    </row>
    <row r="219" spans="8:8">
      <c r="A219" s="259" t="s">
        <v>236</v>
      </c>
      <c r="B219" s="260" t="s">
        <v>196</v>
      </c>
      <c r="C219" s="261">
        <v>0.01</v>
      </c>
      <c r="D219" s="261">
        <v>5314130.64</v>
      </c>
      <c r="E219" s="262">
        <v>60643.0</v>
      </c>
      <c r="F219" s="262">
        <v>90964.0</v>
      </c>
      <c r="G219" s="263">
        <f t="shared" si="7"/>
        <v>5465737.649999999</v>
      </c>
    </row>
    <row r="220" spans="8:8">
      <c r="A220" s="259" t="s">
        <v>237</v>
      </c>
      <c r="B220" s="260" t="s">
        <v>196</v>
      </c>
      <c r="C220" s="261">
        <v>0.01</v>
      </c>
      <c r="D220" s="261">
        <v>5314130.64</v>
      </c>
      <c r="E220" s="262">
        <v>60643.0</v>
      </c>
      <c r="F220" s="262">
        <v>90964.0</v>
      </c>
      <c r="G220" s="263">
        <f t="shared" si="7"/>
        <v>5465737.649999999</v>
      </c>
    </row>
    <row r="221" spans="8:8">
      <c r="A221" s="259" t="s">
        <v>238</v>
      </c>
      <c r="B221" s="260" t="s">
        <v>196</v>
      </c>
      <c r="C221" s="261">
        <v>0.01</v>
      </c>
      <c r="D221" s="261">
        <v>5314130.64</v>
      </c>
      <c r="E221" s="262">
        <v>60643.0</v>
      </c>
      <c r="F221" s="262">
        <v>90964.0</v>
      </c>
      <c r="G221" s="263">
        <f t="shared" si="7"/>
        <v>5465737.649999999</v>
      </c>
    </row>
    <row r="222" spans="8:8">
      <c r="A222" s="259" t="s">
        <v>239</v>
      </c>
      <c r="B222" s="260" t="s">
        <v>196</v>
      </c>
      <c r="C222" s="261">
        <v>0.01</v>
      </c>
      <c r="D222" s="261">
        <v>5314130.64</v>
      </c>
      <c r="E222" s="262">
        <v>60643.0</v>
      </c>
      <c r="F222" s="262">
        <v>90964.0</v>
      </c>
      <c r="G222" s="263">
        <f t="shared" si="7"/>
        <v>5465737.649999999</v>
      </c>
    </row>
    <row r="223" spans="8:8">
      <c r="A223" s="259" t="s">
        <v>240</v>
      </c>
      <c r="B223" s="260" t="s">
        <v>196</v>
      </c>
      <c r="C223" s="261">
        <v>0.01</v>
      </c>
      <c r="D223" s="261">
        <v>5314130.64</v>
      </c>
      <c r="E223" s="262">
        <v>60643.0</v>
      </c>
      <c r="F223" s="262">
        <v>90964.0</v>
      </c>
      <c r="G223" s="263">
        <f t="shared" si="7"/>
        <v>5465737.649999999</v>
      </c>
    </row>
    <row r="224" spans="8:8">
      <c r="A224" s="259" t="s">
        <v>241</v>
      </c>
      <c r="B224" s="271" t="s">
        <v>196</v>
      </c>
      <c r="C224" s="261">
        <v>0.01</v>
      </c>
      <c r="D224" s="261">
        <v>5314130.64</v>
      </c>
      <c r="E224" s="262">
        <v>60643.0</v>
      </c>
      <c r="F224" s="262">
        <v>90964.0</v>
      </c>
      <c r="G224" s="263">
        <f t="shared" si="7"/>
        <v>5465737.649999999</v>
      </c>
    </row>
    <row r="225" spans="8:8">
      <c r="A225" s="259" t="s">
        <v>242</v>
      </c>
      <c r="B225" s="260" t="s">
        <v>196</v>
      </c>
      <c r="C225" s="261">
        <v>0.01</v>
      </c>
      <c r="D225" s="261">
        <v>5314130.64</v>
      </c>
      <c r="E225" s="262">
        <v>60643.0</v>
      </c>
      <c r="F225" s="262">
        <v>90964.0</v>
      </c>
      <c r="G225" s="263">
        <f t="shared" si="7"/>
        <v>5465737.649999999</v>
      </c>
    </row>
    <row r="226" spans="8:8">
      <c r="A226" s="259" t="s">
        <v>243</v>
      </c>
      <c r="B226" s="260" t="s">
        <v>196</v>
      </c>
      <c r="C226" s="261">
        <v>0.01</v>
      </c>
      <c r="D226" s="261">
        <v>5314130.64</v>
      </c>
      <c r="E226" s="262">
        <v>60643.0</v>
      </c>
      <c r="F226" s="262">
        <v>90964.0</v>
      </c>
      <c r="G226" s="263">
        <f t="shared" si="7"/>
        <v>5465737.649999999</v>
      </c>
      <c r="H226" s="275"/>
    </row>
    <row r="227" spans="8:8" s="275" ht="18.75" customFormat="1">
      <c r="A227" s="259" t="s">
        <v>244</v>
      </c>
      <c r="B227" s="260" t="s">
        <v>196</v>
      </c>
      <c r="C227" s="261">
        <v>0.01</v>
      </c>
      <c r="D227" s="261">
        <v>5314130.64</v>
      </c>
      <c r="E227" s="262">
        <v>60643.0</v>
      </c>
      <c r="F227" s="262">
        <v>90964.0</v>
      </c>
      <c r="G227" s="262">
        <f t="shared" si="7"/>
        <v>5465737.649999999</v>
      </c>
      <c r="H227" s="255"/>
    </row>
    <row r="228" spans="8:8">
      <c r="A228" s="259" t="s">
        <v>246</v>
      </c>
      <c r="B228" s="260" t="s">
        <v>196</v>
      </c>
      <c r="C228" s="261">
        <v>0.01</v>
      </c>
      <c r="D228" s="261">
        <v>5314130.64</v>
      </c>
      <c r="E228" s="262">
        <v>60643.0</v>
      </c>
      <c r="F228" s="262">
        <v>90964.0</v>
      </c>
      <c r="G228" s="263">
        <f t="shared" si="7"/>
        <v>5465737.649999999</v>
      </c>
    </row>
    <row r="229" spans="8:8">
      <c r="A229" s="259" t="s">
        <v>247</v>
      </c>
      <c r="B229" s="260" t="s">
        <v>196</v>
      </c>
      <c r="C229" s="261">
        <v>0.01</v>
      </c>
      <c r="D229" s="261">
        <v>5314130.64</v>
      </c>
      <c r="E229" s="262">
        <v>60643.0</v>
      </c>
      <c r="F229" s="262">
        <v>90964.0</v>
      </c>
      <c r="G229" s="263">
        <f t="shared" si="7"/>
        <v>5465737.649999999</v>
      </c>
    </row>
    <row r="230" spans="8:8">
      <c r="A230" s="259" t="s">
        <v>248</v>
      </c>
      <c r="B230" s="260" t="s">
        <v>196</v>
      </c>
      <c r="C230" s="261">
        <v>0.01</v>
      </c>
      <c r="D230" s="261">
        <v>5314130.64</v>
      </c>
      <c r="E230" s="262">
        <v>60643.0</v>
      </c>
      <c r="F230" s="262">
        <v>90964.0</v>
      </c>
      <c r="G230" s="263">
        <f t="shared" si="7"/>
        <v>5465737.649999999</v>
      </c>
    </row>
    <row r="231" spans="8:8">
      <c r="A231" s="259" t="s">
        <v>249</v>
      </c>
      <c r="B231" s="260" t="s">
        <v>196</v>
      </c>
      <c r="C231" s="261">
        <v>0.01</v>
      </c>
      <c r="D231" s="261">
        <v>5314130.64</v>
      </c>
      <c r="E231" s="262">
        <v>60643.0</v>
      </c>
      <c r="F231" s="262">
        <v>90964.0</v>
      </c>
      <c r="G231" s="263">
        <f t="shared" si="7"/>
        <v>5465737.649999999</v>
      </c>
    </row>
    <row r="232" spans="8:8">
      <c r="A232" s="259" t="s">
        <v>250</v>
      </c>
      <c r="B232" s="260" t="s">
        <v>196</v>
      </c>
      <c r="C232" s="261">
        <v>0.01</v>
      </c>
      <c r="D232" s="261">
        <v>5314130.64</v>
      </c>
      <c r="E232" s="262">
        <v>60643.0</v>
      </c>
      <c r="F232" s="262">
        <v>90964.0</v>
      </c>
      <c r="G232" s="263">
        <f t="shared" si="7"/>
        <v>5465737.649999999</v>
      </c>
    </row>
    <row r="233" spans="8:8">
      <c r="A233" s="259" t="s">
        <v>251</v>
      </c>
      <c r="B233" s="260" t="s">
        <v>196</v>
      </c>
      <c r="C233" s="261">
        <v>0.01</v>
      </c>
      <c r="D233" s="261">
        <v>5314130.64</v>
      </c>
      <c r="E233" s="262">
        <v>60643.0</v>
      </c>
      <c r="F233" s="262">
        <v>90964.0</v>
      </c>
      <c r="G233" s="263">
        <f t="shared" si="7"/>
        <v>5465737.649999999</v>
      </c>
    </row>
    <row r="234" spans="8:8">
      <c r="A234" s="259" t="s">
        <v>252</v>
      </c>
      <c r="B234" s="260" t="s">
        <v>196</v>
      </c>
      <c r="C234" s="261">
        <v>0.01</v>
      </c>
      <c r="D234" s="261">
        <v>5314130.64</v>
      </c>
      <c r="E234" s="262">
        <v>60643.0</v>
      </c>
      <c r="F234" s="262">
        <v>90964.0</v>
      </c>
      <c r="G234" s="263">
        <f t="shared" si="7"/>
        <v>5465737.649999999</v>
      </c>
    </row>
    <row r="235" spans="8:8">
      <c r="A235" s="259" t="s">
        <v>391</v>
      </c>
      <c r="B235" s="260" t="s">
        <v>196</v>
      </c>
      <c r="C235" s="261">
        <v>0.01</v>
      </c>
      <c r="D235" s="261">
        <v>5314130.64</v>
      </c>
      <c r="E235" s="262">
        <v>60643.0</v>
      </c>
      <c r="F235" s="262">
        <v>90964.0</v>
      </c>
      <c r="G235" s="263">
        <f t="shared" si="7"/>
        <v>5465737.649999999</v>
      </c>
    </row>
    <row r="236" spans="8:8">
      <c r="A236" s="259" t="s">
        <v>254</v>
      </c>
      <c r="B236" s="260" t="s">
        <v>196</v>
      </c>
      <c r="C236" s="261">
        <v>0.01</v>
      </c>
      <c r="D236" s="261">
        <v>5314130.64</v>
      </c>
      <c r="E236" s="262">
        <v>60643.0</v>
      </c>
      <c r="F236" s="262">
        <v>90964.0</v>
      </c>
      <c r="G236" s="263">
        <f t="shared" si="7"/>
        <v>5465737.649999999</v>
      </c>
    </row>
    <row r="237" spans="8:8">
      <c r="A237" s="259" t="s">
        <v>255</v>
      </c>
      <c r="B237" s="260" t="s">
        <v>196</v>
      </c>
      <c r="C237" s="261">
        <v>0.01</v>
      </c>
      <c r="D237" s="261">
        <v>5314130.64</v>
      </c>
      <c r="E237" s="262">
        <v>60643.0</v>
      </c>
      <c r="F237" s="262">
        <v>90964.0</v>
      </c>
      <c r="G237" s="263">
        <f t="shared" si="7"/>
        <v>5465737.649999999</v>
      </c>
    </row>
    <row r="238" spans="8:8">
      <c r="A238" s="259" t="s">
        <v>256</v>
      </c>
      <c r="B238" s="260" t="s">
        <v>196</v>
      </c>
      <c r="C238" s="261">
        <v>0.01</v>
      </c>
      <c r="D238" s="261">
        <v>5314130.64</v>
      </c>
      <c r="E238" s="262">
        <v>60643.0</v>
      </c>
      <c r="F238" s="262">
        <v>90964.0</v>
      </c>
      <c r="G238" s="263">
        <f t="shared" si="7"/>
        <v>5465737.649999999</v>
      </c>
    </row>
    <row r="239" spans="8:8">
      <c r="A239" s="259" t="s">
        <v>257</v>
      </c>
      <c r="B239" s="260" t="s">
        <v>196</v>
      </c>
      <c r="C239" s="261">
        <v>0.01</v>
      </c>
      <c r="D239" s="261">
        <v>5314130.64</v>
      </c>
      <c r="E239" s="262">
        <v>60643.0</v>
      </c>
      <c r="F239" s="262">
        <v>90964.0</v>
      </c>
      <c r="G239" s="263">
        <f t="shared" si="7"/>
        <v>5465737.649999999</v>
      </c>
    </row>
    <row r="240" spans="8:8">
      <c r="A240" s="259" t="s">
        <v>258</v>
      </c>
      <c r="B240" s="260" t="s">
        <v>196</v>
      </c>
      <c r="C240" s="261">
        <v>0.01</v>
      </c>
      <c r="D240" s="261">
        <v>5314130.64</v>
      </c>
      <c r="E240" s="262">
        <v>60643.0</v>
      </c>
      <c r="F240" s="262">
        <v>90964.0</v>
      </c>
      <c r="G240" s="263">
        <f t="shared" si="7"/>
        <v>5465737.649999999</v>
      </c>
    </row>
    <row r="241" spans="8:8">
      <c r="A241" s="259" t="s">
        <v>259</v>
      </c>
      <c r="B241" s="260" t="s">
        <v>196</v>
      </c>
      <c r="C241" s="261">
        <v>0.01</v>
      </c>
      <c r="D241" s="261">
        <v>5314130.64</v>
      </c>
      <c r="E241" s="262">
        <v>60643.0</v>
      </c>
      <c r="F241" s="262">
        <v>90964.0</v>
      </c>
      <c r="G241" s="263">
        <f t="shared" si="7"/>
        <v>5465737.649999999</v>
      </c>
    </row>
    <row r="242" spans="8:8">
      <c r="A242" s="259" t="s">
        <v>260</v>
      </c>
      <c r="B242" s="260" t="s">
        <v>196</v>
      </c>
      <c r="C242" s="261">
        <v>2262342.7060000002</v>
      </c>
      <c r="D242" s="261">
        <v>6382748.736</v>
      </c>
      <c r="E242" s="262">
        <v>60643.0</v>
      </c>
      <c r="F242" s="262">
        <v>90964.0</v>
      </c>
      <c r="G242" s="263">
        <f t="shared" si="7"/>
        <v>8796698.442</v>
      </c>
    </row>
    <row r="243" spans="8:8">
      <c r="A243" s="259" t="s">
        <v>262</v>
      </c>
      <c r="B243" s="260" t="s">
        <v>196</v>
      </c>
      <c r="C243" s="261">
        <v>0.01</v>
      </c>
      <c r="D243" s="261">
        <v>6376956.767999999</v>
      </c>
      <c r="E243" s="262">
        <v>60643.0</v>
      </c>
      <c r="F243" s="262">
        <v>90964.0</v>
      </c>
      <c r="G243" s="263">
        <f t="shared" si="7"/>
        <v>6528563.777999999</v>
      </c>
    </row>
    <row r="244" spans="8:8">
      <c r="A244" s="259" t="s">
        <v>265</v>
      </c>
      <c r="B244" s="260" t="s">
        <v>196</v>
      </c>
      <c r="C244" s="261">
        <v>0.01</v>
      </c>
      <c r="D244" s="261">
        <v>5314130.64</v>
      </c>
      <c r="E244" s="262">
        <v>60643.0</v>
      </c>
      <c r="F244" s="262">
        <v>90964.0</v>
      </c>
      <c r="G244" s="263">
        <f t="shared" si="7"/>
        <v>5465737.649999999</v>
      </c>
    </row>
    <row r="245" spans="8:8">
      <c r="A245" s="259" t="s">
        <v>266</v>
      </c>
      <c r="B245" s="260" t="s">
        <v>196</v>
      </c>
      <c r="C245" s="261">
        <v>0.01</v>
      </c>
      <c r="D245" s="261">
        <v>5314130.64</v>
      </c>
      <c r="E245" s="262">
        <v>60643.0</v>
      </c>
      <c r="F245" s="262">
        <v>90964.0</v>
      </c>
      <c r="G245" s="263">
        <f t="shared" si="7"/>
        <v>5465737.649999999</v>
      </c>
    </row>
    <row r="246" spans="8:8">
      <c r="A246" s="259" t="s">
        <v>267</v>
      </c>
      <c r="B246" s="260" t="s">
        <v>196</v>
      </c>
      <c r="C246" s="261">
        <v>0.01</v>
      </c>
      <c r="D246" s="261">
        <v>5314130.64</v>
      </c>
      <c r="E246" s="262">
        <v>60643.0</v>
      </c>
      <c r="F246" s="262">
        <v>90964.0</v>
      </c>
      <c r="G246" s="263">
        <f t="shared" si="7"/>
        <v>5465737.649999999</v>
      </c>
    </row>
    <row r="247" spans="8:8">
      <c r="A247" s="259" t="s">
        <v>268</v>
      </c>
      <c r="B247" s="260" t="s">
        <v>196</v>
      </c>
      <c r="C247" s="261">
        <v>0.01</v>
      </c>
      <c r="D247" s="261">
        <v>5314130.64</v>
      </c>
      <c r="E247" s="262">
        <v>60643.0</v>
      </c>
      <c r="F247" s="262">
        <v>90964.0</v>
      </c>
      <c r="G247" s="263">
        <f t="shared" si="7"/>
        <v>5465737.649999999</v>
      </c>
    </row>
    <row r="248" spans="8:8">
      <c r="A248" s="259" t="s">
        <v>269</v>
      </c>
      <c r="B248" s="260" t="s">
        <v>196</v>
      </c>
      <c r="C248" s="261">
        <v>0.01</v>
      </c>
      <c r="D248" s="261">
        <v>5314130.64</v>
      </c>
      <c r="E248" s="262">
        <v>60643.0</v>
      </c>
      <c r="F248" s="262">
        <v>90964.0</v>
      </c>
      <c r="G248" s="263">
        <f t="shared" si="7"/>
        <v>5465737.649999999</v>
      </c>
    </row>
    <row r="249" spans="8:8">
      <c r="A249" s="259" t="s">
        <v>270</v>
      </c>
      <c r="B249" s="260" t="s">
        <v>196</v>
      </c>
      <c r="C249" s="261">
        <v>0.01</v>
      </c>
      <c r="D249" s="261">
        <v>5314130.64</v>
      </c>
      <c r="E249" s="262">
        <v>60643.0</v>
      </c>
      <c r="F249" s="262">
        <v>90964.0</v>
      </c>
      <c r="G249" s="263">
        <f t="shared" si="7"/>
        <v>5465737.649999999</v>
      </c>
    </row>
    <row r="250" spans="8:8">
      <c r="A250" s="259" t="s">
        <v>271</v>
      </c>
      <c r="B250" s="260" t="s">
        <v>196</v>
      </c>
      <c r="C250" s="261">
        <v>0.01</v>
      </c>
      <c r="D250" s="261">
        <v>5314130.64</v>
      </c>
      <c r="E250" s="262">
        <v>60643.0</v>
      </c>
      <c r="F250" s="262">
        <v>90964.0</v>
      </c>
      <c r="G250" s="263">
        <f t="shared" si="7"/>
        <v>5465737.649999999</v>
      </c>
    </row>
    <row r="251" spans="8:8">
      <c r="A251" s="259" t="s">
        <v>272</v>
      </c>
      <c r="B251" s="260" t="s">
        <v>196</v>
      </c>
      <c r="C251" s="261">
        <v>0.01</v>
      </c>
      <c r="D251" s="261">
        <v>5314130.64</v>
      </c>
      <c r="E251" s="262">
        <v>60643.0</v>
      </c>
      <c r="F251" s="262">
        <v>90964.0</v>
      </c>
      <c r="G251" s="263">
        <f t="shared" si="7"/>
        <v>5465737.649999999</v>
      </c>
    </row>
    <row r="252" spans="8:8">
      <c r="A252" s="259" t="s">
        <v>273</v>
      </c>
      <c r="B252" s="260" t="s">
        <v>196</v>
      </c>
      <c r="C252" s="261">
        <v>0.01</v>
      </c>
      <c r="D252" s="261">
        <v>5314130.64</v>
      </c>
      <c r="E252" s="262">
        <v>60643.0</v>
      </c>
      <c r="F252" s="262">
        <v>90964.0</v>
      </c>
      <c r="G252" s="263">
        <f t="shared" si="8" ref="G252:G256">SUM(C252:F252)</f>
        <v>5465737.649999999</v>
      </c>
    </row>
    <row r="253" spans="8:8">
      <c r="A253" s="259" t="s">
        <v>274</v>
      </c>
      <c r="B253" s="260" t="s">
        <v>196</v>
      </c>
      <c r="C253" s="261">
        <v>0.01</v>
      </c>
      <c r="D253" s="261">
        <v>5314130.64</v>
      </c>
      <c r="E253" s="262">
        <v>60643.0</v>
      </c>
      <c r="F253" s="262">
        <v>90964.0</v>
      </c>
      <c r="G253" s="263">
        <f t="shared" si="8"/>
        <v>5465737.649999999</v>
      </c>
    </row>
    <row r="254" spans="8:8">
      <c r="A254" s="259" t="s">
        <v>275</v>
      </c>
      <c r="B254" s="260" t="s">
        <v>196</v>
      </c>
      <c r="C254" s="261">
        <v>0.01</v>
      </c>
      <c r="D254" s="261">
        <v>5314130.64</v>
      </c>
      <c r="E254" s="262">
        <v>60643.0</v>
      </c>
      <c r="F254" s="262">
        <v>90964.0</v>
      </c>
      <c r="G254" s="263">
        <f t="shared" si="8"/>
        <v>5465737.649999999</v>
      </c>
    </row>
    <row r="255" spans="8:8">
      <c r="A255" s="259" t="s">
        <v>276</v>
      </c>
      <c r="B255" s="260" t="s">
        <v>196</v>
      </c>
      <c r="C255" s="261">
        <v>0.01</v>
      </c>
      <c r="D255" s="261">
        <v>5314130.64</v>
      </c>
      <c r="E255" s="262">
        <v>60643.0</v>
      </c>
      <c r="F255" s="262">
        <v>90964.0</v>
      </c>
      <c r="G255" s="263">
        <f t="shared" si="8"/>
        <v>5465737.649999999</v>
      </c>
    </row>
    <row r="256" spans="8:8">
      <c r="A256" s="272" t="s">
        <v>277</v>
      </c>
      <c r="B256" s="260" t="s">
        <v>196</v>
      </c>
      <c r="C256" s="261">
        <v>0.01</v>
      </c>
      <c r="D256" s="261">
        <v>5314130.64</v>
      </c>
      <c r="E256" s="262">
        <v>60643.0</v>
      </c>
      <c r="F256" s="262">
        <v>90964.0</v>
      </c>
      <c r="G256" s="263">
        <f t="shared" si="8"/>
        <v>5465737.649999999</v>
      </c>
    </row>
    <row r="257" spans="8:8">
      <c r="A257" s="259" t="s">
        <v>280</v>
      </c>
      <c r="B257" s="260" t="s">
        <v>196</v>
      </c>
      <c r="C257" s="261">
        <v>2262342.7008000007</v>
      </c>
      <c r="D257" s="261">
        <v>6382748.736</v>
      </c>
      <c r="E257" s="262">
        <v>60643.0</v>
      </c>
      <c r="F257" s="262">
        <v>90964.0</v>
      </c>
      <c r="G257" s="263">
        <f>SUM(C257:F257)</f>
        <v>8796698.4368</v>
      </c>
    </row>
    <row r="258" spans="8:8">
      <c r="A258" s="281" t="s">
        <v>281</v>
      </c>
      <c r="B258" s="282" t="s">
        <v>282</v>
      </c>
      <c r="C258" s="261">
        <v>1.0E7</v>
      </c>
      <c r="D258" s="283" t="s">
        <v>292</v>
      </c>
      <c r="E258" s="284" t="s">
        <v>292</v>
      </c>
      <c r="F258" s="284" t="s">
        <v>292</v>
      </c>
      <c r="G258" s="285">
        <f>SUM(C258:F258)</f>
        <v>1.0E7</v>
      </c>
    </row>
    <row r="259" spans="8:8">
      <c r="A259" s="281" t="s">
        <v>283</v>
      </c>
      <c r="B259" s="282" t="s">
        <v>282</v>
      </c>
      <c r="C259" s="261">
        <v>1.0E7</v>
      </c>
      <c r="D259" s="283" t="s">
        <v>292</v>
      </c>
      <c r="E259" s="284" t="s">
        <v>292</v>
      </c>
      <c r="F259" s="284" t="s">
        <v>292</v>
      </c>
      <c r="G259" s="285">
        <f t="shared" si="9" ref="G259:G266">SUM(C259:F259)</f>
        <v>1.0E7</v>
      </c>
    </row>
    <row r="260" spans="8:8">
      <c r="A260" s="281" t="s">
        <v>284</v>
      </c>
      <c r="B260" s="282" t="s">
        <v>285</v>
      </c>
      <c r="C260" s="286">
        <v>20000.0</v>
      </c>
      <c r="D260" s="283" t="s">
        <v>292</v>
      </c>
      <c r="E260" s="284" t="s">
        <v>292</v>
      </c>
      <c r="F260" s="284" t="s">
        <v>292</v>
      </c>
      <c r="G260" s="285">
        <f t="shared" si="9"/>
        <v>20000.0</v>
      </c>
    </row>
    <row r="261" spans="8:8">
      <c r="A261" s="281" t="s">
        <v>286</v>
      </c>
      <c r="B261" s="282" t="s">
        <v>285</v>
      </c>
      <c r="C261" s="286">
        <v>30200.0</v>
      </c>
      <c r="D261" s="283" t="s">
        <v>292</v>
      </c>
      <c r="E261" s="284" t="s">
        <v>292</v>
      </c>
      <c r="F261" s="284" t="s">
        <v>292</v>
      </c>
      <c r="G261" s="285">
        <f t="shared" si="9"/>
        <v>30200.0</v>
      </c>
    </row>
    <row r="262" spans="8:8">
      <c r="A262" s="272" t="s">
        <v>4</v>
      </c>
      <c r="B262" s="271" t="s">
        <v>285</v>
      </c>
      <c r="C262" s="287">
        <v>60643.0</v>
      </c>
      <c r="D262" s="283" t="s">
        <v>292</v>
      </c>
      <c r="E262" s="284" t="s">
        <v>292</v>
      </c>
      <c r="F262" s="284" t="s">
        <v>292</v>
      </c>
      <c r="G262" s="285">
        <f t="shared" si="9"/>
        <v>60643.0</v>
      </c>
    </row>
    <row r="263" spans="8:8">
      <c r="A263" s="272" t="s">
        <v>287</v>
      </c>
      <c r="B263" s="271" t="s">
        <v>285</v>
      </c>
      <c r="C263" s="287">
        <v>181928.0</v>
      </c>
      <c r="D263" s="283" t="s">
        <v>292</v>
      </c>
      <c r="E263" s="284" t="s">
        <v>292</v>
      </c>
      <c r="F263" s="284" t="s">
        <v>292</v>
      </c>
      <c r="G263" s="285">
        <f t="shared" si="9"/>
        <v>181928.0</v>
      </c>
    </row>
    <row r="264" spans="8:8">
      <c r="A264" s="272" t="s">
        <v>319</v>
      </c>
      <c r="B264" s="271" t="s">
        <v>285</v>
      </c>
      <c r="C264" s="287">
        <v>110000.0</v>
      </c>
      <c r="D264" s="283" t="s">
        <v>292</v>
      </c>
      <c r="E264" s="284" t="s">
        <v>292</v>
      </c>
      <c r="F264" s="284" t="s">
        <v>292</v>
      </c>
      <c r="G264" s="285">
        <f t="shared" si="9"/>
        <v>110000.0</v>
      </c>
    </row>
    <row r="265" spans="8:8">
      <c r="A265" s="272" t="s">
        <v>5</v>
      </c>
      <c r="B265" s="271" t="s">
        <v>285</v>
      </c>
      <c r="C265" s="287">
        <v>90964.0</v>
      </c>
      <c r="D265" s="283" t="s">
        <v>292</v>
      </c>
      <c r="E265" s="284" t="s">
        <v>292</v>
      </c>
      <c r="F265" s="284" t="s">
        <v>292</v>
      </c>
      <c r="G265" s="285">
        <f t="shared" si="9"/>
        <v>90964.0</v>
      </c>
    </row>
    <row r="266" spans="8:8">
      <c r="A266" s="272" t="s">
        <v>288</v>
      </c>
      <c r="B266" s="271" t="s">
        <v>285</v>
      </c>
      <c r="C266" s="287">
        <v>303212.0</v>
      </c>
      <c r="D266" s="283" t="s">
        <v>292</v>
      </c>
      <c r="E266" s="284" t="s">
        <v>292</v>
      </c>
      <c r="F266" s="284" t="s">
        <v>292</v>
      </c>
      <c r="G266" s="285">
        <f t="shared" si="9"/>
        <v>303212.0</v>
      </c>
    </row>
    <row r="267" spans="8:8">
      <c r="A267" s="281" t="s">
        <v>291</v>
      </c>
      <c r="B267" s="282" t="s">
        <v>290</v>
      </c>
      <c r="C267" s="261">
        <v>954130.1952</v>
      </c>
      <c r="D267" s="261">
        <v>954130.1952</v>
      </c>
      <c r="E267" s="262">
        <v>60643.0</v>
      </c>
      <c r="F267" s="262">
        <v>90964.0</v>
      </c>
      <c r="G267" s="285">
        <f>SUM(C267:F267)</f>
        <v>2059867.3904</v>
      </c>
    </row>
    <row r="268" spans="8:8">
      <c r="B268" s="288"/>
      <c r="C268" s="254"/>
      <c r="D268" s="254"/>
      <c r="E268" s="289"/>
    </row>
    <row r="269" spans="8:8">
      <c r="B269" s="288"/>
      <c r="C269" s="254"/>
      <c r="D269" s="254"/>
      <c r="E269" s="289"/>
    </row>
    <row r="270" spans="8:8">
      <c r="E270" s="289"/>
    </row>
    <row r="273" spans="8:8">
      <c r="A273" s="250" t="s">
        <v>351</v>
      </c>
    </row>
    <row r="282" spans="8:8">
      <c r="H282" s="275"/>
    </row>
    <row r="283" spans="8:8" s="275" ht="18.75" customFormat="1">
      <c r="A283" s="250"/>
      <c r="B283" s="251"/>
      <c r="C283" s="252"/>
      <c r="D283" s="252"/>
      <c r="E283" s="253"/>
      <c r="F283" s="253"/>
      <c r="G283" s="254"/>
    </row>
    <row r="291" spans="8:8" s="275" ht="18.75" customFormat="1">
      <c r="A291" s="250"/>
      <c r="B291" s="251"/>
      <c r="C291" s="252"/>
      <c r="D291" s="252"/>
      <c r="E291" s="253"/>
      <c r="F291" s="253"/>
      <c r="G291" s="254"/>
    </row>
    <row r="294" spans="8:8" s="275" ht="18.75" customFormat="1">
      <c r="A294" s="250"/>
      <c r="B294" s="251"/>
      <c r="C294" s="252"/>
      <c r="D294" s="252"/>
      <c r="E294" s="253"/>
      <c r="F294" s="253"/>
      <c r="G294" s="254"/>
    </row>
    <row r="295" spans="8:8" s="275" ht="18.75" customFormat="1">
      <c r="A295" s="250"/>
      <c r="B295" s="251"/>
      <c r="C295" s="252"/>
      <c r="D295" s="252"/>
      <c r="E295" s="253"/>
      <c r="F295" s="253"/>
      <c r="G295" s="254"/>
    </row>
    <row r="296" spans="8:8">
      <c r="H296" s="270"/>
    </row>
    <row r="297" spans="8:8">
      <c r="H297" s="270"/>
    </row>
  </sheetData>
  <pageMargins left="0.38" right="0.34" top="0.7480314960629921" bottom="0.49" header="0.31496062992125984" footer="0.31496062992125984"/>
  <pageSetup paperSize="9" scale="90"/>
</worksheet>
</file>

<file path=xl/worksheets/sheet20.xml><?xml version="1.0" encoding="utf-8"?>
<worksheet xmlns:r="http://schemas.openxmlformats.org/officeDocument/2006/relationships" xmlns="http://schemas.openxmlformats.org/spreadsheetml/2006/main">
  <dimension ref="A1:O297"/>
  <sheetViews>
    <sheetView workbookViewId="0" topLeftCell="A238">
      <selection activeCell="A235" sqref="A235"/>
    </sheetView>
  </sheetViews>
  <sheetFormatPr defaultRowHeight="15.0" defaultColWidth="10"/>
  <cols>
    <col min="1" max="1" customWidth="1" width="70.71094" style="290"/>
    <col min="2" max="2" customWidth="1" bestFit="1" width="14.0" style="39"/>
    <col min="3" max="3" hidden="1" customWidth="1" width="12.425781" style="40"/>
    <col min="4" max="4" hidden="1" customWidth="1" width="15.285156" style="40"/>
    <col min="5" max="5" hidden="1" customWidth="1" width="12.855469" style="163"/>
    <col min="6" max="6" hidden="1" customWidth="1" width="18.140625" style="163"/>
    <col min="7" max="7" hidden="1" customWidth="1" width="19.710938" style="163"/>
    <col min="8" max="8" customWidth="1" bestFit="1" width="14.5703125" style="161"/>
    <col min="9" max="10" customWidth="0" width="11.425781" style="39"/>
    <col min="11" max="11" customWidth="1" bestFit="1" width="12.5703125" style="39"/>
    <col min="12" max="16384" customWidth="0" width="11.425781" style="39"/>
  </cols>
  <sheetData>
    <row r="1" spans="8:8">
      <c r="A1" s="291" t="s">
        <v>0</v>
      </c>
      <c r="B1" s="1" t="s">
        <v>1</v>
      </c>
      <c r="C1" s="2" t="s">
        <v>2</v>
      </c>
      <c r="D1" s="2" t="s">
        <v>3</v>
      </c>
      <c r="E1" s="80" t="s">
        <v>4</v>
      </c>
      <c r="F1" s="80" t="s">
        <v>5</v>
      </c>
      <c r="G1" s="80" t="s">
        <v>319</v>
      </c>
      <c r="H1" s="2" t="s">
        <v>294</v>
      </c>
    </row>
    <row r="2" spans="8:8">
      <c r="A2" s="175" t="s">
        <v>7</v>
      </c>
      <c r="B2" s="4" t="s">
        <v>8</v>
      </c>
      <c r="C2" s="235">
        <v>0.01</v>
      </c>
      <c r="D2" s="235">
        <v>1339566.35904</v>
      </c>
      <c r="E2" s="20">
        <v>121286.0</v>
      </c>
      <c r="F2" s="20">
        <v>181928.0</v>
      </c>
      <c r="G2" s="180" t="s">
        <v>292</v>
      </c>
      <c r="H2" s="43">
        <f>SUM(C2:G2)</f>
        <v>1642780.36904</v>
      </c>
    </row>
    <row r="3" spans="8:8">
      <c r="A3" s="175" t="s">
        <v>9</v>
      </c>
      <c r="B3" s="4" t="s">
        <v>8</v>
      </c>
      <c r="C3" s="235">
        <v>0.01</v>
      </c>
      <c r="D3" s="235">
        <v>1339566.35904</v>
      </c>
      <c r="E3" s="20">
        <v>121286.0</v>
      </c>
      <c r="F3" s="20">
        <v>181928.0</v>
      </c>
      <c r="G3" s="180" t="s">
        <v>292</v>
      </c>
      <c r="H3" s="43">
        <f>SUM(C3:F3)</f>
        <v>1642780.36904</v>
      </c>
    </row>
    <row r="4" spans="8:8">
      <c r="A4" s="175" t="s">
        <v>10</v>
      </c>
      <c r="B4" s="4" t="s">
        <v>8</v>
      </c>
      <c r="C4" s="235">
        <v>0.01</v>
      </c>
      <c r="D4" s="235">
        <v>1339566.35904</v>
      </c>
      <c r="E4" s="20">
        <v>121286.0</v>
      </c>
      <c r="F4" s="20">
        <v>181928.0</v>
      </c>
      <c r="G4" s="180" t="s">
        <v>292</v>
      </c>
      <c r="H4" s="43">
        <f>SUM(C4:F4)</f>
        <v>1642780.36904</v>
      </c>
    </row>
    <row r="5" spans="8:8">
      <c r="A5" s="175" t="s">
        <v>11</v>
      </c>
      <c r="B5" s="4" t="s">
        <v>8</v>
      </c>
      <c r="C5" s="62">
        <v>0.01</v>
      </c>
      <c r="D5" s="235">
        <v>2679132.72808</v>
      </c>
      <c r="E5" s="20">
        <v>121286.0</v>
      </c>
      <c r="F5" s="20">
        <v>181928.0</v>
      </c>
      <c r="G5" s="180" t="s">
        <v>292</v>
      </c>
      <c r="H5" s="43">
        <f t="shared" si="0" ref="H5:H49">SUM(C5:G5)</f>
        <v>2982346.7380799996</v>
      </c>
    </row>
    <row r="6" spans="8:8">
      <c r="A6" s="292" t="s">
        <v>379</v>
      </c>
      <c r="B6" s="16" t="s">
        <v>13</v>
      </c>
      <c r="C6" s="235">
        <v>986773.1328</v>
      </c>
      <c r="D6" s="235">
        <v>550147.8528</v>
      </c>
      <c r="E6" s="20">
        <v>121286.0</v>
      </c>
      <c r="F6" s="20">
        <v>181928.0</v>
      </c>
      <c r="G6" s="20">
        <v>220000.0</v>
      </c>
      <c r="H6" s="205">
        <f t="shared" si="0"/>
        <v>2060134.9856</v>
      </c>
      <c r="I6" s="71"/>
      <c r="J6" s="71"/>
      <c r="K6" s="71"/>
      <c r="L6" s="71"/>
      <c r="M6" s="71"/>
      <c r="N6" s="71"/>
    </row>
    <row r="7" spans="8:8" s="293" ht="15.0" customFormat="1">
      <c r="A7" s="292" t="s">
        <v>380</v>
      </c>
      <c r="B7" s="294" t="s">
        <v>13</v>
      </c>
      <c r="C7" s="235">
        <v>986773.1328</v>
      </c>
      <c r="D7" s="235">
        <v>550147.8528</v>
      </c>
      <c r="E7" s="20">
        <v>121286.0</v>
      </c>
      <c r="F7" s="20">
        <v>181928.0</v>
      </c>
      <c r="G7" s="20">
        <v>220000.0</v>
      </c>
      <c r="H7" s="205">
        <f>SUM(C7:G7)*2</f>
        <v>4120269.9712</v>
      </c>
      <c r="I7" s="295"/>
      <c r="J7" s="295"/>
      <c r="K7" s="295"/>
      <c r="L7" s="295"/>
      <c r="M7" s="295"/>
    </row>
    <row r="8" spans="8:8">
      <c r="A8" s="175" t="s">
        <v>15</v>
      </c>
      <c r="B8" s="4" t="s">
        <v>13</v>
      </c>
      <c r="C8" s="235">
        <v>986773.1328</v>
      </c>
      <c r="D8" s="235">
        <v>550147.8528</v>
      </c>
      <c r="E8" s="20">
        <v>121286.0</v>
      </c>
      <c r="F8" s="20">
        <v>181928.0</v>
      </c>
      <c r="G8" s="20">
        <v>220000.0</v>
      </c>
      <c r="H8" s="43">
        <f t="shared" si="0"/>
        <v>2060134.9856</v>
      </c>
      <c r="I8" s="71"/>
      <c r="J8" s="71"/>
      <c r="K8" s="71"/>
      <c r="L8" s="71"/>
      <c r="M8" s="71"/>
      <c r="N8" s="71"/>
    </row>
    <row r="9" spans="8:8">
      <c r="A9" s="175" t="s">
        <v>16</v>
      </c>
      <c r="B9" s="4" t="s">
        <v>13</v>
      </c>
      <c r="C9" s="235">
        <v>986773.1328</v>
      </c>
      <c r="D9" s="235">
        <v>550147.8528</v>
      </c>
      <c r="E9" s="20">
        <v>121286.0</v>
      </c>
      <c r="F9" s="20">
        <v>181928.0</v>
      </c>
      <c r="G9" s="20">
        <v>220000.0</v>
      </c>
      <c r="H9" s="43">
        <f t="shared" si="0"/>
        <v>2060134.9856</v>
      </c>
      <c r="I9" s="71"/>
      <c r="J9" s="71"/>
      <c r="L9" s="71"/>
      <c r="M9" s="71"/>
      <c r="N9" s="71"/>
    </row>
    <row r="10" spans="8:8">
      <c r="A10" s="175" t="s">
        <v>17</v>
      </c>
      <c r="B10" s="4" t="s">
        <v>13</v>
      </c>
      <c r="C10" s="235">
        <v>3436240.9535999997</v>
      </c>
      <c r="D10" s="235">
        <v>1257480.8064</v>
      </c>
      <c r="E10" s="20">
        <v>121286.0</v>
      </c>
      <c r="F10" s="20">
        <v>181928.0</v>
      </c>
      <c r="G10" s="20">
        <v>220000.0</v>
      </c>
      <c r="H10" s="43">
        <f t="shared" si="0"/>
        <v>5216935.76</v>
      </c>
      <c r="I10" s="71"/>
      <c r="J10" s="71"/>
      <c r="K10" s="71"/>
      <c r="L10" s="71"/>
      <c r="M10" s="71"/>
      <c r="N10" s="71"/>
    </row>
    <row r="11" spans="8:8">
      <c r="A11" s="175" t="s">
        <v>18</v>
      </c>
      <c r="B11" s="4" t="s">
        <v>13</v>
      </c>
      <c r="C11" s="235">
        <v>1170155.7504</v>
      </c>
      <c r="D11" s="235">
        <v>1257480.8064</v>
      </c>
      <c r="E11" s="20">
        <v>121286.0</v>
      </c>
      <c r="F11" s="20">
        <v>181928.0</v>
      </c>
      <c r="G11" s="20">
        <v>220000.0</v>
      </c>
      <c r="H11" s="43">
        <f t="shared" si="0"/>
        <v>2950850.5568</v>
      </c>
      <c r="I11" s="71"/>
      <c r="J11" s="71"/>
      <c r="K11" s="71"/>
      <c r="L11" s="71"/>
      <c r="M11" s="71"/>
      <c r="N11" s="71"/>
    </row>
    <row r="12" spans="8:8">
      <c r="A12" s="175" t="s">
        <v>19</v>
      </c>
      <c r="B12" s="4" t="s">
        <v>13</v>
      </c>
      <c r="C12" s="235">
        <v>1170155.7504</v>
      </c>
      <c r="D12" s="235">
        <v>1257480.8064</v>
      </c>
      <c r="E12" s="20">
        <v>121286.0</v>
      </c>
      <c r="F12" s="20">
        <v>181928.0</v>
      </c>
      <c r="G12" s="20">
        <v>220000.0</v>
      </c>
      <c r="H12" s="43">
        <f t="shared" si="0"/>
        <v>2950850.5568</v>
      </c>
      <c r="I12" s="71"/>
      <c r="J12" s="71"/>
      <c r="K12" s="71"/>
      <c r="L12" s="71"/>
      <c r="M12" s="71"/>
      <c r="N12" s="71"/>
    </row>
    <row r="13" spans="8:8">
      <c r="A13" s="175" t="s">
        <v>20</v>
      </c>
      <c r="B13" s="4" t="s">
        <v>13</v>
      </c>
      <c r="C13" s="235">
        <v>1170155.7504</v>
      </c>
      <c r="D13" s="235">
        <v>1257480.8064</v>
      </c>
      <c r="E13" s="20">
        <v>121286.0</v>
      </c>
      <c r="F13" s="20">
        <v>181928.0</v>
      </c>
      <c r="G13" s="20">
        <v>220000.0</v>
      </c>
      <c r="H13" s="43">
        <f t="shared" si="0"/>
        <v>2950850.5568</v>
      </c>
    </row>
    <row r="14" spans="8:8">
      <c r="A14" s="292" t="s">
        <v>22</v>
      </c>
      <c r="B14" s="16" t="s">
        <v>13</v>
      </c>
      <c r="C14" s="235">
        <v>1170155.7504</v>
      </c>
      <c r="D14" s="235">
        <v>1257480.8064</v>
      </c>
      <c r="E14" s="20">
        <v>121286.0</v>
      </c>
      <c r="F14" s="20">
        <v>181928.0</v>
      </c>
      <c r="G14" s="20">
        <v>220000.0</v>
      </c>
      <c r="H14" s="205">
        <f>SUM(C14:G14)*2</f>
        <v>5901701.1136</v>
      </c>
    </row>
    <row r="15" spans="8:8">
      <c r="A15" s="296" t="s">
        <v>21</v>
      </c>
      <c r="B15" s="4" t="s">
        <v>13</v>
      </c>
      <c r="C15" s="235">
        <v>1170155.7504</v>
      </c>
      <c r="D15" s="235">
        <v>1257480.8064</v>
      </c>
      <c r="E15" s="20">
        <v>121286.0</v>
      </c>
      <c r="F15" s="20">
        <v>181928.0</v>
      </c>
      <c r="G15" s="20">
        <v>220000.0</v>
      </c>
      <c r="H15" s="43">
        <f t="shared" si="0"/>
        <v>2950850.5568</v>
      </c>
    </row>
    <row r="16" spans="8:8">
      <c r="A16" s="292" t="s">
        <v>21</v>
      </c>
      <c r="B16" s="16" t="s">
        <v>13</v>
      </c>
      <c r="C16" s="235">
        <v>1170155.7504</v>
      </c>
      <c r="D16" s="235">
        <v>1257480.8064</v>
      </c>
      <c r="E16" s="20">
        <v>121286.0</v>
      </c>
      <c r="F16" s="20">
        <v>181928.0</v>
      </c>
      <c r="G16" s="20">
        <v>220000.0</v>
      </c>
      <c r="H16" s="205">
        <f>SUM(C16:G16)*2</f>
        <v>5901701.1136</v>
      </c>
    </row>
    <row r="17" spans="8:8">
      <c r="A17" s="175" t="s">
        <v>24</v>
      </c>
      <c r="B17" s="16" t="s">
        <v>13</v>
      </c>
      <c r="C17" s="235">
        <v>1170155.7504</v>
      </c>
      <c r="D17" s="235">
        <v>1257480.8064</v>
      </c>
      <c r="E17" s="20">
        <v>121286.0</v>
      </c>
      <c r="F17" s="20">
        <v>181928.0</v>
      </c>
      <c r="G17" s="20">
        <v>220000.0</v>
      </c>
      <c r="H17" s="43">
        <f t="shared" si="0"/>
        <v>2950850.5568</v>
      </c>
    </row>
    <row r="18" spans="8:8">
      <c r="A18" s="175" t="s">
        <v>25</v>
      </c>
      <c r="B18" s="4" t="s">
        <v>13</v>
      </c>
      <c r="C18" s="235">
        <v>1170155.7504</v>
      </c>
      <c r="D18" s="235">
        <v>1257480.8064</v>
      </c>
      <c r="E18" s="20">
        <v>121286.0</v>
      </c>
      <c r="F18" s="20">
        <v>181928.0</v>
      </c>
      <c r="G18" s="20">
        <v>220000.0</v>
      </c>
      <c r="H18" s="43">
        <f t="shared" si="0"/>
        <v>2950850.5568</v>
      </c>
    </row>
    <row r="19" spans="8:8">
      <c r="A19" s="175" t="s">
        <v>26</v>
      </c>
      <c r="B19" s="4" t="s">
        <v>13</v>
      </c>
      <c r="C19" s="235">
        <v>1170155.7504</v>
      </c>
      <c r="D19" s="235">
        <v>1257480.8064</v>
      </c>
      <c r="E19" s="20">
        <v>121286.0</v>
      </c>
      <c r="F19" s="20">
        <v>181928.0</v>
      </c>
      <c r="G19" s="20">
        <v>220000.0</v>
      </c>
      <c r="H19" s="43">
        <f t="shared" si="0"/>
        <v>2950850.5568</v>
      </c>
    </row>
    <row r="20" spans="8:8">
      <c r="A20" s="175" t="s">
        <v>27</v>
      </c>
      <c r="B20" s="4" t="s">
        <v>13</v>
      </c>
      <c r="C20" s="235">
        <v>1170155.7504</v>
      </c>
      <c r="D20" s="235">
        <v>1257480.8064</v>
      </c>
      <c r="E20" s="20">
        <v>121286.0</v>
      </c>
      <c r="F20" s="20">
        <v>181928.0</v>
      </c>
      <c r="G20" s="20">
        <v>220000.0</v>
      </c>
      <c r="H20" s="43">
        <f t="shared" si="0"/>
        <v>2950850.5568</v>
      </c>
    </row>
    <row r="21" spans="8:8">
      <c r="A21" s="175" t="s">
        <v>28</v>
      </c>
      <c r="B21" s="4" t="s">
        <v>13</v>
      </c>
      <c r="C21" s="235">
        <v>1170155.7504</v>
      </c>
      <c r="D21" s="235">
        <v>1257480.8064</v>
      </c>
      <c r="E21" s="20">
        <v>121286.0</v>
      </c>
      <c r="F21" s="20">
        <v>181928.0</v>
      </c>
      <c r="G21" s="20">
        <v>220000.0</v>
      </c>
      <c r="H21" s="43">
        <f t="shared" si="0"/>
        <v>2950850.5568</v>
      </c>
    </row>
    <row r="22" spans="8:8">
      <c r="A22" s="175" t="s">
        <v>29</v>
      </c>
      <c r="B22" s="4" t="s">
        <v>13</v>
      </c>
      <c r="C22" s="235">
        <v>1170155.7504</v>
      </c>
      <c r="D22" s="235">
        <v>1257480.8064</v>
      </c>
      <c r="E22" s="20">
        <v>121286.0</v>
      </c>
      <c r="F22" s="20">
        <v>181928.0</v>
      </c>
      <c r="G22" s="20">
        <v>220000.0</v>
      </c>
      <c r="H22" s="43">
        <f t="shared" si="0"/>
        <v>2950850.5568</v>
      </c>
    </row>
    <row r="23" spans="8:8">
      <c r="A23" s="297" t="s">
        <v>381</v>
      </c>
      <c r="B23" s="4" t="s">
        <v>13</v>
      </c>
      <c r="C23" s="235">
        <v>1170155.7504</v>
      </c>
      <c r="D23" s="235">
        <v>1257480.8064</v>
      </c>
      <c r="E23" s="20">
        <v>121286.0</v>
      </c>
      <c r="F23" s="20">
        <v>181928.0</v>
      </c>
      <c r="G23" s="20">
        <v>220000.0</v>
      </c>
      <c r="H23" s="43">
        <f t="shared" si="0"/>
        <v>2950850.5568</v>
      </c>
    </row>
    <row r="24" spans="8:8">
      <c r="A24" s="175" t="s">
        <v>31</v>
      </c>
      <c r="B24" s="4" t="s">
        <v>13</v>
      </c>
      <c r="C24" s="235">
        <v>1170155.7504</v>
      </c>
      <c r="D24" s="235">
        <v>1257480.8064</v>
      </c>
      <c r="E24" s="20">
        <v>121286.0</v>
      </c>
      <c r="F24" s="20">
        <v>181928.0</v>
      </c>
      <c r="G24" s="20">
        <v>220000.0</v>
      </c>
      <c r="H24" s="43">
        <f t="shared" si="0"/>
        <v>2950850.5568</v>
      </c>
    </row>
    <row r="25" spans="8:8">
      <c r="A25" s="175" t="s">
        <v>32</v>
      </c>
      <c r="B25" s="4" t="s">
        <v>13</v>
      </c>
      <c r="C25" s="235">
        <v>1170155.7504</v>
      </c>
      <c r="D25" s="235">
        <v>1257480.8064</v>
      </c>
      <c r="E25" s="20">
        <v>121286.0</v>
      </c>
      <c r="F25" s="20">
        <v>181928.0</v>
      </c>
      <c r="G25" s="20">
        <v>220000.0</v>
      </c>
      <c r="H25" s="43">
        <f t="shared" si="0"/>
        <v>2950850.5568</v>
      </c>
    </row>
    <row r="26" spans="8:8">
      <c r="A26" s="175" t="s">
        <v>33</v>
      </c>
      <c r="B26" s="4" t="s">
        <v>13</v>
      </c>
      <c r="C26" s="235">
        <v>1170155.7504</v>
      </c>
      <c r="D26" s="235">
        <v>1257480.8064</v>
      </c>
      <c r="E26" s="20">
        <v>121286.0</v>
      </c>
      <c r="F26" s="20">
        <v>181928.0</v>
      </c>
      <c r="G26" s="20">
        <v>220000.0</v>
      </c>
      <c r="H26" s="43">
        <f t="shared" si="0"/>
        <v>2950850.5568</v>
      </c>
    </row>
    <row r="27" spans="8:8">
      <c r="A27" s="175" t="s">
        <v>34</v>
      </c>
      <c r="B27" s="4" t="s">
        <v>13</v>
      </c>
      <c r="C27" s="235">
        <v>986773.1328</v>
      </c>
      <c r="D27" s="235">
        <v>550147.8528</v>
      </c>
      <c r="E27" s="20">
        <v>121286.0</v>
      </c>
      <c r="F27" s="20">
        <v>181928.0</v>
      </c>
      <c r="G27" s="20">
        <v>220000.0</v>
      </c>
      <c r="H27" s="43">
        <f t="shared" si="0"/>
        <v>2060134.9856</v>
      </c>
    </row>
    <row r="28" spans="8:8">
      <c r="A28" s="175" t="s">
        <v>35</v>
      </c>
      <c r="B28" s="4" t="s">
        <v>13</v>
      </c>
      <c r="C28" s="235">
        <v>986773.1328</v>
      </c>
      <c r="D28" s="235">
        <v>550147.8528</v>
      </c>
      <c r="E28" s="20">
        <v>121286.0</v>
      </c>
      <c r="F28" s="20">
        <v>181928.0</v>
      </c>
      <c r="G28" s="20">
        <v>220000.0</v>
      </c>
      <c r="H28" s="43">
        <f t="shared" si="0"/>
        <v>2060134.9856</v>
      </c>
    </row>
    <row r="29" spans="8:8">
      <c r="A29" s="175" t="s">
        <v>36</v>
      </c>
      <c r="B29" s="4" t="s">
        <v>13</v>
      </c>
      <c r="C29" s="235">
        <v>986773.1328</v>
      </c>
      <c r="D29" s="235">
        <v>550147.8528</v>
      </c>
      <c r="E29" s="20">
        <v>121286.0</v>
      </c>
      <c r="F29" s="20">
        <v>181928.0</v>
      </c>
      <c r="G29" s="20">
        <v>220000.0</v>
      </c>
      <c r="H29" s="43">
        <f t="shared" si="0"/>
        <v>2060134.9856</v>
      </c>
    </row>
    <row r="30" spans="8:8">
      <c r="A30" s="298" t="s">
        <v>392</v>
      </c>
      <c r="B30" s="4" t="s">
        <v>13</v>
      </c>
      <c r="C30" s="235">
        <v>986773.1328</v>
      </c>
      <c r="D30" s="235">
        <v>550147.8528</v>
      </c>
      <c r="E30" s="20">
        <v>121286.0</v>
      </c>
      <c r="F30" s="20">
        <v>181928.0</v>
      </c>
      <c r="G30" s="20">
        <v>220000.0</v>
      </c>
      <c r="H30" s="43">
        <f t="shared" si="0"/>
        <v>2060134.9856</v>
      </c>
    </row>
    <row r="31" spans="8:8">
      <c r="A31" s="175" t="s">
        <v>38</v>
      </c>
      <c r="B31" s="4" t="s">
        <v>13</v>
      </c>
      <c r="C31" s="235">
        <v>986773.1328</v>
      </c>
      <c r="D31" s="235">
        <v>550147.8528</v>
      </c>
      <c r="E31" s="20">
        <v>121286.0</v>
      </c>
      <c r="F31" s="20">
        <v>181928.0</v>
      </c>
      <c r="G31" s="20">
        <v>220000.0</v>
      </c>
      <c r="H31" s="43">
        <f t="shared" si="0"/>
        <v>2060134.9856</v>
      </c>
    </row>
    <row r="32" spans="8:8">
      <c r="A32" s="296" t="s">
        <v>39</v>
      </c>
      <c r="B32" s="4" t="s">
        <v>13</v>
      </c>
      <c r="C32" s="235">
        <v>986773.1328</v>
      </c>
      <c r="D32" s="235">
        <v>550147.8528</v>
      </c>
      <c r="E32" s="20">
        <v>121286.0</v>
      </c>
      <c r="F32" s="20">
        <v>181928.0</v>
      </c>
      <c r="G32" s="20">
        <v>220000.0</v>
      </c>
      <c r="H32" s="43">
        <f t="shared" si="0"/>
        <v>2060134.9856</v>
      </c>
    </row>
    <row r="33" spans="8:8" s="49" ht="15.0" customFormat="1">
      <c r="A33" s="175" t="s">
        <v>40</v>
      </c>
      <c r="B33" s="16" t="s">
        <v>13</v>
      </c>
      <c r="C33" s="235">
        <v>986773.1328</v>
      </c>
      <c r="D33" s="235">
        <v>550147.8528</v>
      </c>
      <c r="E33" s="20">
        <v>121286.0</v>
      </c>
      <c r="F33" s="20">
        <v>181928.0</v>
      </c>
      <c r="G33" s="20">
        <v>220000.0</v>
      </c>
      <c r="H33" s="43">
        <f t="shared" si="0"/>
        <v>2060134.9856</v>
      </c>
    </row>
    <row r="34" spans="8:8">
      <c r="A34" s="296" t="s">
        <v>41</v>
      </c>
      <c r="B34" s="16" t="s">
        <v>13</v>
      </c>
      <c r="C34" s="235">
        <v>986773.1328</v>
      </c>
      <c r="D34" s="235">
        <v>550147.8528</v>
      </c>
      <c r="E34" s="20">
        <v>121286.0</v>
      </c>
      <c r="F34" s="20">
        <v>181928.0</v>
      </c>
      <c r="G34" s="20">
        <v>220000.0</v>
      </c>
      <c r="H34" s="43">
        <f t="shared" si="0"/>
        <v>2060134.9856</v>
      </c>
    </row>
    <row r="35" spans="8:8" s="49" ht="15.0" customFormat="1">
      <c r="A35" s="298" t="s">
        <v>393</v>
      </c>
      <c r="B35" s="16" t="s">
        <v>13</v>
      </c>
      <c r="C35" s="235">
        <v>986773.1328</v>
      </c>
      <c r="D35" s="235">
        <v>550147.8528</v>
      </c>
      <c r="E35" s="20">
        <v>121286.0</v>
      </c>
      <c r="F35" s="20">
        <v>181928.0</v>
      </c>
      <c r="G35" s="20">
        <v>220000.0</v>
      </c>
      <c r="H35" s="43">
        <f t="shared" si="0"/>
        <v>2060134.9856</v>
      </c>
    </row>
    <row r="36" spans="8:8">
      <c r="A36" s="175" t="s">
        <v>43</v>
      </c>
      <c r="B36" s="4" t="s">
        <v>13</v>
      </c>
      <c r="C36" s="235">
        <v>986773.1328</v>
      </c>
      <c r="D36" s="235">
        <v>550147.8528</v>
      </c>
      <c r="E36" s="20">
        <v>121286.0</v>
      </c>
      <c r="F36" s="20">
        <v>181928.0</v>
      </c>
      <c r="G36" s="20">
        <v>220000.0</v>
      </c>
      <c r="H36" s="43">
        <f t="shared" si="0"/>
        <v>2060134.9856</v>
      </c>
    </row>
    <row r="37" spans="8:8">
      <c r="A37" s="298" t="s">
        <v>394</v>
      </c>
      <c r="B37" s="4" t="s">
        <v>13</v>
      </c>
      <c r="C37" s="235">
        <v>986773.1328</v>
      </c>
      <c r="D37" s="235">
        <v>550147.8528</v>
      </c>
      <c r="E37" s="20">
        <v>121286.0</v>
      </c>
      <c r="F37" s="20">
        <v>181928.0</v>
      </c>
      <c r="G37" s="20">
        <v>220000.0</v>
      </c>
      <c r="H37" s="43">
        <f t="shared" si="0"/>
        <v>2060134.9856</v>
      </c>
    </row>
    <row r="38" spans="8:8">
      <c r="A38" s="175" t="s">
        <v>45</v>
      </c>
      <c r="B38" s="4" t="s">
        <v>13</v>
      </c>
      <c r="C38" s="235">
        <v>2231155.1807999993</v>
      </c>
      <c r="D38" s="235">
        <v>1309875.84</v>
      </c>
      <c r="E38" s="20">
        <v>121286.0</v>
      </c>
      <c r="F38" s="20">
        <v>181928.0</v>
      </c>
      <c r="G38" s="20">
        <v>220000.0</v>
      </c>
      <c r="H38" s="43">
        <f t="shared" si="0"/>
        <v>4064245.020799999</v>
      </c>
    </row>
    <row r="39" spans="8:8">
      <c r="A39" s="175" t="s">
        <v>46</v>
      </c>
      <c r="B39" s="4" t="s">
        <v>13</v>
      </c>
      <c r="C39" s="235">
        <v>2231155.1807999993</v>
      </c>
      <c r="D39" s="235">
        <v>1309875.84</v>
      </c>
      <c r="E39" s="20">
        <v>121286.0</v>
      </c>
      <c r="F39" s="20">
        <v>181928.0</v>
      </c>
      <c r="G39" s="20">
        <v>220000.0</v>
      </c>
      <c r="H39" s="43">
        <f t="shared" si="0"/>
        <v>4064245.020799999</v>
      </c>
    </row>
    <row r="40" spans="8:8">
      <c r="A40" s="175" t="s">
        <v>47</v>
      </c>
      <c r="B40" s="4" t="s">
        <v>13</v>
      </c>
      <c r="C40" s="235">
        <v>3139335.7632</v>
      </c>
      <c r="D40" s="235">
        <v>1309875.84</v>
      </c>
      <c r="E40" s="20">
        <v>121286.0</v>
      </c>
      <c r="F40" s="20">
        <v>181928.0</v>
      </c>
      <c r="G40" s="20">
        <v>220000.0</v>
      </c>
      <c r="H40" s="43">
        <f t="shared" si="0"/>
        <v>4972425.6032</v>
      </c>
    </row>
    <row r="41" spans="8:8">
      <c r="A41" s="175" t="s">
        <v>48</v>
      </c>
      <c r="B41" s="4" t="s">
        <v>13</v>
      </c>
      <c r="C41" s="235">
        <v>986773.1328</v>
      </c>
      <c r="D41" s="235">
        <v>1309875.84</v>
      </c>
      <c r="E41" s="20">
        <v>121286.0</v>
      </c>
      <c r="F41" s="20">
        <v>181928.0</v>
      </c>
      <c r="G41" s="20">
        <v>220000.0</v>
      </c>
      <c r="H41" s="43">
        <f t="shared" si="0"/>
        <v>2819862.9728</v>
      </c>
    </row>
    <row r="42" spans="8:8">
      <c r="A42" s="175" t="s">
        <v>49</v>
      </c>
      <c r="B42" s="4" t="s">
        <v>13</v>
      </c>
      <c r="C42" s="235">
        <v>986773.1328</v>
      </c>
      <c r="D42" s="235">
        <v>550147.8528</v>
      </c>
      <c r="E42" s="20">
        <v>121286.0</v>
      </c>
      <c r="F42" s="20">
        <v>181928.0</v>
      </c>
      <c r="G42" s="20">
        <v>220000.0</v>
      </c>
      <c r="H42" s="43">
        <f t="shared" si="0"/>
        <v>2060134.9856</v>
      </c>
    </row>
    <row r="43" spans="8:8">
      <c r="A43" s="299" t="s">
        <v>395</v>
      </c>
      <c r="B43" s="4" t="s">
        <v>13</v>
      </c>
      <c r="C43" s="235">
        <v>986773.1328</v>
      </c>
      <c r="D43" s="235">
        <v>550147.8528</v>
      </c>
      <c r="E43" s="20">
        <v>121286.0</v>
      </c>
      <c r="F43" s="20">
        <v>181928.0</v>
      </c>
      <c r="G43" s="20">
        <v>220000.0</v>
      </c>
      <c r="H43" s="43">
        <f t="shared" si="0"/>
        <v>2060134.9856</v>
      </c>
    </row>
    <row r="44" spans="8:8" s="49" ht="15.0" customFormat="1">
      <c r="A44" s="175" t="s">
        <v>51</v>
      </c>
      <c r="B44" s="16" t="s">
        <v>13</v>
      </c>
      <c r="C44" s="235">
        <v>986773.1328</v>
      </c>
      <c r="D44" s="235">
        <v>550147.8528</v>
      </c>
      <c r="E44" s="20">
        <v>121286.0</v>
      </c>
      <c r="F44" s="20">
        <v>181928.0</v>
      </c>
      <c r="G44" s="20">
        <v>220000.0</v>
      </c>
      <c r="H44" s="43">
        <f t="shared" si="0"/>
        <v>2060134.9856</v>
      </c>
    </row>
    <row r="45" spans="8:8">
      <c r="A45" s="175" t="s">
        <v>52</v>
      </c>
      <c r="B45" s="4" t="s">
        <v>13</v>
      </c>
      <c r="C45" s="235">
        <v>986773.1328</v>
      </c>
      <c r="D45" s="235">
        <v>550147.8528</v>
      </c>
      <c r="E45" s="20">
        <v>121286.0</v>
      </c>
      <c r="F45" s="20">
        <v>181928.0</v>
      </c>
      <c r="G45" s="20">
        <v>220000.0</v>
      </c>
      <c r="H45" s="43">
        <f t="shared" si="0"/>
        <v>2060134.9856</v>
      </c>
    </row>
    <row r="46" spans="8:8">
      <c r="A46" s="298" t="s">
        <v>396</v>
      </c>
      <c r="B46" s="4" t="s">
        <v>13</v>
      </c>
      <c r="C46" s="235">
        <v>986773.1328</v>
      </c>
      <c r="D46" s="235">
        <v>550147.8528</v>
      </c>
      <c r="E46" s="20">
        <v>121286.0</v>
      </c>
      <c r="F46" s="20">
        <v>181928.0</v>
      </c>
      <c r="G46" s="20">
        <v>220000.0</v>
      </c>
      <c r="H46" s="43">
        <f t="shared" si="0"/>
        <v>2060134.9856</v>
      </c>
    </row>
    <row r="47" spans="8:8">
      <c r="A47" s="175" t="s">
        <v>54</v>
      </c>
      <c r="B47" s="4" t="s">
        <v>13</v>
      </c>
      <c r="C47" s="235">
        <v>986773.1328</v>
      </c>
      <c r="D47" s="235">
        <v>550147.8528</v>
      </c>
      <c r="E47" s="20">
        <v>121286.0</v>
      </c>
      <c r="F47" s="20">
        <v>181928.0</v>
      </c>
      <c r="G47" s="20">
        <v>220000.0</v>
      </c>
      <c r="H47" s="43">
        <f t="shared" si="0"/>
        <v>2060134.9856</v>
      </c>
    </row>
    <row r="48" spans="8:8">
      <c r="A48" s="296" t="s">
        <v>55</v>
      </c>
      <c r="B48" s="4" t="s">
        <v>13</v>
      </c>
      <c r="C48" s="235">
        <v>986773.1328</v>
      </c>
      <c r="D48" s="235">
        <v>550147.8528</v>
      </c>
      <c r="E48" s="20">
        <v>121286.0</v>
      </c>
      <c r="F48" s="20">
        <v>181928.0</v>
      </c>
      <c r="G48" s="20">
        <v>220000.0</v>
      </c>
      <c r="H48" s="43">
        <f t="shared" si="0"/>
        <v>2060134.9856</v>
      </c>
    </row>
    <row r="49" spans="8:8" s="49" ht="15.0" customFormat="1">
      <c r="A49" s="298" t="s">
        <v>397</v>
      </c>
      <c r="B49" s="16" t="s">
        <v>13</v>
      </c>
      <c r="C49" s="235">
        <v>196481.376</v>
      </c>
      <c r="D49" s="235">
        <v>1440863.4239999999</v>
      </c>
      <c r="E49" s="20">
        <v>121286.0</v>
      </c>
      <c r="F49" s="20">
        <v>181928.0</v>
      </c>
      <c r="G49" s="20">
        <v>220000.0</v>
      </c>
      <c r="H49" s="241">
        <f t="shared" si="0"/>
        <v>2160558.8</v>
      </c>
    </row>
    <row r="50" spans="8:8">
      <c r="A50" s="175" t="s">
        <v>57</v>
      </c>
      <c r="B50" s="4" t="s">
        <v>60</v>
      </c>
      <c r="C50" s="235">
        <v>0.01</v>
      </c>
      <c r="D50" s="235">
        <v>1362270.8736</v>
      </c>
      <c r="E50" s="20">
        <v>121286.0</v>
      </c>
      <c r="F50" s="20">
        <v>181928.0</v>
      </c>
      <c r="G50" s="180" t="s">
        <v>292</v>
      </c>
      <c r="H50" s="43">
        <f t="shared" si="1" ref="H50:H55">SUM(C50:F50)</f>
        <v>1665484.8836</v>
      </c>
    </row>
    <row r="51" spans="8:8">
      <c r="A51" s="175" t="s">
        <v>58</v>
      </c>
      <c r="B51" s="4" t="s">
        <v>60</v>
      </c>
      <c r="C51" s="235">
        <v>0.01</v>
      </c>
      <c r="D51" s="235">
        <v>1362270.8736</v>
      </c>
      <c r="E51" s="20">
        <v>121286.0</v>
      </c>
      <c r="F51" s="20">
        <v>181928.0</v>
      </c>
      <c r="G51" s="180" t="s">
        <v>292</v>
      </c>
      <c r="H51" s="43">
        <f t="shared" si="1"/>
        <v>1665484.8836</v>
      </c>
    </row>
    <row r="52" spans="8:8">
      <c r="A52" s="175" t="s">
        <v>59</v>
      </c>
      <c r="B52" s="4" t="s">
        <v>60</v>
      </c>
      <c r="C52" s="235">
        <v>0.01</v>
      </c>
      <c r="D52" s="235">
        <v>1362270.8736</v>
      </c>
      <c r="E52" s="20">
        <v>121286.0</v>
      </c>
      <c r="F52" s="20">
        <v>181928.0</v>
      </c>
      <c r="G52" s="180" t="s">
        <v>292</v>
      </c>
      <c r="H52" s="43">
        <f t="shared" si="1"/>
        <v>1665484.8836</v>
      </c>
    </row>
    <row r="53" spans="8:8">
      <c r="A53" s="175" t="s">
        <v>61</v>
      </c>
      <c r="B53" s="4" t="s">
        <v>60</v>
      </c>
      <c r="C53" s="235">
        <v>283806.43200000003</v>
      </c>
      <c r="D53" s="235">
        <v>2383974.0288</v>
      </c>
      <c r="E53" s="20">
        <v>121286.0</v>
      </c>
      <c r="F53" s="20">
        <v>181928.0</v>
      </c>
      <c r="G53" s="180" t="s">
        <v>292</v>
      </c>
      <c r="H53" s="43">
        <f t="shared" si="1"/>
        <v>2970994.4608</v>
      </c>
    </row>
    <row r="54" spans="8:8">
      <c r="A54" s="175" t="s">
        <v>62</v>
      </c>
      <c r="B54" s="4" t="s">
        <v>60</v>
      </c>
      <c r="C54" s="235">
        <v>0.01</v>
      </c>
      <c r="D54" s="235">
        <v>1362270.8736</v>
      </c>
      <c r="E54" s="20">
        <v>121286.0</v>
      </c>
      <c r="F54" s="20">
        <v>181928.0</v>
      </c>
      <c r="G54" s="180" t="s">
        <v>292</v>
      </c>
      <c r="H54" s="43">
        <f t="shared" si="1"/>
        <v>1665484.8836</v>
      </c>
    </row>
    <row r="55" spans="8:8">
      <c r="A55" s="175" t="s">
        <v>63</v>
      </c>
      <c r="B55" s="4" t="s">
        <v>60</v>
      </c>
      <c r="C55" s="235">
        <v>0.01</v>
      </c>
      <c r="D55" s="235">
        <v>1362270.8736</v>
      </c>
      <c r="E55" s="20">
        <v>121286.0</v>
      </c>
      <c r="F55" s="20">
        <v>181928.0</v>
      </c>
      <c r="G55" s="180" t="s">
        <v>292</v>
      </c>
      <c r="H55" s="43">
        <f t="shared" si="1"/>
        <v>1665484.8836</v>
      </c>
    </row>
    <row r="56" spans="8:8">
      <c r="A56" s="175" t="s">
        <v>64</v>
      </c>
      <c r="B56" s="4" t="s">
        <v>65</v>
      </c>
      <c r="C56" s="235">
        <v>0.01</v>
      </c>
      <c r="D56" s="235">
        <v>1002782.7263999999</v>
      </c>
      <c r="E56" s="20">
        <v>121286.0</v>
      </c>
      <c r="F56" s="20">
        <v>181928.0</v>
      </c>
      <c r="G56" s="180" t="s">
        <v>292</v>
      </c>
      <c r="H56" s="43">
        <f t="shared" si="2" ref="H56:H61">SUM(C56:G56)</f>
        <v>1305996.7363999998</v>
      </c>
    </row>
    <row r="57" spans="8:8">
      <c r="A57" s="175" t="s">
        <v>66</v>
      </c>
      <c r="B57" s="4" t="s">
        <v>65</v>
      </c>
      <c r="C57" s="235">
        <v>0.01</v>
      </c>
      <c r="D57" s="235">
        <v>1067112.18432</v>
      </c>
      <c r="E57" s="20">
        <v>121286.0</v>
      </c>
      <c r="F57" s="20">
        <v>181928.0</v>
      </c>
      <c r="G57" s="180" t="s">
        <v>292</v>
      </c>
      <c r="H57" s="43">
        <f t="shared" si="2"/>
        <v>1370326.19432</v>
      </c>
    </row>
    <row r="58" spans="8:8">
      <c r="A58" s="175" t="s">
        <v>67</v>
      </c>
      <c r="B58" s="4" t="s">
        <v>65</v>
      </c>
      <c r="C58" s="235">
        <v>0.01</v>
      </c>
      <c r="D58" s="235">
        <v>1002782.7263999999</v>
      </c>
      <c r="E58" s="20">
        <v>121286.0</v>
      </c>
      <c r="F58" s="20">
        <v>181928.0</v>
      </c>
      <c r="G58" s="180" t="s">
        <v>292</v>
      </c>
      <c r="H58" s="43">
        <f t="shared" si="2"/>
        <v>1305996.7363999998</v>
      </c>
    </row>
    <row r="59" spans="8:8">
      <c r="A59" s="175" t="s">
        <v>68</v>
      </c>
      <c r="B59" s="4" t="s">
        <v>65</v>
      </c>
      <c r="C59" s="235">
        <v>0.01</v>
      </c>
      <c r="D59" s="235">
        <v>1067112.18432</v>
      </c>
      <c r="E59" s="20">
        <v>121286.0</v>
      </c>
      <c r="F59" s="20">
        <v>181928.0</v>
      </c>
      <c r="G59" s="180" t="s">
        <v>292</v>
      </c>
      <c r="H59" s="43">
        <f t="shared" si="2"/>
        <v>1370326.19432</v>
      </c>
    </row>
    <row r="60" spans="8:8">
      <c r="A60" s="175" t="s">
        <v>69</v>
      </c>
      <c r="B60" s="4" t="s">
        <v>65</v>
      </c>
      <c r="C60" s="235">
        <v>0.01</v>
      </c>
      <c r="D60" s="235">
        <v>1301725.50144</v>
      </c>
      <c r="E60" s="20">
        <v>121286.0</v>
      </c>
      <c r="F60" s="20">
        <v>181928.0</v>
      </c>
      <c r="G60" s="180" t="s">
        <v>292</v>
      </c>
      <c r="H60" s="43">
        <f t="shared" si="2"/>
        <v>1604939.51144</v>
      </c>
    </row>
    <row r="61" spans="8:8">
      <c r="A61" s="175" t="s">
        <v>70</v>
      </c>
      <c r="B61" s="4" t="s">
        <v>65</v>
      </c>
      <c r="C61" s="235">
        <v>0.01</v>
      </c>
      <c r="D61" s="235">
        <v>1002782.7263999999</v>
      </c>
      <c r="E61" s="20">
        <v>121286.0</v>
      </c>
      <c r="F61" s="20">
        <v>181928.0</v>
      </c>
      <c r="G61" s="180" t="s">
        <v>292</v>
      </c>
      <c r="H61" s="43">
        <f t="shared" si="2"/>
        <v>1305996.7363999998</v>
      </c>
    </row>
    <row r="62" spans="8:8">
      <c r="A62" s="296" t="s">
        <v>71</v>
      </c>
      <c r="B62" s="16" t="s">
        <v>65</v>
      </c>
      <c r="C62" s="235">
        <v>0.01</v>
      </c>
      <c r="D62" s="235">
        <v>1180634.7571200002</v>
      </c>
      <c r="E62" s="20">
        <v>121286.0</v>
      </c>
      <c r="F62" s="20">
        <v>181928.0</v>
      </c>
      <c r="G62" s="180" t="s">
        <v>292</v>
      </c>
      <c r="H62" s="43">
        <f t="shared" si="3" ref="H62:H125">SUM(C62:F62)</f>
        <v>1483848.7671200002</v>
      </c>
    </row>
    <row r="63" spans="8:8">
      <c r="A63" s="296" t="s">
        <v>72</v>
      </c>
      <c r="B63" s="16" t="s">
        <v>65</v>
      </c>
      <c r="C63" s="235">
        <v>0.01</v>
      </c>
      <c r="D63" s="235">
        <v>1067112.18432</v>
      </c>
      <c r="E63" s="20">
        <v>121286.0</v>
      </c>
      <c r="F63" s="20">
        <v>181928.0</v>
      </c>
      <c r="G63" s="180" t="s">
        <v>292</v>
      </c>
      <c r="H63" s="43">
        <f t="shared" si="3"/>
        <v>1370326.19432</v>
      </c>
    </row>
    <row r="64" spans="8:8">
      <c r="A64" s="175" t="s">
        <v>73</v>
      </c>
      <c r="B64" s="4" t="s">
        <v>65</v>
      </c>
      <c r="C64" s="235">
        <v>0.01</v>
      </c>
      <c r="D64" s="235">
        <v>1002782.7263999999</v>
      </c>
      <c r="E64" s="20">
        <v>121286.0</v>
      </c>
      <c r="F64" s="20">
        <v>181928.0</v>
      </c>
      <c r="G64" s="180" t="s">
        <v>292</v>
      </c>
      <c r="H64" s="43">
        <f t="shared" si="3"/>
        <v>1305996.7363999998</v>
      </c>
    </row>
    <row r="65" spans="8:8">
      <c r="A65" s="175" t="s">
        <v>74</v>
      </c>
      <c r="B65" s="4" t="s">
        <v>65</v>
      </c>
      <c r="C65" s="235">
        <v>0.01</v>
      </c>
      <c r="D65" s="235">
        <v>1067112.18432</v>
      </c>
      <c r="E65" s="20">
        <v>121286.0</v>
      </c>
      <c r="F65" s="20">
        <v>181928.0</v>
      </c>
      <c r="G65" s="180" t="s">
        <v>292</v>
      </c>
      <c r="H65" s="43">
        <f t="shared" si="3"/>
        <v>1370326.19432</v>
      </c>
    </row>
    <row r="66" spans="8:8">
      <c r="A66" s="175" t="s">
        <v>75</v>
      </c>
      <c r="B66" s="4" t="s">
        <v>65</v>
      </c>
      <c r="C66" s="235">
        <v>0.01</v>
      </c>
      <c r="D66" s="235">
        <v>1646077.3056</v>
      </c>
      <c r="E66" s="20">
        <v>121286.0</v>
      </c>
      <c r="F66" s="20">
        <v>181928.0</v>
      </c>
      <c r="G66" s="180" t="s">
        <v>292</v>
      </c>
      <c r="H66" s="43">
        <f t="shared" si="3"/>
        <v>1949291.3156</v>
      </c>
    </row>
    <row r="67" spans="8:8">
      <c r="A67" s="175" t="s">
        <v>76</v>
      </c>
      <c r="B67" s="4" t="s">
        <v>65</v>
      </c>
      <c r="C67" s="235">
        <v>0.01</v>
      </c>
      <c r="D67" s="235">
        <v>1002782.7263999999</v>
      </c>
      <c r="E67" s="20">
        <v>121286.0</v>
      </c>
      <c r="F67" s="20">
        <v>181928.0</v>
      </c>
      <c r="G67" s="180" t="s">
        <v>292</v>
      </c>
      <c r="H67" s="43">
        <f t="shared" si="3"/>
        <v>1305996.7363999998</v>
      </c>
    </row>
    <row r="68" spans="8:8">
      <c r="A68" s="175" t="s">
        <v>77</v>
      </c>
      <c r="B68" s="4" t="s">
        <v>65</v>
      </c>
      <c r="C68" s="235">
        <v>0.01</v>
      </c>
      <c r="D68" s="235">
        <v>1067112.18432</v>
      </c>
      <c r="E68" s="20">
        <v>121286.0</v>
      </c>
      <c r="F68" s="20">
        <v>181928.0</v>
      </c>
      <c r="G68" s="180" t="s">
        <v>292</v>
      </c>
      <c r="H68" s="43">
        <f t="shared" si="3"/>
        <v>1370326.19432</v>
      </c>
    </row>
    <row r="69" spans="8:8">
      <c r="A69" s="175" t="s">
        <v>78</v>
      </c>
      <c r="B69" s="4" t="s">
        <v>65</v>
      </c>
      <c r="C69" s="235">
        <v>0.01</v>
      </c>
      <c r="D69" s="235">
        <v>1180634.7571200002</v>
      </c>
      <c r="E69" s="20">
        <v>121286.0</v>
      </c>
      <c r="F69" s="20">
        <v>181928.0</v>
      </c>
      <c r="G69" s="180" t="s">
        <v>292</v>
      </c>
      <c r="H69" s="43">
        <f t="shared" si="3"/>
        <v>1483848.7671200002</v>
      </c>
    </row>
    <row r="70" spans="8:8">
      <c r="A70" s="175" t="s">
        <v>79</v>
      </c>
      <c r="B70" s="4" t="s">
        <v>65</v>
      </c>
      <c r="C70" s="235">
        <v>0.01</v>
      </c>
      <c r="D70" s="235">
        <v>1301725.50144</v>
      </c>
      <c r="E70" s="20">
        <v>121286.0</v>
      </c>
      <c r="F70" s="20">
        <v>181928.0</v>
      </c>
      <c r="G70" s="180" t="s">
        <v>292</v>
      </c>
      <c r="H70" s="43">
        <f t="shared" si="3"/>
        <v>1604939.51144</v>
      </c>
    </row>
    <row r="71" spans="8:8">
      <c r="A71" s="175" t="s">
        <v>80</v>
      </c>
      <c r="B71" s="4" t="s">
        <v>65</v>
      </c>
      <c r="C71" s="235">
        <v>0.01</v>
      </c>
      <c r="D71" s="235">
        <v>1002782.7263999999</v>
      </c>
      <c r="E71" s="20">
        <v>121286.0</v>
      </c>
      <c r="F71" s="20">
        <v>181928.0</v>
      </c>
      <c r="G71" s="180" t="s">
        <v>292</v>
      </c>
      <c r="H71" s="43">
        <f t="shared" si="3"/>
        <v>1305996.7363999998</v>
      </c>
    </row>
    <row r="72" spans="8:8">
      <c r="A72" s="175" t="s">
        <v>81</v>
      </c>
      <c r="B72" s="4" t="s">
        <v>65</v>
      </c>
      <c r="C72" s="235">
        <v>0.01</v>
      </c>
      <c r="D72" s="235">
        <v>1067112.18432</v>
      </c>
      <c r="E72" s="20">
        <v>121286.0</v>
      </c>
      <c r="F72" s="20">
        <v>181928.0</v>
      </c>
      <c r="G72" s="180" t="s">
        <v>292</v>
      </c>
      <c r="H72" s="43">
        <f t="shared" si="3"/>
        <v>1370326.19432</v>
      </c>
    </row>
    <row r="73" spans="8:8">
      <c r="A73" s="175" t="s">
        <v>82</v>
      </c>
      <c r="B73" s="4" t="s">
        <v>65</v>
      </c>
      <c r="C73" s="235">
        <v>0.01</v>
      </c>
      <c r="D73" s="235">
        <v>2005565.4527999999</v>
      </c>
      <c r="E73" s="20">
        <v>121286.0</v>
      </c>
      <c r="F73" s="20">
        <v>181928.0</v>
      </c>
      <c r="G73" s="180" t="s">
        <v>292</v>
      </c>
      <c r="H73" s="43">
        <f t="shared" si="3"/>
        <v>2308779.4628</v>
      </c>
    </row>
    <row r="74" spans="8:8">
      <c r="A74" s="175" t="s">
        <v>83</v>
      </c>
      <c r="B74" s="4" t="s">
        <v>65</v>
      </c>
      <c r="C74" s="235">
        <v>0.01</v>
      </c>
      <c r="D74" s="235">
        <v>2134224.36864</v>
      </c>
      <c r="E74" s="20">
        <v>121286.0</v>
      </c>
      <c r="F74" s="20">
        <v>181928.0</v>
      </c>
      <c r="G74" s="180" t="s">
        <v>292</v>
      </c>
      <c r="H74" s="43">
        <f t="shared" si="3"/>
        <v>2437438.37864</v>
      </c>
    </row>
    <row r="75" spans="8:8">
      <c r="A75" s="175" t="s">
        <v>84</v>
      </c>
      <c r="B75" s="4" t="s">
        <v>65</v>
      </c>
      <c r="C75" s="235">
        <v>0.01</v>
      </c>
      <c r="D75" s="235">
        <v>1067112.18432</v>
      </c>
      <c r="E75" s="20">
        <v>121286.0</v>
      </c>
      <c r="F75" s="20">
        <v>181928.0</v>
      </c>
      <c r="G75" s="180" t="s">
        <v>292</v>
      </c>
      <c r="H75" s="43">
        <f t="shared" si="3"/>
        <v>1370326.19432</v>
      </c>
    </row>
    <row r="76" spans="8:8">
      <c r="A76" s="175" t="s">
        <v>85</v>
      </c>
      <c r="B76" s="4" t="s">
        <v>65</v>
      </c>
      <c r="C76" s="235">
        <v>0.01</v>
      </c>
      <c r="D76" s="235">
        <v>2134224.36864</v>
      </c>
      <c r="E76" s="20">
        <v>121286.0</v>
      </c>
      <c r="F76" s="20">
        <v>181928.0</v>
      </c>
      <c r="G76" s="180" t="s">
        <v>292</v>
      </c>
      <c r="H76" s="43">
        <f t="shared" si="3"/>
        <v>2437438.37864</v>
      </c>
    </row>
    <row r="77" spans="8:8">
      <c r="A77" s="296" t="s">
        <v>86</v>
      </c>
      <c r="B77" s="16" t="s">
        <v>65</v>
      </c>
      <c r="C77" s="235">
        <v>0.01</v>
      </c>
      <c r="D77" s="235">
        <v>1067112.18432</v>
      </c>
      <c r="E77" s="20">
        <v>121286.0</v>
      </c>
      <c r="F77" s="20">
        <v>181928.0</v>
      </c>
      <c r="G77" s="180" t="s">
        <v>292</v>
      </c>
      <c r="H77" s="43">
        <f t="shared" si="3"/>
        <v>1370326.19432</v>
      </c>
    </row>
    <row r="78" spans="8:8" s="49" ht="15.0" customFormat="1">
      <c r="A78" s="296" t="s">
        <v>87</v>
      </c>
      <c r="B78" s="16" t="s">
        <v>65</v>
      </c>
      <c r="C78" s="235">
        <v>0.01</v>
      </c>
      <c r="D78" s="235">
        <v>1180634.7571200002</v>
      </c>
      <c r="E78" s="20">
        <v>121286.0</v>
      </c>
      <c r="F78" s="20">
        <v>181928.0</v>
      </c>
      <c r="G78" s="180" t="s">
        <v>292</v>
      </c>
      <c r="H78" s="241">
        <f t="shared" si="3"/>
        <v>1483848.7671200002</v>
      </c>
    </row>
    <row r="79" spans="8:8">
      <c r="A79" s="296" t="s">
        <v>88</v>
      </c>
      <c r="B79" s="16" t="s">
        <v>65</v>
      </c>
      <c r="C79" s="235">
        <v>0.01</v>
      </c>
      <c r="D79" s="235">
        <v>1301725.50144</v>
      </c>
      <c r="E79" s="20">
        <v>121286.0</v>
      </c>
      <c r="F79" s="20">
        <v>181928.0</v>
      </c>
      <c r="G79" s="180" t="s">
        <v>292</v>
      </c>
      <c r="H79" s="43">
        <f t="shared" si="3"/>
        <v>1604939.51144</v>
      </c>
    </row>
    <row r="80" spans="8:8">
      <c r="A80" s="296" t="s">
        <v>89</v>
      </c>
      <c r="B80" s="16" t="s">
        <v>65</v>
      </c>
      <c r="C80" s="235">
        <v>0.01</v>
      </c>
      <c r="D80" s="235">
        <v>1475793.4463999998</v>
      </c>
      <c r="E80" s="20">
        <v>121286.0</v>
      </c>
      <c r="F80" s="20">
        <v>181928.0</v>
      </c>
      <c r="G80" s="180" t="s">
        <v>292</v>
      </c>
      <c r="H80" s="43">
        <f t="shared" si="3"/>
        <v>1779007.4563999998</v>
      </c>
    </row>
    <row r="81" spans="8:8">
      <c r="A81" s="296" t="s">
        <v>90</v>
      </c>
      <c r="B81" s="16" t="s">
        <v>65</v>
      </c>
      <c r="C81" s="235">
        <v>0.01</v>
      </c>
      <c r="D81" s="235">
        <v>1585531.9334399998</v>
      </c>
      <c r="E81" s="20">
        <v>121286.0</v>
      </c>
      <c r="F81" s="20">
        <v>181928.0</v>
      </c>
      <c r="G81" s="180" t="s">
        <v>292</v>
      </c>
      <c r="H81" s="43">
        <f t="shared" si="3"/>
        <v>1888745.9434399998</v>
      </c>
    </row>
    <row r="82" spans="8:8">
      <c r="A82" s="296" t="s">
        <v>91</v>
      </c>
      <c r="B82" s="16" t="s">
        <v>65</v>
      </c>
      <c r="C82" s="235">
        <v>0.01</v>
      </c>
      <c r="D82" s="235">
        <v>1680134.0774399997</v>
      </c>
      <c r="E82" s="20">
        <v>121286.0</v>
      </c>
      <c r="F82" s="20">
        <v>181928.0</v>
      </c>
      <c r="G82" s="180" t="s">
        <v>292</v>
      </c>
      <c r="H82" s="43">
        <f t="shared" si="3"/>
        <v>1983348.0874399997</v>
      </c>
    </row>
    <row r="83" spans="8:8">
      <c r="A83" s="296" t="s">
        <v>92</v>
      </c>
      <c r="B83" s="16" t="s">
        <v>65</v>
      </c>
      <c r="C83" s="235">
        <v>0.01</v>
      </c>
      <c r="D83" s="235">
        <v>1002782.7263999999</v>
      </c>
      <c r="E83" s="20">
        <v>121286.0</v>
      </c>
      <c r="F83" s="20">
        <v>181928.0</v>
      </c>
      <c r="G83" s="180" t="s">
        <v>292</v>
      </c>
      <c r="H83" s="43">
        <f t="shared" si="3"/>
        <v>1305996.7363999998</v>
      </c>
    </row>
    <row r="84" spans="8:8">
      <c r="A84" s="296" t="s">
        <v>93</v>
      </c>
      <c r="B84" s="16" t="s">
        <v>65</v>
      </c>
      <c r="C84" s="235">
        <v>0.01</v>
      </c>
      <c r="D84" s="235">
        <v>1067112.18432</v>
      </c>
      <c r="E84" s="20">
        <v>121286.0</v>
      </c>
      <c r="F84" s="20">
        <v>181928.0</v>
      </c>
      <c r="G84" s="180" t="s">
        <v>292</v>
      </c>
      <c r="H84" s="43">
        <f t="shared" si="3"/>
        <v>1370326.19432</v>
      </c>
    </row>
    <row r="85" spans="8:8">
      <c r="A85" s="296" t="s">
        <v>94</v>
      </c>
      <c r="B85" s="16" t="s">
        <v>65</v>
      </c>
      <c r="C85" s="235">
        <v>0.01</v>
      </c>
      <c r="D85" s="235">
        <v>1301725.50144</v>
      </c>
      <c r="E85" s="20">
        <v>121286.0</v>
      </c>
      <c r="F85" s="20">
        <v>181928.0</v>
      </c>
      <c r="G85" s="180" t="s">
        <v>292</v>
      </c>
      <c r="H85" s="43">
        <f t="shared" si="3"/>
        <v>1604939.51144</v>
      </c>
    </row>
    <row r="86" spans="8:8">
      <c r="A86" s="296" t="s">
        <v>95</v>
      </c>
      <c r="B86" s="16" t="s">
        <v>65</v>
      </c>
      <c r="C86" s="235">
        <v>0.01</v>
      </c>
      <c r="D86" s="235">
        <v>1067112.18432</v>
      </c>
      <c r="E86" s="20">
        <v>121286.0</v>
      </c>
      <c r="F86" s="20">
        <v>181928.0</v>
      </c>
      <c r="G86" s="180" t="s">
        <v>292</v>
      </c>
      <c r="H86" s="43">
        <f t="shared" si="3"/>
        <v>1370326.19432</v>
      </c>
    </row>
    <row r="87" spans="8:8">
      <c r="A87" s="296" t="s">
        <v>96</v>
      </c>
      <c r="B87" s="16" t="s">
        <v>65</v>
      </c>
      <c r="C87" s="235">
        <v>0.01</v>
      </c>
      <c r="D87" s="235">
        <v>1301725.50144</v>
      </c>
      <c r="E87" s="20">
        <v>121286.0</v>
      </c>
      <c r="F87" s="20">
        <v>181928.0</v>
      </c>
      <c r="G87" s="180" t="s">
        <v>292</v>
      </c>
      <c r="H87" s="43">
        <f t="shared" si="3"/>
        <v>1604939.51144</v>
      </c>
    </row>
    <row r="88" spans="8:8">
      <c r="A88" s="296" t="s">
        <v>97</v>
      </c>
      <c r="B88" s="16" t="s">
        <v>65</v>
      </c>
      <c r="C88" s="235">
        <v>0.01</v>
      </c>
      <c r="D88" s="235">
        <v>1002782.7263999999</v>
      </c>
      <c r="E88" s="20">
        <v>121286.0</v>
      </c>
      <c r="F88" s="20">
        <v>181928.0</v>
      </c>
      <c r="G88" s="180" t="s">
        <v>292</v>
      </c>
      <c r="H88" s="43">
        <f t="shared" si="3"/>
        <v>1305996.7363999998</v>
      </c>
    </row>
    <row r="89" spans="8:8">
      <c r="A89" s="296" t="s">
        <v>98</v>
      </c>
      <c r="B89" s="16" t="s">
        <v>65</v>
      </c>
      <c r="C89" s="235">
        <v>0.01</v>
      </c>
      <c r="D89" s="235">
        <v>1067112.18432</v>
      </c>
      <c r="E89" s="20">
        <v>121286.0</v>
      </c>
      <c r="F89" s="20">
        <v>181928.0</v>
      </c>
      <c r="G89" s="180" t="s">
        <v>292</v>
      </c>
      <c r="H89" s="43">
        <f t="shared" si="3"/>
        <v>1370326.19432</v>
      </c>
    </row>
    <row r="90" spans="8:8" s="49" ht="15.0" customFormat="1">
      <c r="A90" s="296" t="s">
        <v>99</v>
      </c>
      <c r="B90" s="16" t="s">
        <v>65</v>
      </c>
      <c r="C90" s="235">
        <v>0.01</v>
      </c>
      <c r="D90" s="235">
        <v>1301725.50144</v>
      </c>
      <c r="E90" s="20">
        <v>121286.0</v>
      </c>
      <c r="F90" s="20">
        <v>181928.0</v>
      </c>
      <c r="G90" s="180" t="s">
        <v>292</v>
      </c>
      <c r="H90" s="43">
        <f t="shared" si="3"/>
        <v>1604939.51144</v>
      </c>
    </row>
    <row r="91" spans="8:8">
      <c r="A91" s="296" t="s">
        <v>100</v>
      </c>
      <c r="B91" s="16" t="s">
        <v>65</v>
      </c>
      <c r="C91" s="235">
        <v>0.01</v>
      </c>
      <c r="D91" s="235">
        <v>1585531.9334399998</v>
      </c>
      <c r="E91" s="20">
        <v>121286.0</v>
      </c>
      <c r="F91" s="20">
        <v>181928.0</v>
      </c>
      <c r="G91" s="180" t="s">
        <v>292</v>
      </c>
      <c r="H91" s="43">
        <f t="shared" si="3"/>
        <v>1888745.9434399998</v>
      </c>
    </row>
    <row r="92" spans="8:8">
      <c r="A92" s="296" t="s">
        <v>101</v>
      </c>
      <c r="B92" s="16" t="s">
        <v>65</v>
      </c>
      <c r="C92" s="235">
        <v>0.01</v>
      </c>
      <c r="D92" s="235">
        <v>1680134.0774399997</v>
      </c>
      <c r="E92" s="20">
        <v>121286.0</v>
      </c>
      <c r="F92" s="20">
        <v>181928.0</v>
      </c>
      <c r="G92" s="180" t="s">
        <v>292</v>
      </c>
      <c r="H92" s="43">
        <f t="shared" si="3"/>
        <v>1983348.0874399997</v>
      </c>
    </row>
    <row r="93" spans="8:8">
      <c r="A93" s="296" t="s">
        <v>102</v>
      </c>
      <c r="B93" s="16" t="s">
        <v>65</v>
      </c>
      <c r="C93" s="235">
        <v>0.01</v>
      </c>
      <c r="D93" s="235">
        <v>1055759.92704</v>
      </c>
      <c r="E93" s="20">
        <v>121286.0</v>
      </c>
      <c r="F93" s="20">
        <v>181928.0</v>
      </c>
      <c r="G93" s="180" t="s">
        <v>292</v>
      </c>
      <c r="H93" s="43">
        <f t="shared" si="3"/>
        <v>1358973.93704</v>
      </c>
    </row>
    <row r="94" spans="8:8">
      <c r="A94" s="296" t="s">
        <v>103</v>
      </c>
      <c r="B94" s="16" t="s">
        <v>65</v>
      </c>
      <c r="C94" s="235">
        <v>0.01</v>
      </c>
      <c r="D94" s="235">
        <v>1002782.7263999999</v>
      </c>
      <c r="E94" s="20">
        <v>121286.0</v>
      </c>
      <c r="F94" s="20">
        <v>181928.0</v>
      </c>
      <c r="G94" s="180" t="s">
        <v>292</v>
      </c>
      <c r="H94" s="43">
        <f t="shared" si="3"/>
        <v>1305996.7363999998</v>
      </c>
    </row>
    <row r="95" spans="8:8">
      <c r="A95" s="296" t="s">
        <v>104</v>
      </c>
      <c r="B95" s="16" t="s">
        <v>65</v>
      </c>
      <c r="C95" s="235">
        <v>0.01</v>
      </c>
      <c r="D95" s="235">
        <v>1067112.18432</v>
      </c>
      <c r="E95" s="20">
        <v>121286.0</v>
      </c>
      <c r="F95" s="20">
        <v>181928.0</v>
      </c>
      <c r="G95" s="180" t="s">
        <v>292</v>
      </c>
      <c r="H95" s="43">
        <f t="shared" si="3"/>
        <v>1370326.19432</v>
      </c>
    </row>
    <row r="96" spans="8:8" s="49" ht="15.0" customFormat="1">
      <c r="A96" s="175" t="s">
        <v>105</v>
      </c>
      <c r="B96" s="4" t="s">
        <v>65</v>
      </c>
      <c r="C96" s="235">
        <v>0.01</v>
      </c>
      <c r="D96" s="235">
        <v>1180634.7571200002</v>
      </c>
      <c r="E96" s="20">
        <v>121286.0</v>
      </c>
      <c r="F96" s="20">
        <v>181928.0</v>
      </c>
      <c r="G96" s="180" t="s">
        <v>292</v>
      </c>
      <c r="H96" s="241">
        <f t="shared" si="3"/>
        <v>1483848.7671200002</v>
      </c>
    </row>
    <row r="97" spans="8:8">
      <c r="A97" s="175" t="s">
        <v>108</v>
      </c>
      <c r="B97" s="4" t="s">
        <v>65</v>
      </c>
      <c r="C97" s="235">
        <v>0.01</v>
      </c>
      <c r="D97" s="235">
        <v>1067112.18432</v>
      </c>
      <c r="E97" s="20">
        <v>121286.0</v>
      </c>
      <c r="F97" s="20">
        <v>181928.0</v>
      </c>
      <c r="G97" s="180" t="s">
        <v>292</v>
      </c>
      <c r="H97" s="43">
        <f t="shared" si="3"/>
        <v>1370326.19432</v>
      </c>
    </row>
    <row r="98" spans="8:8">
      <c r="A98" s="175" t="s">
        <v>109</v>
      </c>
      <c r="B98" s="4" t="s">
        <v>65</v>
      </c>
      <c r="C98" s="235">
        <v>0.01</v>
      </c>
      <c r="D98" s="235">
        <v>1180634.7571200002</v>
      </c>
      <c r="E98" s="20">
        <v>121286.0</v>
      </c>
      <c r="F98" s="20">
        <v>181928.0</v>
      </c>
      <c r="G98" s="180" t="s">
        <v>292</v>
      </c>
      <c r="H98" s="43">
        <f t="shared" si="3"/>
        <v>1483848.7671200002</v>
      </c>
    </row>
    <row r="99" spans="8:8">
      <c r="A99" s="175" t="s">
        <v>110</v>
      </c>
      <c r="B99" s="4" t="s">
        <v>65</v>
      </c>
      <c r="C99" s="235">
        <v>5720000.0</v>
      </c>
      <c r="D99" s="235">
        <v>980078.2118399999</v>
      </c>
      <c r="E99" s="20">
        <v>121286.0</v>
      </c>
      <c r="F99" s="20">
        <v>181928.0</v>
      </c>
      <c r="G99" s="180" t="s">
        <v>292</v>
      </c>
      <c r="H99" s="43">
        <f t="shared" si="3"/>
        <v>7003292.21184</v>
      </c>
    </row>
    <row r="100" spans="8:8">
      <c r="A100" s="175" t="s">
        <v>111</v>
      </c>
      <c r="B100" s="4" t="s">
        <v>65</v>
      </c>
      <c r="C100" s="235">
        <v>0.01</v>
      </c>
      <c r="D100" s="235">
        <v>1002782.7263999999</v>
      </c>
      <c r="E100" s="20">
        <v>121286.0</v>
      </c>
      <c r="F100" s="20">
        <v>181928.0</v>
      </c>
      <c r="G100" s="180" t="s">
        <v>292</v>
      </c>
      <c r="H100" s="43">
        <f t="shared" si="3"/>
        <v>1305996.7363999998</v>
      </c>
    </row>
    <row r="101" spans="8:8">
      <c r="A101" s="175" t="s">
        <v>112</v>
      </c>
      <c r="B101" s="4" t="s">
        <v>65</v>
      </c>
      <c r="C101" s="235">
        <v>0.01</v>
      </c>
      <c r="D101" s="235">
        <v>1067112.18432</v>
      </c>
      <c r="E101" s="20">
        <v>121286.0</v>
      </c>
      <c r="F101" s="20">
        <v>181928.0</v>
      </c>
      <c r="G101" s="180" t="s">
        <v>292</v>
      </c>
      <c r="H101" s="43">
        <f t="shared" si="3"/>
        <v>1370326.19432</v>
      </c>
    </row>
    <row r="102" spans="8:8">
      <c r="A102" s="175" t="s">
        <v>113</v>
      </c>
      <c r="B102" s="4" t="s">
        <v>65</v>
      </c>
      <c r="C102" s="235">
        <v>0.01</v>
      </c>
      <c r="D102" s="235">
        <v>1180634.7571200002</v>
      </c>
      <c r="E102" s="20">
        <v>121286.0</v>
      </c>
      <c r="F102" s="20">
        <v>181928.0</v>
      </c>
      <c r="G102" s="180" t="s">
        <v>292</v>
      </c>
      <c r="H102" s="43">
        <f t="shared" si="3"/>
        <v>1483848.7671200002</v>
      </c>
    </row>
    <row r="103" spans="8:8">
      <c r="A103" s="175" t="s">
        <v>114</v>
      </c>
      <c r="B103" s="4" t="s">
        <v>65</v>
      </c>
      <c r="C103" s="235">
        <v>0.01</v>
      </c>
      <c r="D103" s="235">
        <v>1002782.7263999999</v>
      </c>
      <c r="E103" s="20">
        <v>121286.0</v>
      </c>
      <c r="F103" s="20">
        <v>181928.0</v>
      </c>
      <c r="G103" s="180" t="s">
        <v>292</v>
      </c>
      <c r="H103" s="43">
        <f t="shared" si="3"/>
        <v>1305996.7363999998</v>
      </c>
    </row>
    <row r="104" spans="8:8">
      <c r="A104" s="175" t="s">
        <v>115</v>
      </c>
      <c r="B104" s="4" t="s">
        <v>65</v>
      </c>
      <c r="C104" s="235">
        <v>0.01</v>
      </c>
      <c r="D104" s="235">
        <v>1067112.18432</v>
      </c>
      <c r="E104" s="20">
        <v>121286.0</v>
      </c>
      <c r="F104" s="20">
        <v>181928.0</v>
      </c>
      <c r="G104" s="180" t="s">
        <v>292</v>
      </c>
      <c r="H104" s="43">
        <f t="shared" si="3"/>
        <v>1370326.19432</v>
      </c>
    </row>
    <row r="105" spans="8:8">
      <c r="A105" s="175" t="s">
        <v>116</v>
      </c>
      <c r="B105" s="4" t="s">
        <v>65</v>
      </c>
      <c r="C105" s="235">
        <v>0.01</v>
      </c>
      <c r="D105" s="235">
        <v>1180634.7571200002</v>
      </c>
      <c r="E105" s="20">
        <v>121286.0</v>
      </c>
      <c r="F105" s="20">
        <v>181928.0</v>
      </c>
      <c r="G105" s="180" t="s">
        <v>292</v>
      </c>
      <c r="H105" s="43">
        <f t="shared" si="3"/>
        <v>1483848.7671200002</v>
      </c>
    </row>
    <row r="106" spans="8:8">
      <c r="A106" s="175" t="s">
        <v>117</v>
      </c>
      <c r="B106" s="4" t="s">
        <v>65</v>
      </c>
      <c r="C106" s="235">
        <v>0.01</v>
      </c>
      <c r="D106" s="235">
        <v>1067112.18432</v>
      </c>
      <c r="E106" s="20">
        <v>121286.0</v>
      </c>
      <c r="F106" s="20">
        <v>181928.0</v>
      </c>
      <c r="G106" s="180" t="s">
        <v>292</v>
      </c>
      <c r="H106" s="43">
        <f t="shared" si="3"/>
        <v>1370326.19432</v>
      </c>
    </row>
    <row r="107" spans="8:8">
      <c r="A107" s="175" t="s">
        <v>118</v>
      </c>
      <c r="B107" s="4" t="s">
        <v>65</v>
      </c>
      <c r="C107" s="235">
        <v>0.01</v>
      </c>
      <c r="D107" s="235">
        <v>1002782.7263999999</v>
      </c>
      <c r="E107" s="20">
        <v>121286.0</v>
      </c>
      <c r="F107" s="20">
        <v>181928.0</v>
      </c>
      <c r="G107" s="180" t="s">
        <v>292</v>
      </c>
      <c r="H107" s="43">
        <f t="shared" si="3"/>
        <v>1305996.7363999998</v>
      </c>
    </row>
    <row r="108" spans="8:8">
      <c r="A108" s="175" t="s">
        <v>119</v>
      </c>
      <c r="B108" s="4" t="s">
        <v>65</v>
      </c>
      <c r="C108" s="235">
        <v>0.01</v>
      </c>
      <c r="D108" s="235">
        <v>1067112.18432</v>
      </c>
      <c r="E108" s="20">
        <v>121286.0</v>
      </c>
      <c r="F108" s="20">
        <v>181928.0</v>
      </c>
      <c r="G108" s="180" t="s">
        <v>292</v>
      </c>
      <c r="H108" s="43">
        <f t="shared" si="3"/>
        <v>1370326.19432</v>
      </c>
    </row>
    <row r="109" spans="8:8">
      <c r="A109" s="175" t="s">
        <v>120</v>
      </c>
      <c r="B109" s="4" t="s">
        <v>65</v>
      </c>
      <c r="C109" s="235">
        <v>0.01</v>
      </c>
      <c r="D109" s="235">
        <v>2005565.4527999999</v>
      </c>
      <c r="E109" s="20">
        <v>121286.0</v>
      </c>
      <c r="F109" s="20">
        <v>181928.0</v>
      </c>
      <c r="G109" s="180" t="s">
        <v>292</v>
      </c>
      <c r="H109" s="43">
        <f t="shared" si="3"/>
        <v>2308779.4628</v>
      </c>
    </row>
    <row r="110" spans="8:8">
      <c r="A110" s="175" t="s">
        <v>121</v>
      </c>
      <c r="B110" s="4" t="s">
        <v>65</v>
      </c>
      <c r="C110" s="235">
        <v>0.01</v>
      </c>
      <c r="D110" s="235">
        <v>2134224.36864</v>
      </c>
      <c r="E110" s="20">
        <v>121286.0</v>
      </c>
      <c r="F110" s="20">
        <v>181928.0</v>
      </c>
      <c r="G110" s="180" t="s">
        <v>292</v>
      </c>
      <c r="H110" s="43">
        <f t="shared" si="3"/>
        <v>2437438.37864</v>
      </c>
    </row>
    <row r="111" spans="8:8">
      <c r="A111" s="175" t="s">
        <v>122</v>
      </c>
      <c r="B111" s="4" t="s">
        <v>65</v>
      </c>
      <c r="C111" s="235">
        <v>0.01</v>
      </c>
      <c r="D111" s="235">
        <v>1002782.7263999999</v>
      </c>
      <c r="E111" s="20">
        <v>121286.0</v>
      </c>
      <c r="F111" s="20">
        <v>181928.0</v>
      </c>
      <c r="G111" s="180" t="s">
        <v>292</v>
      </c>
      <c r="H111" s="43">
        <f t="shared" si="3"/>
        <v>1305996.7363999998</v>
      </c>
    </row>
    <row r="112" spans="8:8">
      <c r="A112" s="175" t="s">
        <v>123</v>
      </c>
      <c r="B112" s="4" t="s">
        <v>65</v>
      </c>
      <c r="C112" s="235">
        <v>0.01</v>
      </c>
      <c r="D112" s="235">
        <v>1067112.18432</v>
      </c>
      <c r="E112" s="20">
        <v>121286.0</v>
      </c>
      <c r="F112" s="20">
        <v>181928.0</v>
      </c>
      <c r="G112" s="180" t="s">
        <v>292</v>
      </c>
      <c r="H112" s="43">
        <f t="shared" si="3"/>
        <v>1370326.19432</v>
      </c>
    </row>
    <row r="113" spans="8:8">
      <c r="A113" s="175" t="s">
        <v>124</v>
      </c>
      <c r="B113" s="4" t="s">
        <v>65</v>
      </c>
      <c r="C113" s="235">
        <v>0.01</v>
      </c>
      <c r="D113" s="235">
        <v>1180634.7571200002</v>
      </c>
      <c r="E113" s="20">
        <v>121286.0</v>
      </c>
      <c r="F113" s="20">
        <v>181928.0</v>
      </c>
      <c r="G113" s="180" t="s">
        <v>292</v>
      </c>
      <c r="H113" s="43">
        <f t="shared" si="3"/>
        <v>1483848.7671200002</v>
      </c>
    </row>
    <row r="114" spans="8:8">
      <c r="A114" s="175" t="s">
        <v>125</v>
      </c>
      <c r="B114" s="4" t="s">
        <v>65</v>
      </c>
      <c r="C114" s="235">
        <v>0.01</v>
      </c>
      <c r="D114" s="235">
        <v>1301725.50144</v>
      </c>
      <c r="E114" s="20">
        <v>121286.0</v>
      </c>
      <c r="F114" s="20">
        <v>181928.0</v>
      </c>
      <c r="G114" s="180" t="s">
        <v>292</v>
      </c>
      <c r="H114" s="43">
        <f t="shared" si="3"/>
        <v>1604939.51144</v>
      </c>
    </row>
    <row r="115" spans="8:8">
      <c r="A115" s="175" t="s">
        <v>126</v>
      </c>
      <c r="B115" s="4" t="s">
        <v>65</v>
      </c>
      <c r="C115" s="235">
        <v>0.01</v>
      </c>
      <c r="D115" s="235">
        <v>1475793.4463999998</v>
      </c>
      <c r="E115" s="20">
        <v>121286.0</v>
      </c>
      <c r="F115" s="20">
        <v>181928.0</v>
      </c>
      <c r="G115" s="180" t="s">
        <v>292</v>
      </c>
      <c r="H115" s="43">
        <f t="shared" si="3"/>
        <v>1779007.4563999998</v>
      </c>
    </row>
    <row r="116" spans="8:8">
      <c r="A116" s="175" t="s">
        <v>127</v>
      </c>
      <c r="B116" s="4" t="s">
        <v>65</v>
      </c>
      <c r="C116" s="235">
        <v>0.01</v>
      </c>
      <c r="D116" s="235">
        <v>2005565.4527999999</v>
      </c>
      <c r="E116" s="20">
        <v>121286.0</v>
      </c>
      <c r="F116" s="20">
        <v>181928.0</v>
      </c>
      <c r="G116" s="180" t="s">
        <v>292</v>
      </c>
      <c r="H116" s="43">
        <f t="shared" si="3"/>
        <v>2308779.4628</v>
      </c>
    </row>
    <row r="117" spans="8:8">
      <c r="A117" s="175" t="s">
        <v>128</v>
      </c>
      <c r="B117" s="4" t="s">
        <v>65</v>
      </c>
      <c r="C117" s="235">
        <v>0.01</v>
      </c>
      <c r="D117" s="235">
        <v>2134224.36864</v>
      </c>
      <c r="E117" s="20">
        <v>121286.0</v>
      </c>
      <c r="F117" s="20">
        <v>181928.0</v>
      </c>
      <c r="G117" s="180" t="s">
        <v>292</v>
      </c>
      <c r="H117" s="43">
        <f t="shared" si="3"/>
        <v>2437438.37864</v>
      </c>
    </row>
    <row r="118" spans="8:8">
      <c r="A118" s="175" t="s">
        <v>129</v>
      </c>
      <c r="B118" s="4" t="s">
        <v>65</v>
      </c>
      <c r="C118" s="235">
        <v>0.01</v>
      </c>
      <c r="D118" s="235">
        <v>2361269.5142400004</v>
      </c>
      <c r="E118" s="20">
        <v>121286.0</v>
      </c>
      <c r="F118" s="20">
        <v>181928.0</v>
      </c>
      <c r="G118" s="180" t="s">
        <v>292</v>
      </c>
      <c r="H118" s="43">
        <f t="shared" si="3"/>
        <v>2664483.52424</v>
      </c>
    </row>
    <row r="119" spans="8:8">
      <c r="A119" s="175" t="s">
        <v>130</v>
      </c>
      <c r="B119" s="4" t="s">
        <v>65</v>
      </c>
      <c r="C119" s="235">
        <v>0.01</v>
      </c>
      <c r="D119" s="235">
        <v>2603451.00288</v>
      </c>
      <c r="E119" s="20">
        <v>121286.0</v>
      </c>
      <c r="F119" s="20">
        <v>181928.0</v>
      </c>
      <c r="G119" s="180" t="s">
        <v>292</v>
      </c>
      <c r="H119" s="43">
        <f t="shared" si="3"/>
        <v>2906665.01288</v>
      </c>
    </row>
    <row r="120" spans="8:8">
      <c r="A120" s="175" t="s">
        <v>131</v>
      </c>
      <c r="B120" s="4" t="s">
        <v>65</v>
      </c>
      <c r="C120" s="235">
        <v>0.01</v>
      </c>
      <c r="D120" s="235">
        <v>2951586.8927999996</v>
      </c>
      <c r="E120" s="20">
        <v>121286.0</v>
      </c>
      <c r="F120" s="20">
        <v>181928.0</v>
      </c>
      <c r="G120" s="180" t="s">
        <v>292</v>
      </c>
      <c r="H120" s="43">
        <f t="shared" si="3"/>
        <v>3254800.9027999993</v>
      </c>
    </row>
    <row r="121" spans="8:8">
      <c r="A121" s="175" t="s">
        <v>132</v>
      </c>
      <c r="B121" s="4" t="s">
        <v>65</v>
      </c>
      <c r="C121" s="235">
        <v>0.01</v>
      </c>
      <c r="D121" s="235">
        <v>1002782.7263999999</v>
      </c>
      <c r="E121" s="20">
        <v>121286.0</v>
      </c>
      <c r="F121" s="20">
        <v>181928.0</v>
      </c>
      <c r="G121" s="180" t="s">
        <v>292</v>
      </c>
      <c r="H121" s="43">
        <f t="shared" si="3"/>
        <v>1305996.7363999998</v>
      </c>
    </row>
    <row r="122" spans="8:8">
      <c r="A122" s="175" t="s">
        <v>133</v>
      </c>
      <c r="B122" s="4" t="s">
        <v>65</v>
      </c>
      <c r="C122" s="235">
        <v>0.01</v>
      </c>
      <c r="D122" s="235">
        <v>1067112.18432</v>
      </c>
      <c r="E122" s="20">
        <v>121286.0</v>
      </c>
      <c r="F122" s="20">
        <v>181928.0</v>
      </c>
      <c r="G122" s="180" t="s">
        <v>292</v>
      </c>
      <c r="H122" s="43">
        <f t="shared" si="3"/>
        <v>1370326.19432</v>
      </c>
    </row>
    <row r="123" spans="8:8">
      <c r="A123" s="175" t="s">
        <v>134</v>
      </c>
      <c r="B123" s="4" t="s">
        <v>65</v>
      </c>
      <c r="C123" s="235">
        <v>0.01</v>
      </c>
      <c r="D123" s="235">
        <v>1180634.7571200002</v>
      </c>
      <c r="E123" s="20">
        <v>121286.0</v>
      </c>
      <c r="F123" s="20">
        <v>181928.0</v>
      </c>
      <c r="G123" s="180" t="s">
        <v>292</v>
      </c>
      <c r="H123" s="43">
        <f t="shared" si="3"/>
        <v>1483848.7671200002</v>
      </c>
    </row>
    <row r="124" spans="8:8">
      <c r="A124" s="175" t="s">
        <v>135</v>
      </c>
      <c r="B124" s="4" t="s">
        <v>65</v>
      </c>
      <c r="C124" s="235">
        <v>0.01</v>
      </c>
      <c r="D124" s="235">
        <v>1002782.7263999999</v>
      </c>
      <c r="E124" s="20">
        <v>121286.0</v>
      </c>
      <c r="F124" s="20">
        <v>181928.0</v>
      </c>
      <c r="G124" s="180" t="s">
        <v>292</v>
      </c>
      <c r="H124" s="43">
        <f t="shared" si="3"/>
        <v>1305996.7363999998</v>
      </c>
    </row>
    <row r="125" spans="8:8">
      <c r="A125" s="175" t="s">
        <v>136</v>
      </c>
      <c r="B125" s="4" t="s">
        <v>65</v>
      </c>
      <c r="C125" s="235">
        <v>0.01</v>
      </c>
      <c r="D125" s="235">
        <v>1067112.18432</v>
      </c>
      <c r="E125" s="20">
        <v>121286.0</v>
      </c>
      <c r="F125" s="20">
        <v>181928.0</v>
      </c>
      <c r="G125" s="180" t="s">
        <v>292</v>
      </c>
      <c r="H125" s="43">
        <f t="shared" si="3"/>
        <v>1370326.19432</v>
      </c>
    </row>
    <row r="126" spans="8:8">
      <c r="A126" s="175" t="s">
        <v>137</v>
      </c>
      <c r="B126" s="4" t="s">
        <v>65</v>
      </c>
      <c r="C126" s="235">
        <v>0.01</v>
      </c>
      <c r="D126" s="235">
        <v>2005565.4527999999</v>
      </c>
      <c r="E126" s="20">
        <v>121286.0</v>
      </c>
      <c r="F126" s="20">
        <v>181928.0</v>
      </c>
      <c r="G126" s="180" t="s">
        <v>292</v>
      </c>
      <c r="H126" s="43">
        <f t="shared" si="4" ref="H126:H189">SUM(C126:F126)</f>
        <v>2308779.4628</v>
      </c>
    </row>
    <row r="127" spans="8:8">
      <c r="A127" s="175" t="s">
        <v>138</v>
      </c>
      <c r="B127" s="4" t="s">
        <v>65</v>
      </c>
      <c r="C127" s="235">
        <v>0.01</v>
      </c>
      <c r="D127" s="235">
        <v>2134224.36864</v>
      </c>
      <c r="E127" s="20">
        <v>121286.0</v>
      </c>
      <c r="F127" s="20">
        <v>181928.0</v>
      </c>
      <c r="G127" s="180" t="s">
        <v>292</v>
      </c>
      <c r="H127" s="43">
        <f t="shared" si="4"/>
        <v>2437438.37864</v>
      </c>
    </row>
    <row r="128" spans="8:8">
      <c r="A128" s="175" t="s">
        <v>139</v>
      </c>
      <c r="B128" s="4" t="s">
        <v>65</v>
      </c>
      <c r="C128" s="235">
        <v>0.01</v>
      </c>
      <c r="D128" s="235">
        <v>1002782.7263999999</v>
      </c>
      <c r="E128" s="20">
        <v>121286.0</v>
      </c>
      <c r="F128" s="20">
        <v>181928.0</v>
      </c>
      <c r="G128" s="180" t="s">
        <v>292</v>
      </c>
      <c r="H128" s="43">
        <f t="shared" si="4"/>
        <v>1305996.7363999998</v>
      </c>
    </row>
    <row r="129" spans="8:8">
      <c r="A129" s="175" t="s">
        <v>140</v>
      </c>
      <c r="B129" s="4" t="s">
        <v>65</v>
      </c>
      <c r="C129" s="235">
        <v>0.01</v>
      </c>
      <c r="D129" s="235">
        <v>1067112.18432</v>
      </c>
      <c r="E129" s="20">
        <v>121286.0</v>
      </c>
      <c r="F129" s="20">
        <v>181928.0</v>
      </c>
      <c r="G129" s="180" t="s">
        <v>292</v>
      </c>
      <c r="H129" s="43">
        <f t="shared" si="4"/>
        <v>1370326.19432</v>
      </c>
    </row>
    <row r="130" spans="8:8">
      <c r="A130" s="175" t="s">
        <v>141</v>
      </c>
      <c r="B130" s="4" t="s">
        <v>65</v>
      </c>
      <c r="C130" s="235">
        <v>0.01</v>
      </c>
      <c r="D130" s="235">
        <v>1180634.7571200002</v>
      </c>
      <c r="E130" s="20">
        <v>121286.0</v>
      </c>
      <c r="F130" s="20">
        <v>181928.0</v>
      </c>
      <c r="G130" s="180" t="s">
        <v>292</v>
      </c>
      <c r="H130" s="43">
        <f t="shared" si="4"/>
        <v>1483848.7671200002</v>
      </c>
    </row>
    <row r="131" spans="8:8">
      <c r="A131" s="175" t="s">
        <v>142</v>
      </c>
      <c r="B131" s="4" t="s">
        <v>65</v>
      </c>
      <c r="C131" s="235">
        <v>0.01</v>
      </c>
      <c r="D131" s="235">
        <v>2005565.4527999999</v>
      </c>
      <c r="E131" s="20">
        <v>121286.0</v>
      </c>
      <c r="F131" s="20">
        <v>181928.0</v>
      </c>
      <c r="G131" s="180" t="s">
        <v>292</v>
      </c>
      <c r="H131" s="43">
        <f t="shared" si="4"/>
        <v>2308779.4628</v>
      </c>
    </row>
    <row r="132" spans="8:8">
      <c r="A132" s="175" t="s">
        <v>143</v>
      </c>
      <c r="B132" s="4" t="s">
        <v>65</v>
      </c>
      <c r="C132" s="235">
        <v>0.01</v>
      </c>
      <c r="D132" s="235">
        <v>2134224.36864</v>
      </c>
      <c r="E132" s="20">
        <v>121286.0</v>
      </c>
      <c r="F132" s="20">
        <v>181928.0</v>
      </c>
      <c r="G132" s="180" t="s">
        <v>292</v>
      </c>
      <c r="H132" s="43">
        <f t="shared" si="4"/>
        <v>2437438.37864</v>
      </c>
    </row>
    <row r="133" spans="8:8">
      <c r="A133" s="175" t="s">
        <v>144</v>
      </c>
      <c r="B133" s="4" t="s">
        <v>65</v>
      </c>
      <c r="C133" s="235">
        <v>0.01</v>
      </c>
      <c r="D133" s="235">
        <v>2361269.5142400004</v>
      </c>
      <c r="E133" s="20">
        <v>121286.0</v>
      </c>
      <c r="F133" s="20">
        <v>181928.0</v>
      </c>
      <c r="G133" s="180" t="s">
        <v>292</v>
      </c>
      <c r="H133" s="43">
        <f t="shared" si="4"/>
        <v>2664483.52424</v>
      </c>
    </row>
    <row r="134" spans="8:8">
      <c r="A134" s="175" t="s">
        <v>145</v>
      </c>
      <c r="B134" s="4" t="s">
        <v>65</v>
      </c>
      <c r="C134" s="235">
        <v>0.01</v>
      </c>
      <c r="D134" s="235">
        <v>1002782.7263999999</v>
      </c>
      <c r="E134" s="20">
        <v>121286.0</v>
      </c>
      <c r="F134" s="20">
        <v>181928.0</v>
      </c>
      <c r="G134" s="180" t="s">
        <v>292</v>
      </c>
      <c r="H134" s="43">
        <f t="shared" si="4"/>
        <v>1305996.7363999998</v>
      </c>
    </row>
    <row r="135" spans="8:8">
      <c r="A135" s="175" t="s">
        <v>146</v>
      </c>
      <c r="B135" s="4" t="s">
        <v>65</v>
      </c>
      <c r="C135" s="235">
        <v>0.01</v>
      </c>
      <c r="D135" s="235">
        <v>1067112.18432</v>
      </c>
      <c r="E135" s="20">
        <v>121286.0</v>
      </c>
      <c r="F135" s="20">
        <v>181928.0</v>
      </c>
      <c r="G135" s="180" t="s">
        <v>292</v>
      </c>
      <c r="H135" s="43">
        <f t="shared" si="4"/>
        <v>1370326.19432</v>
      </c>
    </row>
    <row r="136" spans="8:8">
      <c r="A136" s="175" t="s">
        <v>147</v>
      </c>
      <c r="B136" s="4" t="s">
        <v>65</v>
      </c>
      <c r="C136" s="235">
        <v>0.01</v>
      </c>
      <c r="D136" s="235">
        <v>1180634.7571200002</v>
      </c>
      <c r="E136" s="20">
        <v>121286.0</v>
      </c>
      <c r="F136" s="20">
        <v>181928.0</v>
      </c>
      <c r="G136" s="180" t="s">
        <v>292</v>
      </c>
      <c r="H136" s="43">
        <f t="shared" si="4"/>
        <v>1483848.7671200002</v>
      </c>
    </row>
    <row r="137" spans="8:8">
      <c r="A137" s="175" t="s">
        <v>148</v>
      </c>
      <c r="B137" s="4" t="s">
        <v>65</v>
      </c>
      <c r="C137" s="235">
        <v>0.01</v>
      </c>
      <c r="D137" s="235">
        <v>1067112.18432</v>
      </c>
      <c r="E137" s="20">
        <v>121286.0</v>
      </c>
      <c r="F137" s="20">
        <v>181928.0</v>
      </c>
      <c r="G137" s="180" t="s">
        <v>292</v>
      </c>
      <c r="H137" s="43">
        <f t="shared" si="4"/>
        <v>1370326.19432</v>
      </c>
    </row>
    <row r="138" spans="8:8">
      <c r="A138" s="175" t="s">
        <v>149</v>
      </c>
      <c r="B138" s="4" t="s">
        <v>65</v>
      </c>
      <c r="C138" s="235">
        <v>0.01</v>
      </c>
      <c r="D138" s="235">
        <v>1180634.7571200002</v>
      </c>
      <c r="E138" s="20">
        <v>121286.0</v>
      </c>
      <c r="F138" s="20">
        <v>181928.0</v>
      </c>
      <c r="G138" s="180" t="s">
        <v>292</v>
      </c>
      <c r="H138" s="43">
        <f t="shared" si="4"/>
        <v>1483848.7671200002</v>
      </c>
    </row>
    <row r="139" spans="8:8">
      <c r="A139" s="175" t="s">
        <v>150</v>
      </c>
      <c r="B139" s="4" t="s">
        <v>65</v>
      </c>
      <c r="C139" s="235">
        <v>0.01</v>
      </c>
      <c r="D139" s="235">
        <v>1585531.9334399998</v>
      </c>
      <c r="E139" s="20">
        <v>121286.0</v>
      </c>
      <c r="F139" s="20">
        <v>181928.0</v>
      </c>
      <c r="G139" s="180" t="s">
        <v>292</v>
      </c>
      <c r="H139" s="43">
        <f t="shared" si="4"/>
        <v>1888745.9434399998</v>
      </c>
    </row>
    <row r="140" spans="8:8">
      <c r="A140" s="175" t="s">
        <v>151</v>
      </c>
      <c r="B140" s="4" t="s">
        <v>65</v>
      </c>
      <c r="C140" s="235">
        <v>0.01</v>
      </c>
      <c r="D140" s="235">
        <v>2134224.36864</v>
      </c>
      <c r="E140" s="20">
        <v>121286.0</v>
      </c>
      <c r="F140" s="20">
        <v>181928.0</v>
      </c>
      <c r="G140" s="180" t="s">
        <v>292</v>
      </c>
      <c r="H140" s="43">
        <f t="shared" si="4"/>
        <v>2437438.37864</v>
      </c>
    </row>
    <row r="141" spans="8:8">
      <c r="A141" s="175" t="s">
        <v>152</v>
      </c>
      <c r="B141" s="4" t="s">
        <v>65</v>
      </c>
      <c r="C141" s="235">
        <v>0.01</v>
      </c>
      <c r="D141" s="235">
        <v>2361269.5142400004</v>
      </c>
      <c r="E141" s="20">
        <v>121286.0</v>
      </c>
      <c r="F141" s="20">
        <v>181928.0</v>
      </c>
      <c r="G141" s="180" t="s">
        <v>292</v>
      </c>
      <c r="H141" s="43">
        <f t="shared" si="4"/>
        <v>2664483.52424</v>
      </c>
    </row>
    <row r="142" spans="8:8">
      <c r="A142" s="175" t="s">
        <v>153</v>
      </c>
      <c r="B142" s="4" t="s">
        <v>65</v>
      </c>
      <c r="C142" s="235">
        <v>0.01</v>
      </c>
      <c r="D142" s="235">
        <v>4919311.488</v>
      </c>
      <c r="E142" s="20">
        <v>121286.0</v>
      </c>
      <c r="F142" s="20">
        <v>181928.0</v>
      </c>
      <c r="G142" s="180" t="s">
        <v>292</v>
      </c>
      <c r="H142" s="43">
        <f t="shared" si="4"/>
        <v>5222525.498</v>
      </c>
    </row>
    <row r="143" spans="8:8">
      <c r="A143" s="175" t="s">
        <v>154</v>
      </c>
      <c r="B143" s="4" t="s">
        <v>65</v>
      </c>
      <c r="C143" s="235">
        <v>0.01</v>
      </c>
      <c r="D143" s="235">
        <v>946021.4400000001</v>
      </c>
      <c r="E143" s="20">
        <v>121286.0</v>
      </c>
      <c r="F143" s="20">
        <v>181928.0</v>
      </c>
      <c r="G143" s="180" t="s">
        <v>292</v>
      </c>
      <c r="H143" s="43">
        <f t="shared" si="4"/>
        <v>1249235.4500000002</v>
      </c>
    </row>
    <row r="144" spans="8:8">
      <c r="A144" s="175" t="s">
        <v>155</v>
      </c>
      <c r="B144" s="4" t="s">
        <v>65</v>
      </c>
      <c r="C144" s="235">
        <v>0.01</v>
      </c>
      <c r="D144" s="235">
        <v>1002782.7263999999</v>
      </c>
      <c r="E144" s="20">
        <v>121286.0</v>
      </c>
      <c r="F144" s="20">
        <v>181928.0</v>
      </c>
      <c r="G144" s="180" t="s">
        <v>292</v>
      </c>
      <c r="H144" s="43">
        <f t="shared" si="4"/>
        <v>1305996.7363999998</v>
      </c>
    </row>
    <row r="145" spans="8:8">
      <c r="A145" s="175" t="s">
        <v>156</v>
      </c>
      <c r="B145" s="4" t="s">
        <v>65</v>
      </c>
      <c r="C145" s="235">
        <v>0.01</v>
      </c>
      <c r="D145" s="235">
        <v>1067112.18432</v>
      </c>
      <c r="E145" s="20">
        <v>121286.0</v>
      </c>
      <c r="F145" s="20">
        <v>181928.0</v>
      </c>
      <c r="G145" s="180" t="s">
        <v>292</v>
      </c>
      <c r="H145" s="43">
        <f t="shared" si="4"/>
        <v>1370326.19432</v>
      </c>
    </row>
    <row r="146" spans="8:8">
      <c r="A146" s="175" t="s">
        <v>157</v>
      </c>
      <c r="B146" s="4" t="s">
        <v>65</v>
      </c>
      <c r="C146" s="235">
        <v>0.01</v>
      </c>
      <c r="D146" s="235">
        <v>1002782.7263999999</v>
      </c>
      <c r="E146" s="20">
        <v>121286.0</v>
      </c>
      <c r="F146" s="20">
        <v>181928.0</v>
      </c>
      <c r="G146" s="180" t="s">
        <v>292</v>
      </c>
      <c r="H146" s="43">
        <f t="shared" si="4"/>
        <v>1305996.7363999998</v>
      </c>
    </row>
    <row r="147" spans="8:8">
      <c r="A147" s="175" t="s">
        <v>158</v>
      </c>
      <c r="B147" s="4" t="s">
        <v>65</v>
      </c>
      <c r="C147" s="235">
        <v>0.01</v>
      </c>
      <c r="D147" s="235">
        <v>1067112.18432</v>
      </c>
      <c r="E147" s="20">
        <v>121286.0</v>
      </c>
      <c r="F147" s="20">
        <v>181928.0</v>
      </c>
      <c r="G147" s="180" t="s">
        <v>292</v>
      </c>
      <c r="H147" s="43">
        <f t="shared" si="4"/>
        <v>1370326.19432</v>
      </c>
    </row>
    <row r="148" spans="8:8">
      <c r="A148" s="175" t="s">
        <v>159</v>
      </c>
      <c r="B148" s="4" t="s">
        <v>65</v>
      </c>
      <c r="C148" s="235">
        <v>0.01</v>
      </c>
      <c r="D148" s="235">
        <v>1180634.7571200002</v>
      </c>
      <c r="E148" s="20">
        <v>121286.0</v>
      </c>
      <c r="F148" s="20">
        <v>181928.0</v>
      </c>
      <c r="G148" s="180" t="s">
        <v>292</v>
      </c>
      <c r="H148" s="43">
        <f t="shared" si="4"/>
        <v>1483848.7671200002</v>
      </c>
    </row>
    <row r="149" spans="8:8">
      <c r="A149" s="175" t="s">
        <v>160</v>
      </c>
      <c r="B149" s="4" t="s">
        <v>65</v>
      </c>
      <c r="C149" s="235">
        <v>0.01</v>
      </c>
      <c r="D149" s="235">
        <v>1067112.18432</v>
      </c>
      <c r="E149" s="20">
        <v>121286.0</v>
      </c>
      <c r="F149" s="20">
        <v>181928.0</v>
      </c>
      <c r="G149" s="180" t="s">
        <v>292</v>
      </c>
      <c r="H149" s="43">
        <f t="shared" si="4"/>
        <v>1370326.19432</v>
      </c>
    </row>
    <row r="150" spans="8:8">
      <c r="A150" s="296" t="s">
        <v>161</v>
      </c>
      <c r="B150" s="16" t="s">
        <v>65</v>
      </c>
      <c r="C150" s="235">
        <v>0.01</v>
      </c>
      <c r="D150" s="235">
        <v>1180634.7571200002</v>
      </c>
      <c r="E150" s="20">
        <v>121286.0</v>
      </c>
      <c r="F150" s="20">
        <v>181928.0</v>
      </c>
      <c r="G150" s="180" t="s">
        <v>292</v>
      </c>
      <c r="H150" s="43">
        <f t="shared" si="4"/>
        <v>1483848.7671200002</v>
      </c>
    </row>
    <row r="151" spans="8:8">
      <c r="A151" s="296" t="s">
        <v>162</v>
      </c>
      <c r="B151" s="16" t="s">
        <v>65</v>
      </c>
      <c r="C151" s="235">
        <v>0.01</v>
      </c>
      <c r="D151" s="235">
        <v>2134224.36864</v>
      </c>
      <c r="E151" s="20">
        <v>121286.0</v>
      </c>
      <c r="F151" s="20">
        <v>181928.0</v>
      </c>
      <c r="G151" s="180" t="s">
        <v>292</v>
      </c>
      <c r="H151" s="43">
        <f t="shared" si="4"/>
        <v>2437438.37864</v>
      </c>
    </row>
    <row r="152" spans="8:8">
      <c r="A152" s="296" t="s">
        <v>163</v>
      </c>
      <c r="B152" s="16" t="s">
        <v>65</v>
      </c>
      <c r="C152" s="235">
        <v>0.01</v>
      </c>
      <c r="D152" s="235">
        <v>2361269.5142400004</v>
      </c>
      <c r="E152" s="20">
        <v>121286.0</v>
      </c>
      <c r="F152" s="20">
        <v>181928.0</v>
      </c>
      <c r="G152" s="180" t="s">
        <v>292</v>
      </c>
      <c r="H152" s="43">
        <f t="shared" si="4"/>
        <v>2664483.52424</v>
      </c>
    </row>
    <row r="153" spans="8:8">
      <c r="A153" s="175" t="s">
        <v>164</v>
      </c>
      <c r="B153" s="4" t="s">
        <v>65</v>
      </c>
      <c r="C153" s="235">
        <v>0.01</v>
      </c>
      <c r="D153" s="235">
        <v>923316.9254399999</v>
      </c>
      <c r="E153" s="20">
        <v>121286.0</v>
      </c>
      <c r="F153" s="20">
        <v>181928.0</v>
      </c>
      <c r="G153" s="180" t="s">
        <v>292</v>
      </c>
      <c r="H153" s="43">
        <f t="shared" si="4"/>
        <v>1226530.93544</v>
      </c>
    </row>
    <row r="154" spans="8:8">
      <c r="A154" s="175" t="s">
        <v>165</v>
      </c>
      <c r="B154" s="4" t="s">
        <v>65</v>
      </c>
      <c r="C154" s="235">
        <v>0.01</v>
      </c>
      <c r="D154" s="235">
        <v>1036839.4982400001</v>
      </c>
      <c r="E154" s="20">
        <v>121286.0</v>
      </c>
      <c r="F154" s="20">
        <v>181928.0</v>
      </c>
      <c r="G154" s="180" t="s">
        <v>292</v>
      </c>
      <c r="H154" s="43">
        <f t="shared" si="4"/>
        <v>1340053.50824</v>
      </c>
    </row>
    <row r="155" spans="8:8">
      <c r="A155" s="175" t="s">
        <v>166</v>
      </c>
      <c r="B155" s="4" t="s">
        <v>65</v>
      </c>
      <c r="C155" s="235">
        <v>0.01</v>
      </c>
      <c r="D155" s="235">
        <v>1002782.7263999999</v>
      </c>
      <c r="E155" s="20">
        <v>121286.0</v>
      </c>
      <c r="F155" s="20">
        <v>181928.0</v>
      </c>
      <c r="G155" s="180" t="s">
        <v>292</v>
      </c>
      <c r="H155" s="43">
        <f t="shared" si="4"/>
        <v>1305996.7363999998</v>
      </c>
    </row>
    <row r="156" spans="8:8">
      <c r="A156" s="175" t="s">
        <v>167</v>
      </c>
      <c r="B156" s="4" t="s">
        <v>65</v>
      </c>
      <c r="C156" s="235">
        <v>0.01</v>
      </c>
      <c r="D156" s="235">
        <v>1067112.18432</v>
      </c>
      <c r="E156" s="20">
        <v>121286.0</v>
      </c>
      <c r="F156" s="20">
        <v>181928.0</v>
      </c>
      <c r="G156" s="180" t="s">
        <v>292</v>
      </c>
      <c r="H156" s="43">
        <f t="shared" si="4"/>
        <v>1370326.19432</v>
      </c>
    </row>
    <row r="157" spans="8:8">
      <c r="A157" s="175" t="s">
        <v>168</v>
      </c>
      <c r="B157" s="4" t="s">
        <v>65</v>
      </c>
      <c r="C157" s="235">
        <v>0.01</v>
      </c>
      <c r="D157" s="235">
        <v>2005565.4527999999</v>
      </c>
      <c r="E157" s="20">
        <v>121286.0</v>
      </c>
      <c r="F157" s="20">
        <v>181928.0</v>
      </c>
      <c r="G157" s="180" t="s">
        <v>292</v>
      </c>
      <c r="H157" s="43">
        <f t="shared" si="4"/>
        <v>2308779.4628</v>
      </c>
    </row>
    <row r="158" spans="8:8">
      <c r="A158" s="175" t="s">
        <v>169</v>
      </c>
      <c r="B158" s="4" t="s">
        <v>65</v>
      </c>
      <c r="C158" s="235">
        <v>0.01</v>
      </c>
      <c r="D158" s="235">
        <v>2134224.36864</v>
      </c>
      <c r="E158" s="20">
        <v>121286.0</v>
      </c>
      <c r="F158" s="20">
        <v>181928.0</v>
      </c>
      <c r="G158" s="180" t="s">
        <v>292</v>
      </c>
      <c r="H158" s="43">
        <f t="shared" si="4"/>
        <v>2437438.37864</v>
      </c>
    </row>
    <row r="159" spans="8:8">
      <c r="A159" s="175" t="s">
        <v>170</v>
      </c>
      <c r="B159" s="4" t="s">
        <v>65</v>
      </c>
      <c r="C159" s="235">
        <v>0.01</v>
      </c>
      <c r="D159" s="235">
        <v>1002782.7263999999</v>
      </c>
      <c r="E159" s="20">
        <v>121286.0</v>
      </c>
      <c r="F159" s="20">
        <v>181928.0</v>
      </c>
      <c r="G159" s="180" t="s">
        <v>292</v>
      </c>
      <c r="H159" s="43">
        <f t="shared" si="4"/>
        <v>1305996.7363999998</v>
      </c>
    </row>
    <row r="160" spans="8:8">
      <c r="A160" s="175" t="s">
        <v>171</v>
      </c>
      <c r="B160" s="4" t="s">
        <v>65</v>
      </c>
      <c r="C160" s="235">
        <v>0.01</v>
      </c>
      <c r="D160" s="235">
        <v>1067112.18432</v>
      </c>
      <c r="E160" s="20">
        <v>121286.0</v>
      </c>
      <c r="F160" s="20">
        <v>181928.0</v>
      </c>
      <c r="G160" s="180" t="s">
        <v>292</v>
      </c>
      <c r="H160" s="43">
        <f t="shared" si="4"/>
        <v>1370326.19432</v>
      </c>
    </row>
    <row r="161" spans="8:8">
      <c r="A161" s="175" t="s">
        <v>172</v>
      </c>
      <c r="B161" s="4" t="s">
        <v>65</v>
      </c>
      <c r="C161" s="235">
        <v>0.01</v>
      </c>
      <c r="D161" s="235">
        <v>1180634.7571200002</v>
      </c>
      <c r="E161" s="20">
        <v>121286.0</v>
      </c>
      <c r="F161" s="20">
        <v>181928.0</v>
      </c>
      <c r="G161" s="180" t="s">
        <v>292</v>
      </c>
      <c r="H161" s="43">
        <f t="shared" si="4"/>
        <v>1483848.7671200002</v>
      </c>
    </row>
    <row r="162" spans="8:8">
      <c r="A162" s="175" t="s">
        <v>173</v>
      </c>
      <c r="B162" s="4" t="s">
        <v>65</v>
      </c>
      <c r="C162" s="235">
        <v>0.01</v>
      </c>
      <c r="D162" s="235">
        <v>2005565.4527999999</v>
      </c>
      <c r="E162" s="20">
        <v>121286.0</v>
      </c>
      <c r="F162" s="20">
        <v>181928.0</v>
      </c>
      <c r="G162" s="180" t="s">
        <v>292</v>
      </c>
      <c r="H162" s="43">
        <f t="shared" si="4"/>
        <v>2308779.4628</v>
      </c>
    </row>
    <row r="163" spans="8:8">
      <c r="A163" s="175" t="s">
        <v>174</v>
      </c>
      <c r="B163" s="4" t="s">
        <v>65</v>
      </c>
      <c r="C163" s="235">
        <v>0.01</v>
      </c>
      <c r="D163" s="235">
        <v>2134224.36864</v>
      </c>
      <c r="E163" s="20">
        <v>121286.0</v>
      </c>
      <c r="F163" s="20">
        <v>181928.0</v>
      </c>
      <c r="G163" s="180" t="s">
        <v>292</v>
      </c>
      <c r="H163" s="43">
        <f t="shared" si="4"/>
        <v>2437438.37864</v>
      </c>
    </row>
    <row r="164" spans="8:8">
      <c r="A164" s="175" t="s">
        <v>175</v>
      </c>
      <c r="B164" s="4" t="s">
        <v>65</v>
      </c>
      <c r="C164" s="235">
        <v>0.01</v>
      </c>
      <c r="D164" s="235">
        <v>2361269.5142400004</v>
      </c>
      <c r="E164" s="20">
        <v>121286.0</v>
      </c>
      <c r="F164" s="20">
        <v>181928.0</v>
      </c>
      <c r="G164" s="180" t="s">
        <v>292</v>
      </c>
      <c r="H164" s="43">
        <f t="shared" si="4"/>
        <v>2664483.52424</v>
      </c>
    </row>
    <row r="165" spans="8:8">
      <c r="A165" s="175" t="s">
        <v>176</v>
      </c>
      <c r="B165" s="4" t="s">
        <v>65</v>
      </c>
      <c r="C165" s="235">
        <v>0.01</v>
      </c>
      <c r="D165" s="235">
        <v>934669.18272</v>
      </c>
      <c r="E165" s="20">
        <v>121286.0</v>
      </c>
      <c r="F165" s="20">
        <v>181928.0</v>
      </c>
      <c r="G165" s="180" t="s">
        <v>292</v>
      </c>
      <c r="H165" s="43">
        <f t="shared" si="4"/>
        <v>1237883.1927200002</v>
      </c>
    </row>
    <row r="166" spans="8:8">
      <c r="A166" s="175" t="s">
        <v>177</v>
      </c>
      <c r="B166" s="4" t="s">
        <v>65</v>
      </c>
      <c r="C166" s="235">
        <v>0.01</v>
      </c>
      <c r="D166" s="235">
        <v>1180634.7571200002</v>
      </c>
      <c r="E166" s="20">
        <v>121286.0</v>
      </c>
      <c r="F166" s="20">
        <v>181928.0</v>
      </c>
      <c r="G166" s="180" t="s">
        <v>292</v>
      </c>
      <c r="H166" s="43">
        <f t="shared" si="4"/>
        <v>1483848.7671200002</v>
      </c>
    </row>
    <row r="167" spans="8:8">
      <c r="A167" s="175" t="s">
        <v>178</v>
      </c>
      <c r="B167" s="4" t="s">
        <v>65</v>
      </c>
      <c r="C167" s="235">
        <v>5720000.0</v>
      </c>
      <c r="D167" s="235">
        <v>1.773600995712E7</v>
      </c>
      <c r="E167" s="20">
        <v>121286.0</v>
      </c>
      <c r="F167" s="20">
        <v>181928.0</v>
      </c>
      <c r="G167" s="180" t="s">
        <v>292</v>
      </c>
      <c r="H167" s="43">
        <f t="shared" si="4"/>
        <v>2.375922395712E7</v>
      </c>
    </row>
    <row r="168" spans="8:8">
      <c r="A168" s="175" t="s">
        <v>179</v>
      </c>
      <c r="B168" s="4" t="s">
        <v>65</v>
      </c>
      <c r="C168" s="235">
        <v>0.01</v>
      </c>
      <c r="D168" s="235">
        <v>2274235.5417600004</v>
      </c>
      <c r="E168" s="20">
        <v>121286.0</v>
      </c>
      <c r="F168" s="20">
        <v>181928.0</v>
      </c>
      <c r="G168" s="180" t="s">
        <v>292</v>
      </c>
      <c r="H168" s="43">
        <f t="shared" si="4"/>
        <v>2577449.55176</v>
      </c>
    </row>
    <row r="169" spans="8:8">
      <c r="A169" s="175" t="s">
        <v>180</v>
      </c>
      <c r="B169" s="4" t="s">
        <v>65</v>
      </c>
      <c r="C169" s="235">
        <v>0.01</v>
      </c>
      <c r="D169" s="235">
        <v>1067112.18432</v>
      </c>
      <c r="E169" s="20">
        <v>121286.0</v>
      </c>
      <c r="F169" s="20">
        <v>181928.0</v>
      </c>
      <c r="G169" s="180" t="s">
        <v>292</v>
      </c>
      <c r="H169" s="43">
        <f t="shared" si="4"/>
        <v>1370326.19432</v>
      </c>
    </row>
    <row r="170" spans="8:8">
      <c r="A170" s="175" t="s">
        <v>181</v>
      </c>
      <c r="B170" s="4" t="s">
        <v>65</v>
      </c>
      <c r="C170" s="235">
        <v>0.01</v>
      </c>
      <c r="D170" s="235">
        <v>2134224.36864</v>
      </c>
      <c r="E170" s="20">
        <v>121286.0</v>
      </c>
      <c r="F170" s="20">
        <v>181928.0</v>
      </c>
      <c r="G170" s="180" t="s">
        <v>292</v>
      </c>
      <c r="H170" s="43">
        <f t="shared" si="4"/>
        <v>2437438.37864</v>
      </c>
    </row>
    <row r="171" spans="8:8">
      <c r="A171" s="175" t="s">
        <v>182</v>
      </c>
      <c r="B171" s="4" t="s">
        <v>65</v>
      </c>
      <c r="C171" s="235">
        <v>0.01</v>
      </c>
      <c r="D171" s="235">
        <v>1002782.7263999999</v>
      </c>
      <c r="E171" s="20">
        <v>121286.0</v>
      </c>
      <c r="F171" s="20">
        <v>181928.0</v>
      </c>
      <c r="G171" s="180" t="s">
        <v>292</v>
      </c>
      <c r="H171" s="43">
        <f t="shared" si="4"/>
        <v>1305996.7363999998</v>
      </c>
    </row>
    <row r="172" spans="8:8">
      <c r="A172" s="175" t="s">
        <v>183</v>
      </c>
      <c r="B172" s="4" t="s">
        <v>65</v>
      </c>
      <c r="C172" s="235">
        <v>0.01</v>
      </c>
      <c r="D172" s="235">
        <v>1067112.18432</v>
      </c>
      <c r="E172" s="20">
        <v>121286.0</v>
      </c>
      <c r="F172" s="20">
        <v>181928.0</v>
      </c>
      <c r="G172" s="180" t="s">
        <v>292</v>
      </c>
      <c r="H172" s="43">
        <f t="shared" si="4"/>
        <v>1370326.19432</v>
      </c>
    </row>
    <row r="173" spans="8:8">
      <c r="A173" s="175" t="s">
        <v>184</v>
      </c>
      <c r="B173" s="4" t="s">
        <v>65</v>
      </c>
      <c r="C173" s="235">
        <v>0.01</v>
      </c>
      <c r="D173" s="235">
        <v>1180634.7571200002</v>
      </c>
      <c r="E173" s="20">
        <v>121286.0</v>
      </c>
      <c r="F173" s="20">
        <v>181928.0</v>
      </c>
      <c r="G173" s="180" t="s">
        <v>292</v>
      </c>
      <c r="H173" s="43">
        <f t="shared" si="4"/>
        <v>1483848.7671200002</v>
      </c>
    </row>
    <row r="174" spans="8:8">
      <c r="A174" s="175" t="s">
        <v>185</v>
      </c>
      <c r="B174" s="4" t="s">
        <v>65</v>
      </c>
      <c r="C174" s="235">
        <v>0.01</v>
      </c>
      <c r="D174" s="235">
        <v>2005565.4527999999</v>
      </c>
      <c r="E174" s="20">
        <v>121286.0</v>
      </c>
      <c r="F174" s="20">
        <v>181928.0</v>
      </c>
      <c r="G174" s="180" t="s">
        <v>292</v>
      </c>
      <c r="H174" s="43">
        <f t="shared" si="4"/>
        <v>2308779.4628</v>
      </c>
    </row>
    <row r="175" spans="8:8">
      <c r="A175" s="175" t="s">
        <v>186</v>
      </c>
      <c r="B175" s="4" t="s">
        <v>65</v>
      </c>
      <c r="C175" s="235">
        <v>0.01</v>
      </c>
      <c r="D175" s="235">
        <v>2134224.36864</v>
      </c>
      <c r="E175" s="20">
        <v>121286.0</v>
      </c>
      <c r="F175" s="20">
        <v>181928.0</v>
      </c>
      <c r="G175" s="180" t="s">
        <v>292</v>
      </c>
      <c r="H175" s="43">
        <f t="shared" si="4"/>
        <v>2437438.37864</v>
      </c>
    </row>
    <row r="176" spans="8:8">
      <c r="A176" s="175" t="s">
        <v>187</v>
      </c>
      <c r="B176" s="4" t="s">
        <v>65</v>
      </c>
      <c r="C176" s="235">
        <v>0.01</v>
      </c>
      <c r="D176" s="235">
        <v>2361269.5142400004</v>
      </c>
      <c r="E176" s="20">
        <v>121286.0</v>
      </c>
      <c r="F176" s="20">
        <v>181928.0</v>
      </c>
      <c r="G176" s="180" t="s">
        <v>292</v>
      </c>
      <c r="H176" s="43">
        <f t="shared" si="4"/>
        <v>2664483.52424</v>
      </c>
    </row>
    <row r="177" spans="8:8">
      <c r="A177" s="296" t="s">
        <v>188</v>
      </c>
      <c r="B177" s="16" t="s">
        <v>65</v>
      </c>
      <c r="C177" s="235">
        <v>0.01</v>
      </c>
      <c r="D177" s="235">
        <v>1002782.7263999999</v>
      </c>
      <c r="E177" s="20">
        <v>121286.0</v>
      </c>
      <c r="F177" s="20">
        <v>181928.0</v>
      </c>
      <c r="G177" s="180" t="s">
        <v>292</v>
      </c>
      <c r="H177" s="43">
        <f t="shared" si="4"/>
        <v>1305996.7363999998</v>
      </c>
    </row>
    <row r="178" spans="8:8">
      <c r="A178" s="175" t="s">
        <v>189</v>
      </c>
      <c r="B178" s="4" t="s">
        <v>65</v>
      </c>
      <c r="C178" s="235">
        <v>0.01</v>
      </c>
      <c r="D178" s="235">
        <v>1067112.18432</v>
      </c>
      <c r="E178" s="20">
        <v>121286.0</v>
      </c>
      <c r="F178" s="20">
        <v>181928.0</v>
      </c>
      <c r="G178" s="180" t="s">
        <v>292</v>
      </c>
      <c r="H178" s="43">
        <f t="shared" si="4"/>
        <v>1370326.19432</v>
      </c>
    </row>
    <row r="179" spans="8:8">
      <c r="A179" s="175" t="s">
        <v>190</v>
      </c>
      <c r="B179" s="16" t="s">
        <v>65</v>
      </c>
      <c r="C179" s="235">
        <v>0.01</v>
      </c>
      <c r="D179" s="235">
        <v>1002782.7263999999</v>
      </c>
      <c r="E179" s="20">
        <v>121286.0</v>
      </c>
      <c r="F179" s="20">
        <v>181928.0</v>
      </c>
      <c r="G179" s="180" t="s">
        <v>292</v>
      </c>
      <c r="H179" s="43">
        <f t="shared" si="4"/>
        <v>1305996.7363999998</v>
      </c>
    </row>
    <row r="180" spans="8:8" s="49" ht="15.0" customFormat="1">
      <c r="A180" s="175" t="s">
        <v>191</v>
      </c>
      <c r="B180" s="4" t="s">
        <v>65</v>
      </c>
      <c r="C180" s="235">
        <v>0.01</v>
      </c>
      <c r="D180" s="235">
        <v>1067112.18432</v>
      </c>
      <c r="E180" s="20">
        <v>121286.0</v>
      </c>
      <c r="F180" s="20">
        <v>181928.0</v>
      </c>
      <c r="G180" s="180" t="s">
        <v>292</v>
      </c>
      <c r="H180" s="241">
        <f t="shared" si="4"/>
        <v>1370326.19432</v>
      </c>
    </row>
    <row r="181" spans="8:8">
      <c r="A181" s="175" t="s">
        <v>192</v>
      </c>
      <c r="B181" s="4" t="s">
        <v>65</v>
      </c>
      <c r="C181" s="235">
        <v>0.01</v>
      </c>
      <c r="D181" s="235">
        <v>1180634.7571200002</v>
      </c>
      <c r="E181" s="20">
        <v>121286.0</v>
      </c>
      <c r="F181" s="20">
        <v>181928.0</v>
      </c>
      <c r="G181" s="180" t="s">
        <v>292</v>
      </c>
      <c r="H181" s="43">
        <f t="shared" si="4"/>
        <v>1483848.7671200002</v>
      </c>
    </row>
    <row r="182" spans="8:8">
      <c r="A182" s="175" t="s">
        <v>193</v>
      </c>
      <c r="B182" s="4" t="s">
        <v>65</v>
      </c>
      <c r="C182" s="235">
        <v>0.01</v>
      </c>
      <c r="D182" s="235">
        <v>1002782.7263999999</v>
      </c>
      <c r="E182" s="20">
        <v>121286.0</v>
      </c>
      <c r="F182" s="20">
        <v>181928.0</v>
      </c>
      <c r="G182" s="180" t="s">
        <v>292</v>
      </c>
      <c r="H182" s="43">
        <f t="shared" si="4"/>
        <v>1305996.7363999998</v>
      </c>
    </row>
    <row r="183" spans="8:8">
      <c r="A183" s="175" t="s">
        <v>194</v>
      </c>
      <c r="B183" s="4" t="s">
        <v>65</v>
      </c>
      <c r="C183" s="235">
        <v>0.01</v>
      </c>
      <c r="D183" s="235">
        <v>1067112.18432</v>
      </c>
      <c r="E183" s="20">
        <v>121286.0</v>
      </c>
      <c r="F183" s="20">
        <v>181928.0</v>
      </c>
      <c r="G183" s="180" t="s">
        <v>292</v>
      </c>
      <c r="H183" s="43">
        <f t="shared" si="4"/>
        <v>1370326.19432</v>
      </c>
    </row>
    <row r="184" spans="8:8">
      <c r="A184" s="175" t="s">
        <v>197</v>
      </c>
      <c r="B184" s="4" t="s">
        <v>196</v>
      </c>
      <c r="C184" s="235">
        <v>0.01</v>
      </c>
      <c r="D184" s="235">
        <v>2981318.9952</v>
      </c>
      <c r="E184" s="20">
        <v>121286.0</v>
      </c>
      <c r="F184" s="20">
        <v>181928.0</v>
      </c>
      <c r="G184" s="180" t="s">
        <v>292</v>
      </c>
      <c r="H184" s="43">
        <f t="shared" si="4"/>
        <v>3284533.0051999995</v>
      </c>
    </row>
    <row r="185" spans="8:8">
      <c r="A185" s="175" t="s">
        <v>198</v>
      </c>
      <c r="B185" s="4" t="s">
        <v>196</v>
      </c>
      <c r="C185" s="235">
        <v>0.01</v>
      </c>
      <c r="D185" s="235">
        <v>2.96861527872E7</v>
      </c>
      <c r="E185" s="20">
        <v>121286.0</v>
      </c>
      <c r="F185" s="20">
        <v>181928.0</v>
      </c>
      <c r="G185" s="180" t="s">
        <v>292</v>
      </c>
      <c r="H185" s="43">
        <f t="shared" si="4"/>
        <v>2.99893667972E7</v>
      </c>
    </row>
    <row r="186" spans="8:8">
      <c r="A186" s="298" t="s">
        <v>398</v>
      </c>
      <c r="B186" s="4" t="s">
        <v>196</v>
      </c>
      <c r="C186" s="235">
        <v>0.01</v>
      </c>
      <c r="D186" s="235">
        <v>8502609.024</v>
      </c>
      <c r="E186" s="20">
        <v>121286.0</v>
      </c>
      <c r="F186" s="20">
        <v>181928.0</v>
      </c>
      <c r="G186" s="180" t="s">
        <v>292</v>
      </c>
      <c r="H186" s="43">
        <f t="shared" si="4"/>
        <v>8805823.034</v>
      </c>
      <c r="L186" s="300"/>
      <c r="M186" s="212"/>
    </row>
    <row r="187" spans="8:8">
      <c r="A187" s="175" t="s">
        <v>201</v>
      </c>
      <c r="B187" s="4" t="s">
        <v>196</v>
      </c>
      <c r="C187" s="235">
        <v>0.01</v>
      </c>
      <c r="D187" s="235">
        <v>8502609.024</v>
      </c>
      <c r="E187" s="20">
        <v>121286.0</v>
      </c>
      <c r="F187" s="20">
        <v>181928.0</v>
      </c>
      <c r="G187" s="180" t="s">
        <v>292</v>
      </c>
      <c r="H187" s="43">
        <f t="shared" si="4"/>
        <v>8805823.034</v>
      </c>
    </row>
    <row r="188" spans="8:8">
      <c r="A188" s="175" t="s">
        <v>202</v>
      </c>
      <c r="B188" s="16" t="s">
        <v>196</v>
      </c>
      <c r="C188" s="235">
        <v>0.01</v>
      </c>
      <c r="D188" s="235">
        <v>8502609.024</v>
      </c>
      <c r="E188" s="20">
        <v>121286.0</v>
      </c>
      <c r="F188" s="20">
        <v>181928.0</v>
      </c>
      <c r="G188" s="180" t="s">
        <v>292</v>
      </c>
      <c r="H188" s="43">
        <f t="shared" si="4"/>
        <v>8805823.034</v>
      </c>
    </row>
    <row r="189" spans="8:8">
      <c r="A189" s="175" t="s">
        <v>203</v>
      </c>
      <c r="B189" s="4" t="s">
        <v>196</v>
      </c>
      <c r="C189" s="235">
        <v>0.01</v>
      </c>
      <c r="D189" s="235">
        <v>8502609.024</v>
      </c>
      <c r="E189" s="20">
        <v>121286.0</v>
      </c>
      <c r="F189" s="20">
        <v>181928.0</v>
      </c>
      <c r="G189" s="180" t="s">
        <v>292</v>
      </c>
      <c r="H189" s="43">
        <f t="shared" si="4"/>
        <v>8805823.034</v>
      </c>
    </row>
    <row r="190" spans="8:8">
      <c r="A190" s="175" t="s">
        <v>204</v>
      </c>
      <c r="B190" s="4" t="s">
        <v>196</v>
      </c>
      <c r="C190" s="235">
        <v>0.01</v>
      </c>
      <c r="D190" s="235">
        <v>8502609.024</v>
      </c>
      <c r="E190" s="20">
        <v>121286.0</v>
      </c>
      <c r="F190" s="20">
        <v>181928.0</v>
      </c>
      <c r="G190" s="180" t="s">
        <v>292</v>
      </c>
      <c r="H190" s="43">
        <f t="shared" si="5" ref="H190:H253">SUM(C190:F190)</f>
        <v>8805823.034</v>
      </c>
    </row>
    <row r="191" spans="8:8">
      <c r="A191" s="175" t="s">
        <v>206</v>
      </c>
      <c r="B191" s="4" t="s">
        <v>196</v>
      </c>
      <c r="C191" s="235">
        <v>0.01</v>
      </c>
      <c r="D191" s="235">
        <v>8502609.024</v>
      </c>
      <c r="E191" s="20">
        <v>121286.0</v>
      </c>
      <c r="F191" s="20">
        <v>181928.0</v>
      </c>
      <c r="G191" s="180" t="s">
        <v>292</v>
      </c>
      <c r="H191" s="43">
        <f t="shared" si="5"/>
        <v>8805823.034</v>
      </c>
    </row>
    <row r="192" spans="8:8">
      <c r="A192" s="175" t="s">
        <v>207</v>
      </c>
      <c r="B192" s="4" t="s">
        <v>196</v>
      </c>
      <c r="C192" s="235">
        <v>0.01</v>
      </c>
      <c r="D192" s="235">
        <v>8502609.024</v>
      </c>
      <c r="E192" s="20">
        <v>121286.0</v>
      </c>
      <c r="F192" s="20">
        <v>181928.0</v>
      </c>
      <c r="G192" s="180" t="s">
        <v>292</v>
      </c>
      <c r="H192" s="43">
        <f t="shared" si="5"/>
        <v>8805823.034</v>
      </c>
      <c r="M192" s="300"/>
      <c r="N192" s="212"/>
    </row>
    <row r="193" spans="8:8">
      <c r="A193" s="175" t="s">
        <v>208</v>
      </c>
      <c r="B193" s="4" t="s">
        <v>196</v>
      </c>
      <c r="C193" s="235">
        <v>0.01</v>
      </c>
      <c r="D193" s="235">
        <v>8502609.024</v>
      </c>
      <c r="E193" s="20">
        <v>121286.0</v>
      </c>
      <c r="F193" s="20">
        <v>181928.0</v>
      </c>
      <c r="G193" s="180" t="s">
        <v>292</v>
      </c>
      <c r="H193" s="43">
        <f t="shared" si="5"/>
        <v>8805823.034</v>
      </c>
    </row>
    <row r="194" spans="8:8">
      <c r="A194" s="175" t="s">
        <v>209</v>
      </c>
      <c r="B194" s="4" t="s">
        <v>196</v>
      </c>
      <c r="C194" s="235">
        <v>0.01</v>
      </c>
      <c r="D194" s="235">
        <v>8502609.024</v>
      </c>
      <c r="E194" s="20">
        <v>121286.0</v>
      </c>
      <c r="F194" s="20">
        <v>181928.0</v>
      </c>
      <c r="G194" s="180" t="s">
        <v>292</v>
      </c>
      <c r="H194" s="43">
        <f t="shared" si="5"/>
        <v>8805823.034</v>
      </c>
    </row>
    <row r="195" spans="8:8">
      <c r="A195" s="175" t="s">
        <v>210</v>
      </c>
      <c r="B195" s="4" t="s">
        <v>196</v>
      </c>
      <c r="C195" s="235">
        <v>0.01</v>
      </c>
      <c r="D195" s="235">
        <v>8502609.024</v>
      </c>
      <c r="E195" s="20">
        <v>121286.0</v>
      </c>
      <c r="F195" s="20">
        <v>181928.0</v>
      </c>
      <c r="G195" s="180" t="s">
        <v>292</v>
      </c>
      <c r="H195" s="43">
        <f t="shared" si="5"/>
        <v>8805823.034</v>
      </c>
    </row>
    <row r="196" spans="8:8">
      <c r="A196" s="175" t="s">
        <v>211</v>
      </c>
      <c r="B196" s="4" t="s">
        <v>196</v>
      </c>
      <c r="C196" s="235">
        <v>0.01</v>
      </c>
      <c r="D196" s="235">
        <v>8502609.024</v>
      </c>
      <c r="E196" s="20">
        <v>121286.0</v>
      </c>
      <c r="F196" s="20">
        <v>181928.0</v>
      </c>
      <c r="G196" s="180" t="s">
        <v>292</v>
      </c>
      <c r="H196" s="43">
        <f t="shared" si="5"/>
        <v>8805823.034</v>
      </c>
    </row>
    <row r="197" spans="8:8">
      <c r="A197" s="175" t="s">
        <v>212</v>
      </c>
      <c r="B197" s="4" t="s">
        <v>196</v>
      </c>
      <c r="C197" s="235">
        <v>0.01</v>
      </c>
      <c r="D197" s="235">
        <v>8502609.024</v>
      </c>
      <c r="E197" s="20">
        <v>121286.0</v>
      </c>
      <c r="F197" s="20">
        <v>181928.0</v>
      </c>
      <c r="G197" s="180" t="s">
        <v>292</v>
      </c>
      <c r="H197" s="43">
        <f t="shared" si="5"/>
        <v>8805823.034</v>
      </c>
    </row>
    <row r="198" spans="8:8">
      <c r="A198" s="175" t="s">
        <v>214</v>
      </c>
      <c r="B198" s="4" t="s">
        <v>196</v>
      </c>
      <c r="C198" s="235">
        <v>0.01</v>
      </c>
      <c r="D198" s="235">
        <v>8502609.024</v>
      </c>
      <c r="E198" s="20">
        <v>121286.0</v>
      </c>
      <c r="F198" s="20">
        <v>181928.0</v>
      </c>
      <c r="G198" s="180" t="s">
        <v>292</v>
      </c>
      <c r="H198" s="43">
        <f t="shared" si="5"/>
        <v>8805823.034</v>
      </c>
    </row>
    <row r="199" spans="8:8">
      <c r="A199" s="175" t="s">
        <v>215</v>
      </c>
      <c r="B199" s="4" t="s">
        <v>196</v>
      </c>
      <c r="C199" s="235">
        <v>0.01</v>
      </c>
      <c r="D199" s="235">
        <v>8502609.024</v>
      </c>
      <c r="E199" s="20">
        <v>121286.0</v>
      </c>
      <c r="F199" s="20">
        <v>181928.0</v>
      </c>
      <c r="G199" s="180" t="s">
        <v>292</v>
      </c>
      <c r="H199" s="43">
        <f t="shared" si="5"/>
        <v>8805823.034</v>
      </c>
    </row>
    <row r="200" spans="8:8">
      <c r="A200" s="175" t="s">
        <v>216</v>
      </c>
      <c r="B200" s="4" t="s">
        <v>196</v>
      </c>
      <c r="C200" s="235">
        <v>0.01</v>
      </c>
      <c r="D200" s="235">
        <v>8502609.024</v>
      </c>
      <c r="E200" s="20">
        <v>121286.0</v>
      </c>
      <c r="F200" s="20">
        <v>181928.0</v>
      </c>
      <c r="G200" s="180" t="s">
        <v>292</v>
      </c>
      <c r="H200" s="43">
        <f t="shared" si="5"/>
        <v>8805823.034</v>
      </c>
    </row>
    <row r="201" spans="8:8">
      <c r="A201" s="175" t="s">
        <v>217</v>
      </c>
      <c r="B201" s="4" t="s">
        <v>196</v>
      </c>
      <c r="C201" s="235">
        <v>0.01</v>
      </c>
      <c r="D201" s="235">
        <v>8502609.024</v>
      </c>
      <c r="E201" s="20">
        <v>121286.0</v>
      </c>
      <c r="F201" s="20">
        <v>181928.0</v>
      </c>
      <c r="G201" s="180" t="s">
        <v>292</v>
      </c>
      <c r="H201" s="43">
        <f t="shared" si="5"/>
        <v>8805823.034</v>
      </c>
    </row>
    <row r="202" spans="8:8">
      <c r="A202" s="175" t="s">
        <v>218</v>
      </c>
      <c r="B202" s="4" t="s">
        <v>196</v>
      </c>
      <c r="C202" s="235">
        <v>0.01</v>
      </c>
      <c r="D202" s="235">
        <v>8502609.024</v>
      </c>
      <c r="E202" s="20">
        <v>121286.0</v>
      </c>
      <c r="F202" s="20">
        <v>181928.0</v>
      </c>
      <c r="G202" s="180" t="s">
        <v>292</v>
      </c>
      <c r="H202" s="43">
        <f t="shared" si="5"/>
        <v>8805823.034</v>
      </c>
    </row>
    <row r="203" spans="8:8">
      <c r="A203" s="175" t="s">
        <v>219</v>
      </c>
      <c r="B203" s="4" t="s">
        <v>196</v>
      </c>
      <c r="C203" s="235">
        <v>0.01</v>
      </c>
      <c r="D203" s="235">
        <v>8502609.024</v>
      </c>
      <c r="E203" s="20">
        <v>121286.0</v>
      </c>
      <c r="F203" s="20">
        <v>181928.0</v>
      </c>
      <c r="G203" s="180" t="s">
        <v>292</v>
      </c>
      <c r="H203" s="43">
        <f t="shared" si="5"/>
        <v>8805823.034</v>
      </c>
    </row>
    <row r="204" spans="8:8">
      <c r="A204" s="175" t="s">
        <v>220</v>
      </c>
      <c r="B204" s="4" t="s">
        <v>196</v>
      </c>
      <c r="C204" s="235">
        <v>0.01</v>
      </c>
      <c r="D204" s="235">
        <v>8502609.024</v>
      </c>
      <c r="E204" s="20">
        <v>121286.0</v>
      </c>
      <c r="F204" s="20">
        <v>181928.0</v>
      </c>
      <c r="G204" s="180" t="s">
        <v>292</v>
      </c>
      <c r="H204" s="43">
        <f t="shared" si="5"/>
        <v>8805823.034</v>
      </c>
    </row>
    <row r="205" spans="8:8">
      <c r="A205" s="299" t="s">
        <v>399</v>
      </c>
      <c r="B205" s="4" t="s">
        <v>196</v>
      </c>
      <c r="C205" s="235">
        <v>0.01</v>
      </c>
      <c r="D205" s="235">
        <v>8502609.024</v>
      </c>
      <c r="E205" s="20">
        <v>121286.0</v>
      </c>
      <c r="F205" s="20">
        <v>181928.0</v>
      </c>
      <c r="G205" s="180" t="s">
        <v>292</v>
      </c>
      <c r="H205" s="43">
        <f t="shared" si="5"/>
        <v>8805823.034</v>
      </c>
    </row>
    <row r="206" spans="8:8">
      <c r="A206" s="175" t="s">
        <v>222</v>
      </c>
      <c r="B206" s="4" t="s">
        <v>196</v>
      </c>
      <c r="C206" s="235">
        <v>0.01</v>
      </c>
      <c r="D206" s="235">
        <v>1.7005218048E7</v>
      </c>
      <c r="E206" s="20">
        <v>121286.0</v>
      </c>
      <c r="F206" s="20">
        <v>181928.0</v>
      </c>
      <c r="G206" s="180" t="s">
        <v>292</v>
      </c>
      <c r="H206" s="43">
        <f t="shared" si="5"/>
        <v>1.7308432058000002E7</v>
      </c>
    </row>
    <row r="207" spans="8:8">
      <c r="A207" s="175" t="s">
        <v>223</v>
      </c>
      <c r="B207" s="4" t="s">
        <v>196</v>
      </c>
      <c r="C207" s="235">
        <v>0.01</v>
      </c>
      <c r="D207" s="235">
        <v>8502609.024</v>
      </c>
      <c r="E207" s="20">
        <v>121286.0</v>
      </c>
      <c r="F207" s="20">
        <v>181928.0</v>
      </c>
      <c r="G207" s="180" t="s">
        <v>292</v>
      </c>
      <c r="H207" s="43">
        <f t="shared" si="5"/>
        <v>8805823.034</v>
      </c>
    </row>
    <row r="208" spans="8:8">
      <c r="A208" s="175" t="s">
        <v>224</v>
      </c>
      <c r="B208" s="4" t="s">
        <v>196</v>
      </c>
      <c r="C208" s="235">
        <v>0.01</v>
      </c>
      <c r="D208" s="235">
        <v>8502609.024</v>
      </c>
      <c r="E208" s="20">
        <v>121286.0</v>
      </c>
      <c r="F208" s="20">
        <v>181928.0</v>
      </c>
      <c r="G208" s="180" t="s">
        <v>292</v>
      </c>
      <c r="H208" s="43">
        <f t="shared" si="5"/>
        <v>8805823.034</v>
      </c>
    </row>
    <row r="209" spans="8:8">
      <c r="A209" s="175" t="s">
        <v>225</v>
      </c>
      <c r="B209" s="4" t="s">
        <v>196</v>
      </c>
      <c r="C209" s="235">
        <v>0.01</v>
      </c>
      <c r="D209" s="235">
        <v>8502609.024</v>
      </c>
      <c r="E209" s="20">
        <v>121286.0</v>
      </c>
      <c r="F209" s="20">
        <v>181928.0</v>
      </c>
      <c r="G209" s="180" t="s">
        <v>292</v>
      </c>
      <c r="H209" s="43">
        <f t="shared" si="5"/>
        <v>8805823.034</v>
      </c>
    </row>
    <row r="210" spans="8:8">
      <c r="A210" s="298" t="s">
        <v>400</v>
      </c>
      <c r="B210" s="4" t="s">
        <v>196</v>
      </c>
      <c r="C210" s="235">
        <v>0.01</v>
      </c>
      <c r="D210" s="235">
        <v>1.1174636928E7</v>
      </c>
      <c r="E210" s="20">
        <v>121286.0</v>
      </c>
      <c r="F210" s="20">
        <v>181928.0</v>
      </c>
      <c r="G210" s="180" t="s">
        <v>292</v>
      </c>
      <c r="H210" s="43">
        <f t="shared" si="5"/>
        <v>1.1477850938E7</v>
      </c>
    </row>
    <row r="211" spans="8:8">
      <c r="A211" s="175" t="s">
        <v>228</v>
      </c>
      <c r="B211" s="4" t="s">
        <v>196</v>
      </c>
      <c r="C211" s="235">
        <v>0.01</v>
      </c>
      <c r="D211" s="235">
        <v>8502609.024</v>
      </c>
      <c r="E211" s="20">
        <v>121286.0</v>
      </c>
      <c r="F211" s="20">
        <v>181928.0</v>
      </c>
      <c r="G211" s="180" t="s">
        <v>292</v>
      </c>
      <c r="H211" s="43">
        <f t="shared" si="5"/>
        <v>8805823.034</v>
      </c>
    </row>
    <row r="212" spans="8:8">
      <c r="A212" s="175" t="s">
        <v>229</v>
      </c>
      <c r="B212" s="4" t="s">
        <v>196</v>
      </c>
      <c r="C212" s="235">
        <v>0.01</v>
      </c>
      <c r="D212" s="235">
        <v>8502609.024</v>
      </c>
      <c r="E212" s="20">
        <v>121286.0</v>
      </c>
      <c r="F212" s="20">
        <v>181928.0</v>
      </c>
      <c r="G212" s="180" t="s">
        <v>292</v>
      </c>
      <c r="H212" s="43">
        <f t="shared" si="5"/>
        <v>8805823.034</v>
      </c>
    </row>
    <row r="213" spans="8:8">
      <c r="A213" s="175" t="s">
        <v>230</v>
      </c>
      <c r="B213" s="4" t="s">
        <v>196</v>
      </c>
      <c r="C213" s="235">
        <v>0.01</v>
      </c>
      <c r="D213" s="235">
        <v>8502609.024</v>
      </c>
      <c r="E213" s="20">
        <v>121286.0</v>
      </c>
      <c r="F213" s="20">
        <v>181928.0</v>
      </c>
      <c r="G213" s="180" t="s">
        <v>292</v>
      </c>
      <c r="H213" s="43">
        <f t="shared" si="5"/>
        <v>8805823.034</v>
      </c>
    </row>
    <row r="214" spans="8:8">
      <c r="A214" s="175" t="s">
        <v>231</v>
      </c>
      <c r="B214" s="4" t="s">
        <v>196</v>
      </c>
      <c r="C214" s="235">
        <v>0.01</v>
      </c>
      <c r="D214" s="235">
        <v>8502609.024</v>
      </c>
      <c r="E214" s="20">
        <v>121286.0</v>
      </c>
      <c r="F214" s="20">
        <v>181928.0</v>
      </c>
      <c r="G214" s="180" t="s">
        <v>292</v>
      </c>
      <c r="H214" s="43">
        <f t="shared" si="5"/>
        <v>8805823.034</v>
      </c>
    </row>
    <row r="215" spans="8:8">
      <c r="A215" s="175" t="s">
        <v>232</v>
      </c>
      <c r="B215" s="4" t="s">
        <v>196</v>
      </c>
      <c r="C215" s="235">
        <v>0.01</v>
      </c>
      <c r="D215" s="235">
        <v>8502609.024</v>
      </c>
      <c r="E215" s="20">
        <v>121286.0</v>
      </c>
      <c r="F215" s="20">
        <v>181928.0</v>
      </c>
      <c r="G215" s="180" t="s">
        <v>292</v>
      </c>
      <c r="H215" s="43">
        <f t="shared" si="5"/>
        <v>8805823.034</v>
      </c>
    </row>
    <row r="216" spans="8:8">
      <c r="A216" s="175" t="s">
        <v>233</v>
      </c>
      <c r="B216" s="4" t="s">
        <v>196</v>
      </c>
      <c r="C216" s="235">
        <v>0.01</v>
      </c>
      <c r="D216" s="235">
        <v>8502609.024</v>
      </c>
      <c r="E216" s="20">
        <v>121286.0</v>
      </c>
      <c r="F216" s="20">
        <v>181928.0</v>
      </c>
      <c r="G216" s="180" t="s">
        <v>292</v>
      </c>
      <c r="H216" s="43">
        <f t="shared" si="5"/>
        <v>8805823.034</v>
      </c>
    </row>
    <row r="217" spans="8:8">
      <c r="A217" s="175" t="s">
        <v>234</v>
      </c>
      <c r="B217" s="4" t="s">
        <v>196</v>
      </c>
      <c r="C217" s="235">
        <v>0.01</v>
      </c>
      <c r="D217" s="235">
        <v>8502609.024</v>
      </c>
      <c r="E217" s="20">
        <v>121286.0</v>
      </c>
      <c r="F217" s="20">
        <v>181928.0</v>
      </c>
      <c r="G217" s="180" t="s">
        <v>292</v>
      </c>
      <c r="H217" s="43">
        <f t="shared" si="5"/>
        <v>8805823.034</v>
      </c>
    </row>
    <row r="218" spans="8:8">
      <c r="A218" s="175" t="s">
        <v>235</v>
      </c>
      <c r="B218" s="4" t="s">
        <v>196</v>
      </c>
      <c r="C218" s="235">
        <v>0.01</v>
      </c>
      <c r="D218" s="235">
        <v>8502609.024</v>
      </c>
      <c r="E218" s="20">
        <v>121286.0</v>
      </c>
      <c r="F218" s="20">
        <v>181928.0</v>
      </c>
      <c r="G218" s="180" t="s">
        <v>292</v>
      </c>
      <c r="H218" s="43">
        <f t="shared" si="5"/>
        <v>8805823.034</v>
      </c>
    </row>
    <row r="219" spans="8:8">
      <c r="A219" s="175" t="s">
        <v>236</v>
      </c>
      <c r="B219" s="4" t="s">
        <v>196</v>
      </c>
      <c r="C219" s="235">
        <v>0.01</v>
      </c>
      <c r="D219" s="235">
        <v>8502609.024</v>
      </c>
      <c r="E219" s="20">
        <v>121286.0</v>
      </c>
      <c r="F219" s="20">
        <v>181928.0</v>
      </c>
      <c r="G219" s="180" t="s">
        <v>292</v>
      </c>
      <c r="H219" s="43">
        <f t="shared" si="5"/>
        <v>8805823.034</v>
      </c>
    </row>
    <row r="220" spans="8:8">
      <c r="A220" s="175" t="s">
        <v>237</v>
      </c>
      <c r="B220" s="4" t="s">
        <v>196</v>
      </c>
      <c r="C220" s="235">
        <v>0.01</v>
      </c>
      <c r="D220" s="235">
        <v>8502609.024</v>
      </c>
      <c r="E220" s="20">
        <v>121286.0</v>
      </c>
      <c r="F220" s="20">
        <v>181928.0</v>
      </c>
      <c r="G220" s="180" t="s">
        <v>292</v>
      </c>
      <c r="H220" s="43">
        <f t="shared" si="5"/>
        <v>8805823.034</v>
      </c>
    </row>
    <row r="221" spans="8:8">
      <c r="A221" s="175" t="s">
        <v>238</v>
      </c>
      <c r="B221" s="4" t="s">
        <v>196</v>
      </c>
      <c r="C221" s="235">
        <v>0.01</v>
      </c>
      <c r="D221" s="235">
        <v>8502609.024</v>
      </c>
      <c r="E221" s="20">
        <v>121286.0</v>
      </c>
      <c r="F221" s="20">
        <v>181928.0</v>
      </c>
      <c r="G221" s="180" t="s">
        <v>292</v>
      </c>
      <c r="H221" s="43">
        <f t="shared" si="5"/>
        <v>8805823.034</v>
      </c>
    </row>
    <row r="222" spans="8:8">
      <c r="A222" s="175" t="s">
        <v>239</v>
      </c>
      <c r="B222" s="4" t="s">
        <v>196</v>
      </c>
      <c r="C222" s="235">
        <v>0.01</v>
      </c>
      <c r="D222" s="235">
        <v>8502609.024</v>
      </c>
      <c r="E222" s="20">
        <v>121286.0</v>
      </c>
      <c r="F222" s="20">
        <v>181928.0</v>
      </c>
      <c r="G222" s="180" t="s">
        <v>292</v>
      </c>
      <c r="H222" s="43">
        <f t="shared" si="5"/>
        <v>8805823.034</v>
      </c>
    </row>
    <row r="223" spans="8:8">
      <c r="A223" s="175" t="s">
        <v>240</v>
      </c>
      <c r="B223" s="4" t="s">
        <v>196</v>
      </c>
      <c r="C223" s="235">
        <v>0.01</v>
      </c>
      <c r="D223" s="235">
        <v>8502609.024</v>
      </c>
      <c r="E223" s="20">
        <v>121286.0</v>
      </c>
      <c r="F223" s="20">
        <v>181928.0</v>
      </c>
      <c r="G223" s="180" t="s">
        <v>292</v>
      </c>
      <c r="H223" s="43">
        <f t="shared" si="5"/>
        <v>8805823.034</v>
      </c>
    </row>
    <row r="224" spans="8:8">
      <c r="A224" s="175" t="s">
        <v>241</v>
      </c>
      <c r="B224" s="16" t="s">
        <v>196</v>
      </c>
      <c r="C224" s="235">
        <v>0.01</v>
      </c>
      <c r="D224" s="235">
        <v>8502609.024</v>
      </c>
      <c r="E224" s="20">
        <v>121286.0</v>
      </c>
      <c r="F224" s="20">
        <v>181928.0</v>
      </c>
      <c r="G224" s="180" t="s">
        <v>292</v>
      </c>
      <c r="H224" s="43">
        <f t="shared" si="5"/>
        <v>8805823.034</v>
      </c>
    </row>
    <row r="225" spans="8:8">
      <c r="A225" s="175" t="s">
        <v>242</v>
      </c>
      <c r="B225" s="4" t="s">
        <v>196</v>
      </c>
      <c r="C225" s="235">
        <v>0.01</v>
      </c>
      <c r="D225" s="235">
        <v>8502609.024</v>
      </c>
      <c r="E225" s="20">
        <v>121286.0</v>
      </c>
      <c r="F225" s="20">
        <v>181928.0</v>
      </c>
      <c r="G225" s="180" t="s">
        <v>292</v>
      </c>
      <c r="H225" s="43">
        <f t="shared" si="5"/>
        <v>8805823.034</v>
      </c>
    </row>
    <row r="226" spans="8:8">
      <c r="A226" s="175" t="s">
        <v>243</v>
      </c>
      <c r="B226" s="4" t="s">
        <v>196</v>
      </c>
      <c r="C226" s="235">
        <v>0.01</v>
      </c>
      <c r="D226" s="235">
        <v>8502609.024</v>
      </c>
      <c r="E226" s="20">
        <v>121286.0</v>
      </c>
      <c r="F226" s="20">
        <v>181928.0</v>
      </c>
      <c r="G226" s="180" t="s">
        <v>292</v>
      </c>
      <c r="H226" s="43">
        <f t="shared" si="5"/>
        <v>8805823.034</v>
      </c>
      <c r="I226" s="49"/>
    </row>
    <row r="227" spans="8:8" s="49" ht="15.0" customFormat="1">
      <c r="A227" s="175" t="s">
        <v>244</v>
      </c>
      <c r="B227" s="4" t="s">
        <v>196</v>
      </c>
      <c r="C227" s="235">
        <v>0.01</v>
      </c>
      <c r="D227" s="235">
        <v>8502609.024</v>
      </c>
      <c r="E227" s="20">
        <v>121286.0</v>
      </c>
      <c r="F227" s="20">
        <v>181928.0</v>
      </c>
      <c r="G227" s="180" t="s">
        <v>292</v>
      </c>
      <c r="H227" s="241">
        <f t="shared" si="5"/>
        <v>8805823.034</v>
      </c>
      <c r="I227" s="39"/>
    </row>
    <row r="228" spans="8:8">
      <c r="A228" s="175" t="s">
        <v>246</v>
      </c>
      <c r="B228" s="4" t="s">
        <v>196</v>
      </c>
      <c r="C228" s="235">
        <v>0.01</v>
      </c>
      <c r="D228" s="235">
        <v>8502609.024</v>
      </c>
      <c r="E228" s="20">
        <v>121286.0</v>
      </c>
      <c r="F228" s="20">
        <v>181928.0</v>
      </c>
      <c r="G228" s="180" t="s">
        <v>292</v>
      </c>
      <c r="H228" s="43">
        <f t="shared" si="5"/>
        <v>8805823.034</v>
      </c>
    </row>
    <row r="229" spans="8:8">
      <c r="A229" s="175" t="s">
        <v>247</v>
      </c>
      <c r="B229" s="4" t="s">
        <v>196</v>
      </c>
      <c r="C229" s="235">
        <v>0.01</v>
      </c>
      <c r="D229" s="235">
        <v>8502609.024</v>
      </c>
      <c r="E229" s="20">
        <v>121286.0</v>
      </c>
      <c r="F229" s="20">
        <v>181928.0</v>
      </c>
      <c r="G229" s="180" t="s">
        <v>292</v>
      </c>
      <c r="H229" s="43">
        <f t="shared" si="5"/>
        <v>8805823.034</v>
      </c>
    </row>
    <row r="230" spans="8:8">
      <c r="A230" s="175" t="s">
        <v>248</v>
      </c>
      <c r="B230" s="4" t="s">
        <v>196</v>
      </c>
      <c r="C230" s="235">
        <v>0.01</v>
      </c>
      <c r="D230" s="235">
        <v>8502609.024</v>
      </c>
      <c r="E230" s="20">
        <v>121286.0</v>
      </c>
      <c r="F230" s="20">
        <v>181928.0</v>
      </c>
      <c r="G230" s="180" t="s">
        <v>292</v>
      </c>
      <c r="H230" s="43">
        <f t="shared" si="5"/>
        <v>8805823.034</v>
      </c>
    </row>
    <row r="231" spans="8:8">
      <c r="A231" s="175" t="s">
        <v>249</v>
      </c>
      <c r="B231" s="4" t="s">
        <v>196</v>
      </c>
      <c r="C231" s="235">
        <v>0.01</v>
      </c>
      <c r="D231" s="235">
        <v>8502609.024</v>
      </c>
      <c r="E231" s="20">
        <v>121286.0</v>
      </c>
      <c r="F231" s="20">
        <v>181928.0</v>
      </c>
      <c r="G231" s="180" t="s">
        <v>292</v>
      </c>
      <c r="H231" s="43">
        <f t="shared" si="5"/>
        <v>8805823.034</v>
      </c>
    </row>
    <row r="232" spans="8:8">
      <c r="A232" s="175" t="s">
        <v>250</v>
      </c>
      <c r="B232" s="4" t="s">
        <v>196</v>
      </c>
      <c r="C232" s="235">
        <v>0.01</v>
      </c>
      <c r="D232" s="235">
        <v>8502609.024</v>
      </c>
      <c r="E232" s="20">
        <v>121286.0</v>
      </c>
      <c r="F232" s="20">
        <v>181928.0</v>
      </c>
      <c r="G232" s="180" t="s">
        <v>292</v>
      </c>
      <c r="H232" s="43">
        <f t="shared" si="5"/>
        <v>8805823.034</v>
      </c>
    </row>
    <row r="233" spans="8:8">
      <c r="A233" s="175" t="s">
        <v>251</v>
      </c>
      <c r="B233" s="4" t="s">
        <v>196</v>
      </c>
      <c r="C233" s="235">
        <v>0.01</v>
      </c>
      <c r="D233" s="235">
        <v>8502609.024</v>
      </c>
      <c r="E233" s="20">
        <v>121286.0</v>
      </c>
      <c r="F233" s="20">
        <v>181928.0</v>
      </c>
      <c r="G233" s="180" t="s">
        <v>292</v>
      </c>
      <c r="H233" s="43">
        <f t="shared" si="5"/>
        <v>8805823.034</v>
      </c>
    </row>
    <row r="234" spans="8:8">
      <c r="A234" s="175" t="s">
        <v>252</v>
      </c>
      <c r="B234" s="4" t="s">
        <v>196</v>
      </c>
      <c r="C234" s="235">
        <v>0.01</v>
      </c>
      <c r="D234" s="235">
        <v>8502609.024</v>
      </c>
      <c r="E234" s="20">
        <v>121286.0</v>
      </c>
      <c r="F234" s="20">
        <v>181928.0</v>
      </c>
      <c r="G234" s="180" t="s">
        <v>292</v>
      </c>
      <c r="H234" s="43">
        <f t="shared" si="5"/>
        <v>8805823.034</v>
      </c>
    </row>
    <row r="235" spans="8:8" ht="15.75">
      <c r="A235" s="298" t="s">
        <v>401</v>
      </c>
      <c r="B235" s="4" t="s">
        <v>196</v>
      </c>
      <c r="C235" s="235">
        <v>0.01</v>
      </c>
      <c r="D235" s="235">
        <v>8502609.024</v>
      </c>
      <c r="E235" s="20">
        <v>121286.0</v>
      </c>
      <c r="F235" s="20">
        <v>181928.0</v>
      </c>
      <c r="G235" s="180" t="s">
        <v>292</v>
      </c>
      <c r="H235" s="43">
        <f t="shared" si="5"/>
        <v>8805823.034</v>
      </c>
    </row>
    <row r="236" spans="8:8">
      <c r="A236" s="175" t="s">
        <v>254</v>
      </c>
      <c r="B236" s="4" t="s">
        <v>196</v>
      </c>
      <c r="C236" s="235">
        <v>0.01</v>
      </c>
      <c r="D236" s="235">
        <v>8502609.024</v>
      </c>
      <c r="E236" s="20">
        <v>121286.0</v>
      </c>
      <c r="F236" s="20">
        <v>181928.0</v>
      </c>
      <c r="G236" s="180" t="s">
        <v>292</v>
      </c>
      <c r="H236" s="43">
        <f t="shared" si="5"/>
        <v>8805823.034</v>
      </c>
    </row>
    <row r="237" spans="8:8">
      <c r="A237" s="175" t="s">
        <v>255</v>
      </c>
      <c r="B237" s="4" t="s">
        <v>196</v>
      </c>
      <c r="C237" s="235">
        <v>0.01</v>
      </c>
      <c r="D237" s="235">
        <v>8502609.024</v>
      </c>
      <c r="E237" s="20">
        <v>121286.0</v>
      </c>
      <c r="F237" s="20">
        <v>181928.0</v>
      </c>
      <c r="G237" s="180" t="s">
        <v>292</v>
      </c>
      <c r="H237" s="43">
        <f t="shared" si="5"/>
        <v>8805823.034</v>
      </c>
    </row>
    <row r="238" spans="8:8">
      <c r="A238" s="175" t="s">
        <v>256</v>
      </c>
      <c r="B238" s="4" t="s">
        <v>196</v>
      </c>
      <c r="C238" s="235">
        <v>0.01</v>
      </c>
      <c r="D238" s="235">
        <v>8502609.024</v>
      </c>
      <c r="E238" s="20">
        <v>121286.0</v>
      </c>
      <c r="F238" s="20">
        <v>181928.0</v>
      </c>
      <c r="G238" s="180" t="s">
        <v>292</v>
      </c>
      <c r="H238" s="43">
        <f t="shared" si="5"/>
        <v>8805823.034</v>
      </c>
    </row>
    <row r="239" spans="8:8">
      <c r="A239" s="175" t="s">
        <v>257</v>
      </c>
      <c r="B239" s="4" t="s">
        <v>196</v>
      </c>
      <c r="C239" s="235">
        <v>0.01</v>
      </c>
      <c r="D239" s="235">
        <v>8502609.024</v>
      </c>
      <c r="E239" s="20">
        <v>121286.0</v>
      </c>
      <c r="F239" s="20">
        <v>181928.0</v>
      </c>
      <c r="G239" s="180" t="s">
        <v>292</v>
      </c>
      <c r="H239" s="43">
        <f t="shared" si="5"/>
        <v>8805823.034</v>
      </c>
    </row>
    <row r="240" spans="8:8">
      <c r="A240" s="175" t="s">
        <v>258</v>
      </c>
      <c r="B240" s="4" t="s">
        <v>196</v>
      </c>
      <c r="C240" s="235">
        <v>0.01</v>
      </c>
      <c r="D240" s="235">
        <v>8502609.024</v>
      </c>
      <c r="E240" s="20">
        <v>121286.0</v>
      </c>
      <c r="F240" s="20">
        <v>181928.0</v>
      </c>
      <c r="G240" s="180" t="s">
        <v>292</v>
      </c>
      <c r="H240" s="43">
        <f t="shared" si="5"/>
        <v>8805823.034</v>
      </c>
    </row>
    <row r="241" spans="8:8">
      <c r="A241" s="175" t="s">
        <v>259</v>
      </c>
      <c r="B241" s="4" t="s">
        <v>196</v>
      </c>
      <c r="C241" s="235">
        <v>0.01</v>
      </c>
      <c r="D241" s="235">
        <v>8502609.024</v>
      </c>
      <c r="E241" s="20">
        <v>121286.0</v>
      </c>
      <c r="F241" s="20">
        <v>181928.0</v>
      </c>
      <c r="G241" s="180" t="s">
        <v>292</v>
      </c>
      <c r="H241" s="43">
        <f t="shared" si="5"/>
        <v>8805823.034</v>
      </c>
    </row>
    <row r="242" spans="8:8">
      <c r="A242" s="175" t="s">
        <v>260</v>
      </c>
      <c r="B242" s="4" t="s">
        <v>196</v>
      </c>
      <c r="C242" s="235">
        <v>3619748.3296000003</v>
      </c>
      <c r="D242" s="235">
        <v>1.0212397977599999E7</v>
      </c>
      <c r="E242" s="20">
        <v>121286.0</v>
      </c>
      <c r="F242" s="20">
        <v>181928.0</v>
      </c>
      <c r="G242" s="180" t="s">
        <v>292</v>
      </c>
      <c r="H242" s="43">
        <f t="shared" si="5"/>
        <v>1.41353603072E7</v>
      </c>
    </row>
    <row r="243" spans="8:8">
      <c r="A243" s="175" t="s">
        <v>262</v>
      </c>
      <c r="B243" s="4" t="s">
        <v>196</v>
      </c>
      <c r="C243" s="235">
        <v>0.01</v>
      </c>
      <c r="D243" s="235">
        <v>1.0203130828799998E7</v>
      </c>
      <c r="E243" s="20">
        <v>121286.0</v>
      </c>
      <c r="F243" s="20">
        <v>181928.0</v>
      </c>
      <c r="G243" s="180" t="s">
        <v>292</v>
      </c>
      <c r="H243" s="43">
        <f t="shared" si="5"/>
        <v>1.0506344838799998E7</v>
      </c>
    </row>
    <row r="244" spans="8:8">
      <c r="A244" s="175" t="s">
        <v>265</v>
      </c>
      <c r="B244" s="4" t="s">
        <v>196</v>
      </c>
      <c r="C244" s="235">
        <v>0.01</v>
      </c>
      <c r="D244" s="235">
        <v>8502609.024</v>
      </c>
      <c r="E244" s="20">
        <v>121286.0</v>
      </c>
      <c r="F244" s="20">
        <v>181928.0</v>
      </c>
      <c r="G244" s="180" t="s">
        <v>292</v>
      </c>
      <c r="H244" s="43">
        <f t="shared" si="5"/>
        <v>8805823.034</v>
      </c>
    </row>
    <row r="245" spans="8:8">
      <c r="A245" s="175" t="s">
        <v>266</v>
      </c>
      <c r="B245" s="4" t="s">
        <v>196</v>
      </c>
      <c r="C245" s="235">
        <v>0.01</v>
      </c>
      <c r="D245" s="235">
        <v>8502609.024</v>
      </c>
      <c r="E245" s="20">
        <v>121286.0</v>
      </c>
      <c r="F245" s="20">
        <v>181928.0</v>
      </c>
      <c r="G245" s="180" t="s">
        <v>292</v>
      </c>
      <c r="H245" s="43">
        <f t="shared" si="5"/>
        <v>8805823.034</v>
      </c>
    </row>
    <row r="246" spans="8:8">
      <c r="A246" s="175" t="s">
        <v>267</v>
      </c>
      <c r="B246" s="4" t="s">
        <v>196</v>
      </c>
      <c r="C246" s="235">
        <v>0.01</v>
      </c>
      <c r="D246" s="235">
        <v>8502609.024</v>
      </c>
      <c r="E246" s="20">
        <v>121286.0</v>
      </c>
      <c r="F246" s="20">
        <v>181928.0</v>
      </c>
      <c r="G246" s="180" t="s">
        <v>292</v>
      </c>
      <c r="H246" s="43">
        <f t="shared" si="5"/>
        <v>8805823.034</v>
      </c>
    </row>
    <row r="247" spans="8:8">
      <c r="A247" s="175" t="s">
        <v>268</v>
      </c>
      <c r="B247" s="4" t="s">
        <v>196</v>
      </c>
      <c r="C247" s="235">
        <v>0.01</v>
      </c>
      <c r="D247" s="235">
        <v>8502609.024</v>
      </c>
      <c r="E247" s="20">
        <v>121286.0</v>
      </c>
      <c r="F247" s="20">
        <v>181928.0</v>
      </c>
      <c r="G247" s="180" t="s">
        <v>292</v>
      </c>
      <c r="H247" s="43">
        <f t="shared" si="5"/>
        <v>8805823.034</v>
      </c>
    </row>
    <row r="248" spans="8:8">
      <c r="A248" s="175" t="s">
        <v>269</v>
      </c>
      <c r="B248" s="4" t="s">
        <v>196</v>
      </c>
      <c r="C248" s="235">
        <v>0.01</v>
      </c>
      <c r="D248" s="235">
        <v>8502609.024</v>
      </c>
      <c r="E248" s="20">
        <v>121286.0</v>
      </c>
      <c r="F248" s="20">
        <v>181928.0</v>
      </c>
      <c r="G248" s="180" t="s">
        <v>292</v>
      </c>
      <c r="H248" s="43">
        <f t="shared" si="5"/>
        <v>8805823.034</v>
      </c>
    </row>
    <row r="249" spans="8:8">
      <c r="A249" s="175" t="s">
        <v>270</v>
      </c>
      <c r="B249" s="4" t="s">
        <v>196</v>
      </c>
      <c r="C249" s="235">
        <v>0.01</v>
      </c>
      <c r="D249" s="235">
        <v>8502609.024</v>
      </c>
      <c r="E249" s="20">
        <v>121286.0</v>
      </c>
      <c r="F249" s="20">
        <v>181928.0</v>
      </c>
      <c r="G249" s="180" t="s">
        <v>292</v>
      </c>
      <c r="H249" s="43">
        <f t="shared" si="5"/>
        <v>8805823.034</v>
      </c>
    </row>
    <row r="250" spans="8:8">
      <c r="A250" s="175" t="s">
        <v>271</v>
      </c>
      <c r="B250" s="4" t="s">
        <v>196</v>
      </c>
      <c r="C250" s="235">
        <v>0.01</v>
      </c>
      <c r="D250" s="235">
        <v>8502609.024</v>
      </c>
      <c r="E250" s="20">
        <v>121286.0</v>
      </c>
      <c r="F250" s="20">
        <v>181928.0</v>
      </c>
      <c r="G250" s="180" t="s">
        <v>292</v>
      </c>
      <c r="H250" s="43">
        <f t="shared" si="5"/>
        <v>8805823.034</v>
      </c>
    </row>
    <row r="251" spans="8:8">
      <c r="A251" s="175" t="s">
        <v>272</v>
      </c>
      <c r="B251" s="4" t="s">
        <v>196</v>
      </c>
      <c r="C251" s="235">
        <v>0.01</v>
      </c>
      <c r="D251" s="235">
        <v>8502609.024</v>
      </c>
      <c r="E251" s="20">
        <v>121286.0</v>
      </c>
      <c r="F251" s="20">
        <v>181928.0</v>
      </c>
      <c r="G251" s="180" t="s">
        <v>292</v>
      </c>
      <c r="H251" s="43">
        <f t="shared" si="5"/>
        <v>8805823.034</v>
      </c>
    </row>
    <row r="252" spans="8:8">
      <c r="A252" s="175" t="s">
        <v>273</v>
      </c>
      <c r="B252" s="4" t="s">
        <v>196</v>
      </c>
      <c r="C252" s="235">
        <v>0.01</v>
      </c>
      <c r="D252" s="235">
        <v>8502609.024</v>
      </c>
      <c r="E252" s="20">
        <v>121286.0</v>
      </c>
      <c r="F252" s="20">
        <v>181928.0</v>
      </c>
      <c r="G252" s="180" t="s">
        <v>292</v>
      </c>
      <c r="H252" s="43">
        <f t="shared" si="5"/>
        <v>8805823.034</v>
      </c>
    </row>
    <row r="253" spans="8:8">
      <c r="A253" s="175" t="s">
        <v>274</v>
      </c>
      <c r="B253" s="4" t="s">
        <v>196</v>
      </c>
      <c r="C253" s="235">
        <v>0.01</v>
      </c>
      <c r="D253" s="235">
        <v>8502609.024</v>
      </c>
      <c r="E253" s="20">
        <v>121286.0</v>
      </c>
      <c r="F253" s="20">
        <v>181928.0</v>
      </c>
      <c r="G253" s="180" t="s">
        <v>292</v>
      </c>
      <c r="H253" s="43">
        <f t="shared" si="5"/>
        <v>8805823.034</v>
      </c>
    </row>
    <row r="254" spans="8:8">
      <c r="A254" s="175" t="s">
        <v>275</v>
      </c>
      <c r="B254" s="4" t="s">
        <v>196</v>
      </c>
      <c r="C254" s="235">
        <v>0.01</v>
      </c>
      <c r="D254" s="235">
        <v>8502609.024</v>
      </c>
      <c r="E254" s="20">
        <v>121286.0</v>
      </c>
      <c r="F254" s="20">
        <v>181928.0</v>
      </c>
      <c r="G254" s="180" t="s">
        <v>292</v>
      </c>
      <c r="H254" s="43">
        <f t="shared" si="6" ref="H254:H266">SUM(C254:F254)</f>
        <v>8805823.034</v>
      </c>
    </row>
    <row r="255" spans="8:8">
      <c r="A255" s="175" t="s">
        <v>276</v>
      </c>
      <c r="B255" s="4" t="s">
        <v>196</v>
      </c>
      <c r="C255" s="235">
        <v>0.01</v>
      </c>
      <c r="D255" s="235">
        <v>8502609.024</v>
      </c>
      <c r="E255" s="20">
        <v>121286.0</v>
      </c>
      <c r="F255" s="20">
        <v>181928.0</v>
      </c>
      <c r="G255" s="180" t="s">
        <v>292</v>
      </c>
      <c r="H255" s="43">
        <f t="shared" si="6"/>
        <v>8805823.034</v>
      </c>
    </row>
    <row r="256" spans="8:8">
      <c r="A256" s="296" t="s">
        <v>277</v>
      </c>
      <c r="B256" s="4" t="s">
        <v>196</v>
      </c>
      <c r="C256" s="235">
        <v>0.01</v>
      </c>
      <c r="D256" s="235">
        <v>8502609.024</v>
      </c>
      <c r="E256" s="20">
        <v>121286.0</v>
      </c>
      <c r="F256" s="20">
        <v>181928.0</v>
      </c>
      <c r="G256" s="180" t="s">
        <v>292</v>
      </c>
      <c r="H256" s="43">
        <f t="shared" si="6"/>
        <v>8805823.034</v>
      </c>
    </row>
    <row r="257" spans="8:8">
      <c r="A257" s="175" t="s">
        <v>280</v>
      </c>
      <c r="B257" s="4" t="s">
        <v>196</v>
      </c>
      <c r="C257" s="235">
        <v>3619748.3212800007</v>
      </c>
      <c r="D257" s="235">
        <v>1.0212397977599999E7</v>
      </c>
      <c r="E257" s="20">
        <v>121286.0</v>
      </c>
      <c r="F257" s="20">
        <v>181928.0</v>
      </c>
      <c r="G257" s="180" t="s">
        <v>292</v>
      </c>
      <c r="H257" s="43">
        <f t="shared" si="6"/>
        <v>1.413536029888E7</v>
      </c>
    </row>
    <row r="258" spans="8:8">
      <c r="A258" s="301" t="s">
        <v>281</v>
      </c>
      <c r="B258" s="208" t="s">
        <v>282</v>
      </c>
      <c r="C258" s="302">
        <v>1.0E7</v>
      </c>
      <c r="D258" s="218" t="s">
        <v>292</v>
      </c>
      <c r="E258" s="180" t="s">
        <v>292</v>
      </c>
      <c r="F258" s="180" t="s">
        <v>292</v>
      </c>
      <c r="G258" s="180" t="s">
        <v>292</v>
      </c>
      <c r="H258" s="303">
        <f t="shared" si="6"/>
        <v>1.0E7</v>
      </c>
    </row>
    <row r="259" spans="8:8">
      <c r="A259" s="301" t="s">
        <v>283</v>
      </c>
      <c r="B259" s="208" t="s">
        <v>282</v>
      </c>
      <c r="C259" s="302">
        <v>1.0E7</v>
      </c>
      <c r="D259" s="218" t="s">
        <v>292</v>
      </c>
      <c r="E259" s="180" t="s">
        <v>292</v>
      </c>
      <c r="F259" s="180" t="s">
        <v>292</v>
      </c>
      <c r="G259" s="180" t="s">
        <v>292</v>
      </c>
      <c r="H259" s="303">
        <f t="shared" si="6"/>
        <v>1.0E7</v>
      </c>
    </row>
    <row r="260" spans="8:8">
      <c r="A260" s="301" t="s">
        <v>284</v>
      </c>
      <c r="B260" s="208" t="s">
        <v>285</v>
      </c>
      <c r="C260" s="211">
        <v>40000.0</v>
      </c>
      <c r="D260" s="218" t="s">
        <v>292</v>
      </c>
      <c r="E260" s="180" t="s">
        <v>292</v>
      </c>
      <c r="F260" s="180" t="s">
        <v>292</v>
      </c>
      <c r="G260" s="180" t="s">
        <v>292</v>
      </c>
      <c r="H260" s="303">
        <f>SUM(C260:F260)</f>
        <v>40000.0</v>
      </c>
    </row>
    <row r="261" spans="8:8">
      <c r="A261" s="301" t="s">
        <v>286</v>
      </c>
      <c r="B261" s="208" t="s">
        <v>285</v>
      </c>
      <c r="C261" s="211">
        <v>60400.0</v>
      </c>
      <c r="D261" s="218" t="s">
        <v>292</v>
      </c>
      <c r="E261" s="180" t="s">
        <v>292</v>
      </c>
      <c r="F261" s="180" t="s">
        <v>292</v>
      </c>
      <c r="G261" s="180" t="s">
        <v>292</v>
      </c>
      <c r="H261" s="303">
        <f>SUM(C261:F261)</f>
        <v>60400.0</v>
      </c>
    </row>
    <row r="262" spans="8:8">
      <c r="A262" s="296" t="s">
        <v>4</v>
      </c>
      <c r="B262" s="16" t="s">
        <v>285</v>
      </c>
      <c r="C262" s="20">
        <v>121286.0</v>
      </c>
      <c r="D262" s="218" t="s">
        <v>292</v>
      </c>
      <c r="E262" s="180" t="s">
        <v>292</v>
      </c>
      <c r="F262" s="180" t="s">
        <v>292</v>
      </c>
      <c r="G262" s="180" t="s">
        <v>292</v>
      </c>
      <c r="H262" s="303">
        <f>SUM(C262:F262)</f>
        <v>121286.0</v>
      </c>
    </row>
    <row r="263" spans="8:8">
      <c r="A263" s="296" t="s">
        <v>287</v>
      </c>
      <c r="B263" s="16" t="s">
        <v>285</v>
      </c>
      <c r="C263" s="20">
        <v>363856.0</v>
      </c>
      <c r="D263" s="218" t="s">
        <v>292</v>
      </c>
      <c r="E263" s="180" t="s">
        <v>292</v>
      </c>
      <c r="F263" s="180" t="s">
        <v>292</v>
      </c>
      <c r="G263" s="180" t="s">
        <v>292</v>
      </c>
      <c r="H263" s="303">
        <f t="shared" si="6"/>
        <v>363856.0</v>
      </c>
    </row>
    <row r="264" spans="8:8">
      <c r="A264" s="296" t="s">
        <v>319</v>
      </c>
      <c r="B264" s="16" t="s">
        <v>285</v>
      </c>
      <c r="C264" s="20">
        <v>220000.0</v>
      </c>
      <c r="D264" s="218" t="s">
        <v>292</v>
      </c>
      <c r="E264" s="180" t="s">
        <v>292</v>
      </c>
      <c r="F264" s="180" t="s">
        <v>292</v>
      </c>
      <c r="G264" s="180" t="s">
        <v>292</v>
      </c>
      <c r="H264" s="303">
        <f t="shared" si="6"/>
        <v>220000.0</v>
      </c>
    </row>
    <row r="265" spans="8:8">
      <c r="A265" s="296" t="s">
        <v>5</v>
      </c>
      <c r="B265" s="16" t="s">
        <v>285</v>
      </c>
      <c r="C265" s="20">
        <v>181928.0</v>
      </c>
      <c r="D265" s="218" t="s">
        <v>292</v>
      </c>
      <c r="E265" s="180" t="s">
        <v>292</v>
      </c>
      <c r="F265" s="180" t="s">
        <v>292</v>
      </c>
      <c r="G265" s="180" t="s">
        <v>292</v>
      </c>
      <c r="H265" s="303">
        <f t="shared" si="6"/>
        <v>181928.0</v>
      </c>
    </row>
    <row r="266" spans="8:8">
      <c r="A266" s="296" t="s">
        <v>288</v>
      </c>
      <c r="B266" s="16" t="s">
        <v>285</v>
      </c>
      <c r="C266" s="20">
        <v>606424.0</v>
      </c>
      <c r="D266" s="218" t="s">
        <v>292</v>
      </c>
      <c r="E266" s="180" t="s">
        <v>292</v>
      </c>
      <c r="F266" s="180" t="s">
        <v>292</v>
      </c>
      <c r="G266" s="180" t="s">
        <v>292</v>
      </c>
      <c r="H266" s="303">
        <f t="shared" si="6"/>
        <v>606424.0</v>
      </c>
    </row>
    <row r="267" spans="8:8">
      <c r="A267" s="301" t="s">
        <v>291</v>
      </c>
      <c r="B267" s="208" t="s">
        <v>290</v>
      </c>
      <c r="C267" s="235">
        <v>2876487.34464</v>
      </c>
      <c r="D267" s="235">
        <v>2876487.34464</v>
      </c>
      <c r="E267" s="241">
        <v>121286.0</v>
      </c>
      <c r="F267" s="241">
        <v>181928.0</v>
      </c>
      <c r="G267" s="180" t="s">
        <v>292</v>
      </c>
      <c r="H267" s="303">
        <f>SUM(C267:F267)</f>
        <v>6056188.68928</v>
      </c>
    </row>
    <row r="268" spans="8:8">
      <c r="B268" s="71"/>
      <c r="C268" s="161"/>
      <c r="D268" s="161"/>
      <c r="E268" s="191"/>
    </row>
    <row r="269" spans="8:8">
      <c r="B269" s="71"/>
      <c r="C269" s="161"/>
      <c r="D269" s="161"/>
      <c r="E269" s="191"/>
    </row>
    <row r="270" spans="8:8">
      <c r="E270" s="191"/>
    </row>
    <row r="273" spans="8:8">
      <c r="A273" s="290" t="s">
        <v>351</v>
      </c>
    </row>
    <row r="276" spans="8:8">
      <c r="D276" s="300"/>
    </row>
    <row r="282" spans="8:8">
      <c r="I282" s="49"/>
    </row>
    <row r="283" spans="8:8" s="49" ht="15.0" customFormat="1">
      <c r="A283" s="290"/>
      <c r="B283" s="39"/>
      <c r="C283" s="40"/>
      <c r="D283" s="40"/>
      <c r="E283" s="163"/>
      <c r="F283" s="163"/>
      <c r="G283" s="163"/>
      <c r="H283" s="161"/>
    </row>
    <row r="291" spans="8:8" s="49" ht="15.0" customFormat="1">
      <c r="A291" s="290"/>
      <c r="B291" s="39"/>
      <c r="C291" s="40"/>
      <c r="D291" s="40"/>
      <c r="E291" s="163"/>
      <c r="F291" s="163"/>
      <c r="G291" s="163"/>
      <c r="H291" s="161"/>
    </row>
    <row r="294" spans="8:8" s="49" ht="15.0" customFormat="1">
      <c r="A294" s="290"/>
      <c r="B294" s="39"/>
      <c r="C294" s="40"/>
      <c r="D294" s="40"/>
      <c r="E294" s="163"/>
      <c r="F294" s="163"/>
      <c r="G294" s="163"/>
      <c r="H294" s="161"/>
    </row>
    <row r="295" spans="8:8" s="49" ht="15.0" customFormat="1">
      <c r="A295" s="290"/>
      <c r="B295" s="39"/>
      <c r="C295" s="40"/>
      <c r="D295" s="40"/>
      <c r="E295" s="163"/>
      <c r="F295" s="163"/>
      <c r="G295" s="163"/>
      <c r="H295" s="161"/>
    </row>
    <row r="296" spans="8:8">
      <c r="I296" s="71"/>
    </row>
    <row r="297" spans="8:8">
      <c r="I297" s="71"/>
    </row>
  </sheetData>
  <pageMargins left="0.23" right="0.13" top="0.45" bottom="0.3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:Q297"/>
  <sheetViews>
    <sheetView workbookViewId="0">
      <selection activeCell="H7" sqref="H7"/>
    </sheetView>
  </sheetViews>
  <sheetFormatPr defaultRowHeight="15.0" defaultColWidth="10"/>
  <cols>
    <col min="1" max="1" customWidth="1" width="64.71094" style="38"/>
    <col min="2" max="2" customWidth="1" width="12.5703125" style="304"/>
    <col min="3" max="3" hidden="1" customWidth="1" width="12.425781" style="40"/>
    <col min="4" max="4" hidden="1" customWidth="1" width="15.285156" style="40"/>
    <col min="5" max="5" hidden="1" customWidth="1" width="12.855469" style="163"/>
    <col min="6" max="6" hidden="1" customWidth="1" width="18.140625" style="163"/>
    <col min="7" max="7" hidden="1" customWidth="1" width="19.710938" style="163"/>
    <col min="8" max="8" customWidth="1" width="14.5703125" style="161"/>
    <col min="9" max="10" customWidth="1" width="11.425781" style="39"/>
    <col min="11" max="11" customWidth="1" bestFit="1" width="12.5703125" style="39"/>
    <col min="12" max="16384" customWidth="0" width="11.425781" style="39"/>
  </cols>
  <sheetData>
    <row r="1" spans="8:8">
      <c r="A1" s="1" t="s">
        <v>402</v>
      </c>
      <c r="B1" s="1" t="s">
        <v>1</v>
      </c>
      <c r="C1" s="2" t="s">
        <v>2</v>
      </c>
      <c r="D1" s="2" t="s">
        <v>3</v>
      </c>
      <c r="E1" s="80" t="s">
        <v>4</v>
      </c>
      <c r="F1" s="80" t="s">
        <v>5</v>
      </c>
      <c r="G1" s="80" t="s">
        <v>319</v>
      </c>
      <c r="H1" s="2" t="s">
        <v>294</v>
      </c>
    </row>
    <row r="2" spans="8:8">
      <c r="A2" s="3" t="s">
        <v>7</v>
      </c>
      <c r="B2" s="305" t="s">
        <v>8</v>
      </c>
      <c r="C2" s="93">
        <v>0.01</v>
      </c>
      <c r="D2" s="93">
        <v>2009349.53856</v>
      </c>
      <c r="E2" s="20">
        <v>242572.0</v>
      </c>
      <c r="F2" s="20">
        <v>363856.0</v>
      </c>
      <c r="G2" s="180" t="s">
        <v>292</v>
      </c>
      <c r="H2" s="43">
        <f>SUM(C2:G2)</f>
        <v>2615777.54856</v>
      </c>
    </row>
    <row r="3" spans="8:8">
      <c r="A3" s="3" t="s">
        <v>9</v>
      </c>
      <c r="B3" s="305" t="s">
        <v>8</v>
      </c>
      <c r="C3" s="93">
        <v>0.01</v>
      </c>
      <c r="D3" s="93">
        <v>2009349.53856</v>
      </c>
      <c r="E3" s="20">
        <v>242572.0</v>
      </c>
      <c r="F3" s="20">
        <v>363856.0</v>
      </c>
      <c r="G3" s="180" t="s">
        <v>292</v>
      </c>
      <c r="H3" s="43">
        <f>SUM(C3:F3)</f>
        <v>2615777.54856</v>
      </c>
    </row>
    <row r="4" spans="8:8">
      <c r="A4" s="3" t="s">
        <v>10</v>
      </c>
      <c r="B4" s="305" t="s">
        <v>8</v>
      </c>
      <c r="C4" s="93">
        <v>0.01</v>
      </c>
      <c r="D4" s="93">
        <v>2009349.53856</v>
      </c>
      <c r="E4" s="20">
        <v>242572.0</v>
      </c>
      <c r="F4" s="20">
        <v>363856.0</v>
      </c>
      <c r="G4" s="180" t="s">
        <v>292</v>
      </c>
      <c r="H4" s="43">
        <f>SUM(C4:F4)</f>
        <v>2615777.54856</v>
      </c>
    </row>
    <row r="5" spans="8:8">
      <c r="A5" s="3" t="s">
        <v>11</v>
      </c>
      <c r="B5" s="305" t="s">
        <v>8</v>
      </c>
      <c r="C5" s="62">
        <v>0.01</v>
      </c>
      <c r="D5" s="93">
        <v>4018699.0921199997</v>
      </c>
      <c r="E5" s="20">
        <v>242572.0</v>
      </c>
      <c r="F5" s="20">
        <v>363856.0</v>
      </c>
      <c r="G5" s="180" t="s">
        <v>292</v>
      </c>
      <c r="H5" s="43">
        <f t="shared" si="0" ref="H5:H49">SUM(C5:G5)</f>
        <v>4625127.102119999</v>
      </c>
    </row>
    <row r="6" spans="8:8">
      <c r="A6" s="292" t="s">
        <v>379</v>
      </c>
      <c r="B6" s="306" t="s">
        <v>13</v>
      </c>
      <c r="C6" s="93">
        <v>1480159.6992000001</v>
      </c>
      <c r="D6" s="93">
        <v>825221.7792</v>
      </c>
      <c r="E6" s="20">
        <v>242572.0</v>
      </c>
      <c r="F6" s="20">
        <v>363856.0</v>
      </c>
      <c r="G6" s="20">
        <v>440000.0</v>
      </c>
      <c r="H6" s="43">
        <f t="shared" si="0"/>
        <v>3351809.4784000004</v>
      </c>
      <c r="I6" s="71"/>
      <c r="J6" s="71"/>
      <c r="K6" s="71"/>
      <c r="L6" s="71"/>
      <c r="M6" s="71"/>
      <c r="N6" s="71"/>
    </row>
    <row r="7" spans="8:8" s="293" ht="15.0" customFormat="1">
      <c r="A7" s="292" t="s">
        <v>380</v>
      </c>
      <c r="B7" s="307" t="s">
        <v>13</v>
      </c>
      <c r="C7" s="235">
        <v>986773.1328</v>
      </c>
      <c r="D7" s="235">
        <v>550147.8528</v>
      </c>
      <c r="E7" s="20">
        <v>121286.0</v>
      </c>
      <c r="F7" s="20">
        <v>181928.0</v>
      </c>
      <c r="G7" s="20">
        <v>220000.0</v>
      </c>
      <c r="H7" s="205">
        <f>H6*2</f>
        <v>6703618.956800001</v>
      </c>
      <c r="I7" s="295"/>
      <c r="J7" s="295"/>
      <c r="K7" s="295"/>
      <c r="L7" s="295"/>
      <c r="M7" s="295"/>
    </row>
    <row r="8" spans="8:8">
      <c r="A8" s="3" t="s">
        <v>15</v>
      </c>
      <c r="B8" s="305" t="s">
        <v>13</v>
      </c>
      <c r="C8" s="93">
        <v>1480159.6992000001</v>
      </c>
      <c r="D8" s="93">
        <v>825221.7792</v>
      </c>
      <c r="E8" s="20">
        <v>242572.0</v>
      </c>
      <c r="F8" s="20">
        <v>363856.0</v>
      </c>
      <c r="G8" s="20">
        <v>440000.0</v>
      </c>
      <c r="H8" s="43">
        <f t="shared" si="0"/>
        <v>3351809.4784000004</v>
      </c>
      <c r="I8" s="71"/>
      <c r="J8" s="71"/>
      <c r="K8" s="71"/>
      <c r="L8" s="71"/>
      <c r="M8" s="71"/>
      <c r="N8" s="71"/>
    </row>
    <row r="9" spans="8:8">
      <c r="A9" s="3" t="s">
        <v>16</v>
      </c>
      <c r="B9" s="305" t="s">
        <v>13</v>
      </c>
      <c r="C9" s="93">
        <v>1480159.6992000001</v>
      </c>
      <c r="D9" s="93">
        <v>825221.7792</v>
      </c>
      <c r="E9" s="20">
        <v>242572.0</v>
      </c>
      <c r="F9" s="20">
        <v>363856.0</v>
      </c>
      <c r="G9" s="20">
        <v>440000.0</v>
      </c>
      <c r="H9" s="43">
        <f t="shared" si="0"/>
        <v>3351809.4784000004</v>
      </c>
      <c r="I9" s="71"/>
      <c r="J9" s="71"/>
      <c r="L9" s="71"/>
      <c r="M9" s="71"/>
      <c r="N9" s="71"/>
    </row>
    <row r="10" spans="8:8">
      <c r="A10" s="3" t="s">
        <v>17</v>
      </c>
      <c r="B10" s="305" t="s">
        <v>13</v>
      </c>
      <c r="C10" s="93">
        <v>5154361.430399999</v>
      </c>
      <c r="D10" s="93">
        <v>1886221.2095999997</v>
      </c>
      <c r="E10" s="20">
        <v>242572.0</v>
      </c>
      <c r="F10" s="20">
        <v>363856.0</v>
      </c>
      <c r="G10" s="20">
        <v>440000.0</v>
      </c>
      <c r="H10" s="43">
        <f t="shared" si="0"/>
        <v>8087010.639999999</v>
      </c>
      <c r="I10" s="71"/>
      <c r="J10" s="71"/>
      <c r="K10" s="71"/>
      <c r="L10" s="71"/>
      <c r="M10" s="71"/>
      <c r="N10" s="71"/>
    </row>
    <row r="11" spans="8:8">
      <c r="A11" s="3" t="s">
        <v>18</v>
      </c>
      <c r="B11" s="305" t="s">
        <v>13</v>
      </c>
      <c r="C11" s="93">
        <v>1755233.6256</v>
      </c>
      <c r="D11" s="93">
        <v>1886221.2095999997</v>
      </c>
      <c r="E11" s="20">
        <v>242572.0</v>
      </c>
      <c r="F11" s="20">
        <v>363856.0</v>
      </c>
      <c r="G11" s="20">
        <v>440000.0</v>
      </c>
      <c r="H11" s="43">
        <f t="shared" si="0"/>
        <v>4687882.8352</v>
      </c>
      <c r="I11" s="71"/>
      <c r="J11" s="71"/>
      <c r="K11" s="71"/>
      <c r="L11" s="71"/>
      <c r="M11" s="71"/>
      <c r="N11" s="71"/>
    </row>
    <row r="12" spans="8:8">
      <c r="A12" s="3" t="s">
        <v>19</v>
      </c>
      <c r="B12" s="305" t="s">
        <v>13</v>
      </c>
      <c r="C12" s="93">
        <v>1755233.6256</v>
      </c>
      <c r="D12" s="93">
        <v>1886221.2095999997</v>
      </c>
      <c r="E12" s="20">
        <v>242572.0</v>
      </c>
      <c r="F12" s="20">
        <v>363856.0</v>
      </c>
      <c r="G12" s="20">
        <v>440000.0</v>
      </c>
      <c r="H12" s="43">
        <f t="shared" si="0"/>
        <v>4687882.8352</v>
      </c>
      <c r="I12" s="71"/>
      <c r="J12" s="71"/>
      <c r="K12" s="71"/>
      <c r="L12" s="71"/>
      <c r="M12" s="71"/>
      <c r="N12" s="71"/>
    </row>
    <row r="13" spans="8:8">
      <c r="A13" s="204" t="s">
        <v>404</v>
      </c>
      <c r="B13" s="305" t="s">
        <v>13</v>
      </c>
      <c r="C13" s="93">
        <v>1755233.6256</v>
      </c>
      <c r="D13" s="93">
        <v>1886221.2095999997</v>
      </c>
      <c r="E13" s="20">
        <v>242572.0</v>
      </c>
      <c r="F13" s="20">
        <v>363856.0</v>
      </c>
      <c r="G13" s="20">
        <v>440000.0</v>
      </c>
      <c r="H13" s="205">
        <f>SUM(C13:G13)*2</f>
        <v>9375765.6704</v>
      </c>
    </row>
    <row r="14" spans="8:8">
      <c r="A14" s="206" t="s">
        <v>403</v>
      </c>
      <c r="B14" s="305" t="s">
        <v>13</v>
      </c>
      <c r="C14" s="93">
        <v>1755233.6256</v>
      </c>
      <c r="D14" s="93">
        <v>1886221.2095999997</v>
      </c>
      <c r="E14" s="20">
        <v>242572.0</v>
      </c>
      <c r="F14" s="20">
        <v>363856.0</v>
      </c>
      <c r="G14" s="20">
        <v>440000.0</v>
      </c>
      <c r="H14" s="205">
        <f>SUM(C14:G14)*2</f>
        <v>9375765.6704</v>
      </c>
    </row>
    <row r="15" spans="8:8">
      <c r="A15" s="15" t="s">
        <v>22</v>
      </c>
      <c r="B15" s="306" t="s">
        <v>13</v>
      </c>
      <c r="C15" s="93">
        <v>1755233.6256</v>
      </c>
      <c r="D15" s="93">
        <v>1886221.2095999997</v>
      </c>
      <c r="E15" s="20">
        <v>242572.0</v>
      </c>
      <c r="F15" s="20">
        <v>363856.0</v>
      </c>
      <c r="G15" s="20">
        <v>440000.0</v>
      </c>
      <c r="H15" s="43">
        <f>SUM(C15:G15)</f>
        <v>4687882.8352</v>
      </c>
    </row>
    <row r="16" spans="8:8">
      <c r="A16" s="18" t="s">
        <v>405</v>
      </c>
      <c r="B16" s="306" t="s">
        <v>13</v>
      </c>
      <c r="C16" s="93">
        <v>1755233.6256</v>
      </c>
      <c r="D16" s="93">
        <v>1886221.2095999997</v>
      </c>
      <c r="E16" s="20">
        <v>242572.0</v>
      </c>
      <c r="F16" s="20">
        <v>363856.0</v>
      </c>
      <c r="G16" s="20">
        <v>440000.0</v>
      </c>
      <c r="H16" s="43">
        <f t="shared" si="0"/>
        <v>4687882.8352</v>
      </c>
    </row>
    <row r="17" spans="8:8">
      <c r="A17" s="3" t="s">
        <v>24</v>
      </c>
      <c r="B17" s="306" t="s">
        <v>13</v>
      </c>
      <c r="C17" s="93">
        <v>1755233.6256</v>
      </c>
      <c r="D17" s="93">
        <v>1886221.2095999997</v>
      </c>
      <c r="E17" s="20">
        <v>242572.0</v>
      </c>
      <c r="F17" s="20">
        <v>363856.0</v>
      </c>
      <c r="G17" s="20">
        <v>440000.0</v>
      </c>
      <c r="H17" s="43">
        <f t="shared" si="0"/>
        <v>4687882.8352</v>
      </c>
    </row>
    <row r="18" spans="8:8">
      <c r="A18" s="3" t="s">
        <v>25</v>
      </c>
      <c r="B18" s="305" t="s">
        <v>13</v>
      </c>
      <c r="C18" s="93">
        <v>1755233.6256</v>
      </c>
      <c r="D18" s="93">
        <v>1886221.2095999997</v>
      </c>
      <c r="E18" s="20">
        <v>242572.0</v>
      </c>
      <c r="F18" s="20">
        <v>363856.0</v>
      </c>
      <c r="G18" s="20">
        <v>440000.0</v>
      </c>
      <c r="H18" s="43">
        <f t="shared" si="0"/>
        <v>4687882.8352</v>
      </c>
    </row>
    <row r="19" spans="8:8">
      <c r="A19" s="3" t="s">
        <v>26</v>
      </c>
      <c r="B19" s="305" t="s">
        <v>13</v>
      </c>
      <c r="C19" s="93">
        <v>1755233.6256</v>
      </c>
      <c r="D19" s="93">
        <v>1886221.2095999997</v>
      </c>
      <c r="E19" s="20">
        <v>242572.0</v>
      </c>
      <c r="F19" s="20">
        <v>363856.0</v>
      </c>
      <c r="G19" s="20">
        <v>440000.0</v>
      </c>
      <c r="H19" s="43">
        <f t="shared" si="0"/>
        <v>4687882.8352</v>
      </c>
    </row>
    <row r="20" spans="8:8">
      <c r="A20" s="3" t="s">
        <v>27</v>
      </c>
      <c r="B20" s="305" t="s">
        <v>13</v>
      </c>
      <c r="C20" s="93">
        <v>1755233.6256</v>
      </c>
      <c r="D20" s="93">
        <v>1886221.2095999997</v>
      </c>
      <c r="E20" s="20">
        <v>242572.0</v>
      </c>
      <c r="F20" s="20">
        <v>363856.0</v>
      </c>
      <c r="G20" s="20">
        <v>440000.0</v>
      </c>
      <c r="H20" s="43">
        <f t="shared" si="0"/>
        <v>4687882.8352</v>
      </c>
    </row>
    <row r="21" spans="8:8">
      <c r="A21" s="3" t="s">
        <v>28</v>
      </c>
      <c r="B21" s="305" t="s">
        <v>13</v>
      </c>
      <c r="C21" s="93">
        <v>1755233.6256</v>
      </c>
      <c r="D21" s="93">
        <v>1886221.2095999997</v>
      </c>
      <c r="E21" s="20">
        <v>242572.0</v>
      </c>
      <c r="F21" s="20">
        <v>363856.0</v>
      </c>
      <c r="G21" s="20">
        <v>440000.0</v>
      </c>
      <c r="H21" s="43">
        <f t="shared" si="0"/>
        <v>4687882.8352</v>
      </c>
    </row>
    <row r="22" spans="8:8">
      <c r="A22" s="3" t="s">
        <v>29</v>
      </c>
      <c r="B22" s="305" t="s">
        <v>13</v>
      </c>
      <c r="C22" s="93">
        <v>1755233.6256</v>
      </c>
      <c r="D22" s="93">
        <v>1886221.2095999997</v>
      </c>
      <c r="E22" s="20">
        <v>242572.0</v>
      </c>
      <c r="F22" s="20">
        <v>363856.0</v>
      </c>
      <c r="G22" s="20">
        <v>440000.0</v>
      </c>
      <c r="H22" s="43">
        <f t="shared" si="0"/>
        <v>4687882.8352</v>
      </c>
    </row>
    <row r="23" spans="8:8">
      <c r="A23" s="297" t="s">
        <v>381</v>
      </c>
      <c r="B23" s="305" t="s">
        <v>13</v>
      </c>
      <c r="C23" s="93">
        <v>1755233.6256</v>
      </c>
      <c r="D23" s="93">
        <v>1886221.2095999997</v>
      </c>
      <c r="E23" s="20">
        <v>242572.0</v>
      </c>
      <c r="F23" s="20">
        <v>363856.0</v>
      </c>
      <c r="G23" s="20">
        <v>440000.0</v>
      </c>
      <c r="H23" s="43">
        <f t="shared" si="0"/>
        <v>4687882.8352</v>
      </c>
    </row>
    <row r="24" spans="8:8">
      <c r="A24" s="3" t="s">
        <v>31</v>
      </c>
      <c r="B24" s="305" t="s">
        <v>13</v>
      </c>
      <c r="C24" s="93">
        <v>1755233.6256</v>
      </c>
      <c r="D24" s="93">
        <v>1886221.2095999997</v>
      </c>
      <c r="E24" s="20">
        <v>242572.0</v>
      </c>
      <c r="F24" s="20">
        <v>363856.0</v>
      </c>
      <c r="G24" s="20">
        <v>440000.0</v>
      </c>
      <c r="H24" s="43">
        <f t="shared" si="0"/>
        <v>4687882.8352</v>
      </c>
    </row>
    <row r="25" spans="8:8">
      <c r="A25" s="3" t="s">
        <v>32</v>
      </c>
      <c r="B25" s="305" t="s">
        <v>13</v>
      </c>
      <c r="C25" s="93">
        <v>1755233.6256</v>
      </c>
      <c r="D25" s="93">
        <v>1886221.2095999997</v>
      </c>
      <c r="E25" s="20">
        <v>242572.0</v>
      </c>
      <c r="F25" s="20">
        <v>363856.0</v>
      </c>
      <c r="G25" s="20">
        <v>440000.0</v>
      </c>
      <c r="H25" s="43">
        <f t="shared" si="0"/>
        <v>4687882.8352</v>
      </c>
    </row>
    <row r="26" spans="8:8">
      <c r="A26" s="3" t="s">
        <v>33</v>
      </c>
      <c r="B26" s="305" t="s">
        <v>13</v>
      </c>
      <c r="C26" s="93">
        <v>1755233.6256</v>
      </c>
      <c r="D26" s="93">
        <v>1886221.2095999997</v>
      </c>
      <c r="E26" s="20">
        <v>242572.0</v>
      </c>
      <c r="F26" s="20">
        <v>363856.0</v>
      </c>
      <c r="G26" s="20">
        <v>440000.0</v>
      </c>
      <c r="H26" s="43">
        <f t="shared" si="0"/>
        <v>4687882.8352</v>
      </c>
    </row>
    <row r="27" spans="8:8">
      <c r="A27" s="3" t="s">
        <v>34</v>
      </c>
      <c r="B27" s="305" t="s">
        <v>13</v>
      </c>
      <c r="C27" s="93">
        <v>1480159.6992000001</v>
      </c>
      <c r="D27" s="93">
        <v>825221.7792</v>
      </c>
      <c r="E27" s="20">
        <v>242572.0</v>
      </c>
      <c r="F27" s="20">
        <v>363856.0</v>
      </c>
      <c r="G27" s="20">
        <v>440000.0</v>
      </c>
      <c r="H27" s="43">
        <f t="shared" si="0"/>
        <v>3351809.4784000004</v>
      </c>
    </row>
    <row r="28" spans="8:8">
      <c r="A28" s="3" t="s">
        <v>35</v>
      </c>
      <c r="B28" s="305" t="s">
        <v>13</v>
      </c>
      <c r="C28" s="93">
        <v>1480159.6992000001</v>
      </c>
      <c r="D28" s="93">
        <v>825221.7792</v>
      </c>
      <c r="E28" s="20">
        <v>242572.0</v>
      </c>
      <c r="F28" s="20">
        <v>363856.0</v>
      </c>
      <c r="G28" s="20">
        <v>440000.0</v>
      </c>
      <c r="H28" s="43">
        <f t="shared" si="0"/>
        <v>3351809.4784000004</v>
      </c>
    </row>
    <row r="29" spans="8:8">
      <c r="A29" s="3" t="s">
        <v>36</v>
      </c>
      <c r="B29" s="305" t="s">
        <v>13</v>
      </c>
      <c r="C29" s="93">
        <v>1480159.6992000001</v>
      </c>
      <c r="D29" s="93">
        <v>825221.7792</v>
      </c>
      <c r="E29" s="20">
        <v>242572.0</v>
      </c>
      <c r="F29" s="20">
        <v>363856.0</v>
      </c>
      <c r="G29" s="20">
        <v>440000.0</v>
      </c>
      <c r="H29" s="43">
        <f t="shared" si="0"/>
        <v>3351809.4784000004</v>
      </c>
    </row>
    <row r="30" spans="8:8">
      <c r="A30" s="298" t="s">
        <v>392</v>
      </c>
      <c r="B30" s="305" t="s">
        <v>13</v>
      </c>
      <c r="C30" s="93">
        <v>1480159.6992000001</v>
      </c>
      <c r="D30" s="93">
        <v>825221.7792</v>
      </c>
      <c r="E30" s="20">
        <v>242572.0</v>
      </c>
      <c r="F30" s="20">
        <v>363856.0</v>
      </c>
      <c r="G30" s="20">
        <v>440000.0</v>
      </c>
      <c r="H30" s="43">
        <f t="shared" si="0"/>
        <v>3351809.4784000004</v>
      </c>
    </row>
    <row r="31" spans="8:8">
      <c r="A31" s="3" t="s">
        <v>38</v>
      </c>
      <c r="B31" s="305" t="s">
        <v>13</v>
      </c>
      <c r="C31" s="93">
        <v>1480159.6992000001</v>
      </c>
      <c r="D31" s="93">
        <v>825221.7792</v>
      </c>
      <c r="E31" s="20">
        <v>242572.0</v>
      </c>
      <c r="F31" s="20">
        <v>363856.0</v>
      </c>
      <c r="G31" s="20">
        <v>440000.0</v>
      </c>
      <c r="H31" s="43">
        <f t="shared" si="0"/>
        <v>3351809.4784000004</v>
      </c>
    </row>
    <row r="32" spans="8:8">
      <c r="A32" s="15" t="s">
        <v>39</v>
      </c>
      <c r="B32" s="305" t="s">
        <v>13</v>
      </c>
      <c r="C32" s="93">
        <v>1480159.6992000001</v>
      </c>
      <c r="D32" s="93">
        <v>825221.7792</v>
      </c>
      <c r="E32" s="20">
        <v>242572.0</v>
      </c>
      <c r="F32" s="20">
        <v>363856.0</v>
      </c>
      <c r="G32" s="20">
        <v>440000.0</v>
      </c>
      <c r="H32" s="43">
        <f t="shared" si="0"/>
        <v>3351809.4784000004</v>
      </c>
    </row>
    <row r="33" spans="8:8" s="49" ht="15.0" customFormat="1">
      <c r="A33" s="3" t="s">
        <v>40</v>
      </c>
      <c r="B33" s="306" t="s">
        <v>13</v>
      </c>
      <c r="C33" s="93">
        <v>1480159.6992000001</v>
      </c>
      <c r="D33" s="93">
        <v>825221.7792</v>
      </c>
      <c r="E33" s="20">
        <v>242572.0</v>
      </c>
      <c r="F33" s="20">
        <v>363856.0</v>
      </c>
      <c r="G33" s="20">
        <v>440000.0</v>
      </c>
      <c r="H33" s="43">
        <f t="shared" si="0"/>
        <v>3351809.4784000004</v>
      </c>
    </row>
    <row r="34" spans="8:8">
      <c r="A34" s="15" t="s">
        <v>41</v>
      </c>
      <c r="B34" s="306" t="s">
        <v>13</v>
      </c>
      <c r="C34" s="93">
        <v>1480159.6992000001</v>
      </c>
      <c r="D34" s="93">
        <v>825221.7792</v>
      </c>
      <c r="E34" s="20">
        <v>242572.0</v>
      </c>
      <c r="F34" s="20">
        <v>363856.0</v>
      </c>
      <c r="G34" s="20">
        <v>440000.0</v>
      </c>
      <c r="H34" s="43">
        <f t="shared" si="0"/>
        <v>3351809.4784000004</v>
      </c>
    </row>
    <row r="35" spans="8:8" s="49" ht="15.0" customFormat="1">
      <c r="A35" s="298" t="s">
        <v>393</v>
      </c>
      <c r="B35" s="306" t="s">
        <v>13</v>
      </c>
      <c r="C35" s="93">
        <v>1480159.6992000001</v>
      </c>
      <c r="D35" s="93">
        <v>825221.7792</v>
      </c>
      <c r="E35" s="20">
        <v>242572.0</v>
      </c>
      <c r="F35" s="20">
        <v>363856.0</v>
      </c>
      <c r="G35" s="20">
        <v>440000.0</v>
      </c>
      <c r="H35" s="43">
        <f t="shared" si="0"/>
        <v>3351809.4784000004</v>
      </c>
    </row>
    <row r="36" spans="8:8">
      <c r="A36" s="3" t="s">
        <v>43</v>
      </c>
      <c r="B36" s="305" t="s">
        <v>13</v>
      </c>
      <c r="C36" s="93">
        <v>1480159.6992000001</v>
      </c>
      <c r="D36" s="93">
        <v>825221.7792</v>
      </c>
      <c r="E36" s="20">
        <v>242572.0</v>
      </c>
      <c r="F36" s="20">
        <v>363856.0</v>
      </c>
      <c r="G36" s="20">
        <v>440000.0</v>
      </c>
      <c r="H36" s="43">
        <f t="shared" si="0"/>
        <v>3351809.4784000004</v>
      </c>
    </row>
    <row r="37" spans="8:8">
      <c r="A37" s="298" t="s">
        <v>394</v>
      </c>
      <c r="B37" s="305" t="s">
        <v>13</v>
      </c>
      <c r="C37" s="93">
        <v>1480159.6992000001</v>
      </c>
      <c r="D37" s="93">
        <v>825221.7792</v>
      </c>
      <c r="E37" s="20">
        <v>242572.0</v>
      </c>
      <c r="F37" s="20">
        <v>363856.0</v>
      </c>
      <c r="G37" s="20">
        <v>440000.0</v>
      </c>
      <c r="H37" s="43">
        <f t="shared" si="0"/>
        <v>3351809.4784000004</v>
      </c>
    </row>
    <row r="38" spans="8:8">
      <c r="A38" s="3" t="s">
        <v>45</v>
      </c>
      <c r="B38" s="305" t="s">
        <v>13</v>
      </c>
      <c r="C38" s="93">
        <v>3346732.771199999</v>
      </c>
      <c r="D38" s="93">
        <v>1964813.7600000002</v>
      </c>
      <c r="E38" s="20">
        <v>242572.0</v>
      </c>
      <c r="F38" s="20">
        <v>363856.0</v>
      </c>
      <c r="G38" s="20">
        <v>440000.0</v>
      </c>
      <c r="H38" s="43">
        <f t="shared" si="0"/>
        <v>6357974.531199999</v>
      </c>
    </row>
    <row r="39" spans="8:8">
      <c r="A39" s="3" t="s">
        <v>46</v>
      </c>
      <c r="B39" s="305" t="s">
        <v>13</v>
      </c>
      <c r="C39" s="93">
        <v>3346732.771199999</v>
      </c>
      <c r="D39" s="93">
        <v>1964813.7600000002</v>
      </c>
      <c r="E39" s="20">
        <v>242572.0</v>
      </c>
      <c r="F39" s="20">
        <v>363856.0</v>
      </c>
      <c r="G39" s="20">
        <v>440000.0</v>
      </c>
      <c r="H39" s="43">
        <f t="shared" si="0"/>
        <v>6357974.531199999</v>
      </c>
    </row>
    <row r="40" spans="8:8">
      <c r="A40" s="3" t="s">
        <v>47</v>
      </c>
      <c r="B40" s="305" t="s">
        <v>13</v>
      </c>
      <c r="C40" s="93">
        <v>4709003.6448</v>
      </c>
      <c r="D40" s="93">
        <v>1964813.7600000002</v>
      </c>
      <c r="E40" s="20">
        <v>242572.0</v>
      </c>
      <c r="F40" s="20">
        <v>363856.0</v>
      </c>
      <c r="G40" s="20">
        <v>440000.0</v>
      </c>
      <c r="H40" s="43">
        <f t="shared" si="0"/>
        <v>7720245.4048</v>
      </c>
    </row>
    <row r="41" spans="8:8">
      <c r="A41" s="3" t="s">
        <v>48</v>
      </c>
      <c r="B41" s="305" t="s">
        <v>13</v>
      </c>
      <c r="C41" s="93">
        <v>1480159.6992000001</v>
      </c>
      <c r="D41" s="93">
        <v>1964813.7600000002</v>
      </c>
      <c r="E41" s="20">
        <v>242572.0</v>
      </c>
      <c r="F41" s="20">
        <v>363856.0</v>
      </c>
      <c r="G41" s="20">
        <v>440000.0</v>
      </c>
      <c r="H41" s="43">
        <f t="shared" si="0"/>
        <v>4491401.4592</v>
      </c>
    </row>
    <row r="42" spans="8:8">
      <c r="A42" s="3" t="s">
        <v>49</v>
      </c>
      <c r="B42" s="305" t="s">
        <v>13</v>
      </c>
      <c r="C42" s="93">
        <v>1480159.6992000001</v>
      </c>
      <c r="D42" s="93">
        <v>825221.7792</v>
      </c>
      <c r="E42" s="20">
        <v>242572.0</v>
      </c>
      <c r="F42" s="20">
        <v>363856.0</v>
      </c>
      <c r="G42" s="20">
        <v>440000.0</v>
      </c>
      <c r="H42" s="43">
        <f t="shared" si="0"/>
        <v>3351809.4784000004</v>
      </c>
    </row>
    <row r="43" spans="8:8">
      <c r="A43" s="299" t="s">
        <v>395</v>
      </c>
      <c r="B43" s="305" t="s">
        <v>13</v>
      </c>
      <c r="C43" s="93">
        <v>1480159.6992000001</v>
      </c>
      <c r="D43" s="93">
        <v>825221.7792</v>
      </c>
      <c r="E43" s="20">
        <v>242572.0</v>
      </c>
      <c r="F43" s="20">
        <v>363856.0</v>
      </c>
      <c r="G43" s="20">
        <v>440000.0</v>
      </c>
      <c r="H43" s="43">
        <f t="shared" si="0"/>
        <v>3351809.4784000004</v>
      </c>
    </row>
    <row r="44" spans="8:8" s="49" ht="15.0" customFormat="1">
      <c r="A44" s="3" t="s">
        <v>51</v>
      </c>
      <c r="B44" s="306" t="s">
        <v>13</v>
      </c>
      <c r="C44" s="93">
        <v>1480159.6992000001</v>
      </c>
      <c r="D44" s="93">
        <v>825221.7792</v>
      </c>
      <c r="E44" s="20">
        <v>242572.0</v>
      </c>
      <c r="F44" s="20">
        <v>363856.0</v>
      </c>
      <c r="G44" s="20">
        <v>440000.0</v>
      </c>
      <c r="H44" s="43">
        <f t="shared" si="0"/>
        <v>3351809.4784000004</v>
      </c>
    </row>
    <row r="45" spans="8:8">
      <c r="A45" s="3" t="s">
        <v>52</v>
      </c>
      <c r="B45" s="305" t="s">
        <v>13</v>
      </c>
      <c r="C45" s="93">
        <v>1480159.6992000001</v>
      </c>
      <c r="D45" s="93">
        <v>825221.7792</v>
      </c>
      <c r="E45" s="20">
        <v>242572.0</v>
      </c>
      <c r="F45" s="20">
        <v>363856.0</v>
      </c>
      <c r="G45" s="20">
        <v>440000.0</v>
      </c>
      <c r="H45" s="43">
        <f t="shared" si="0"/>
        <v>3351809.4784000004</v>
      </c>
    </row>
    <row r="46" spans="8:8">
      <c r="A46" s="298" t="s">
        <v>396</v>
      </c>
      <c r="B46" s="305" t="s">
        <v>13</v>
      </c>
      <c r="C46" s="93">
        <v>1480159.6992000001</v>
      </c>
      <c r="D46" s="93">
        <v>825221.7792</v>
      </c>
      <c r="E46" s="20">
        <v>242572.0</v>
      </c>
      <c r="F46" s="20">
        <v>363856.0</v>
      </c>
      <c r="G46" s="20">
        <v>440000.0</v>
      </c>
      <c r="H46" s="43">
        <f t="shared" si="0"/>
        <v>3351809.4784000004</v>
      </c>
    </row>
    <row r="47" spans="8:8">
      <c r="A47" s="3" t="s">
        <v>54</v>
      </c>
      <c r="B47" s="305" t="s">
        <v>13</v>
      </c>
      <c r="C47" s="93">
        <v>1480159.6992000001</v>
      </c>
      <c r="D47" s="93">
        <v>825221.7792</v>
      </c>
      <c r="E47" s="20">
        <v>242572.0</v>
      </c>
      <c r="F47" s="20">
        <v>363856.0</v>
      </c>
      <c r="G47" s="20">
        <v>440000.0</v>
      </c>
      <c r="H47" s="43">
        <f t="shared" si="0"/>
        <v>3351809.4784000004</v>
      </c>
    </row>
    <row r="48" spans="8:8">
      <c r="A48" s="15" t="s">
        <v>55</v>
      </c>
      <c r="B48" s="305" t="s">
        <v>13</v>
      </c>
      <c r="C48" s="93">
        <v>1480159.6992000001</v>
      </c>
      <c r="D48" s="93">
        <v>825221.7792</v>
      </c>
      <c r="E48" s="20">
        <v>242572.0</v>
      </c>
      <c r="F48" s="20">
        <v>363856.0</v>
      </c>
      <c r="G48" s="20">
        <v>440000.0</v>
      </c>
      <c r="H48" s="43">
        <f t="shared" si="0"/>
        <v>3351809.4784000004</v>
      </c>
    </row>
    <row r="49" spans="8:8" s="49" ht="15.0" customFormat="1">
      <c r="A49" s="298" t="s">
        <v>397</v>
      </c>
      <c r="B49" s="306" t="s">
        <v>13</v>
      </c>
      <c r="C49" s="93">
        <v>294722.064</v>
      </c>
      <c r="D49" s="93">
        <v>2161295.136</v>
      </c>
      <c r="E49" s="20">
        <v>242572.0</v>
      </c>
      <c r="F49" s="20">
        <v>363856.0</v>
      </c>
      <c r="G49" s="20">
        <v>440000.0</v>
      </c>
      <c r="H49" s="241">
        <f t="shared" si="0"/>
        <v>3502445.2</v>
      </c>
    </row>
    <row r="50" spans="8:8">
      <c r="A50" s="3" t="s">
        <v>57</v>
      </c>
      <c r="B50" s="308" t="s">
        <v>60</v>
      </c>
      <c r="C50" s="93">
        <v>0.01</v>
      </c>
      <c r="D50" s="93">
        <v>2043406.3104</v>
      </c>
      <c r="E50" s="20">
        <v>242572.0</v>
      </c>
      <c r="F50" s="20">
        <v>363856.0</v>
      </c>
      <c r="G50" s="180" t="s">
        <v>292</v>
      </c>
      <c r="H50" s="43">
        <f t="shared" si="1" ref="H50:H55">SUM(C50:F50)</f>
        <v>2649834.3204</v>
      </c>
    </row>
    <row r="51" spans="8:8">
      <c r="A51" s="3" t="s">
        <v>58</v>
      </c>
      <c r="B51" s="308" t="s">
        <v>60</v>
      </c>
      <c r="C51" s="93">
        <v>0.01</v>
      </c>
      <c r="D51" s="93">
        <v>2043406.3104</v>
      </c>
      <c r="E51" s="20">
        <v>242572.0</v>
      </c>
      <c r="F51" s="20">
        <v>363856.0</v>
      </c>
      <c r="G51" s="180" t="s">
        <v>292</v>
      </c>
      <c r="H51" s="43">
        <f t="shared" si="1"/>
        <v>2649834.3204</v>
      </c>
    </row>
    <row r="52" spans="8:8">
      <c r="A52" s="3" t="s">
        <v>59</v>
      </c>
      <c r="B52" s="308" t="s">
        <v>60</v>
      </c>
      <c r="C52" s="93">
        <v>0.01</v>
      </c>
      <c r="D52" s="93">
        <v>2043406.3104</v>
      </c>
      <c r="E52" s="20">
        <v>242572.0</v>
      </c>
      <c r="F52" s="20">
        <v>363856.0</v>
      </c>
      <c r="G52" s="180" t="s">
        <v>292</v>
      </c>
      <c r="H52" s="43">
        <f t="shared" si="1"/>
        <v>2649834.3204</v>
      </c>
    </row>
    <row r="53" spans="8:8">
      <c r="A53" s="3" t="s">
        <v>61</v>
      </c>
      <c r="B53" s="308" t="s">
        <v>60</v>
      </c>
      <c r="C53" s="93">
        <v>425709.64800000004</v>
      </c>
      <c r="D53" s="93">
        <v>3575961.0432</v>
      </c>
      <c r="E53" s="20">
        <v>242572.0</v>
      </c>
      <c r="F53" s="20">
        <v>363856.0</v>
      </c>
      <c r="G53" s="180" t="s">
        <v>292</v>
      </c>
      <c r="H53" s="43">
        <f t="shared" si="1"/>
        <v>4608098.6912</v>
      </c>
    </row>
    <row r="54" spans="8:8">
      <c r="A54" s="3" t="s">
        <v>62</v>
      </c>
      <c r="B54" s="308" t="s">
        <v>60</v>
      </c>
      <c r="C54" s="93">
        <v>0.01</v>
      </c>
      <c r="D54" s="93">
        <v>2043406.3104</v>
      </c>
      <c r="E54" s="20">
        <v>242572.0</v>
      </c>
      <c r="F54" s="20">
        <v>363856.0</v>
      </c>
      <c r="G54" s="180" t="s">
        <v>292</v>
      </c>
      <c r="H54" s="43">
        <f t="shared" si="1"/>
        <v>2649834.3204</v>
      </c>
    </row>
    <row r="55" spans="8:8">
      <c r="A55" s="3" t="s">
        <v>63</v>
      </c>
      <c r="B55" s="308" t="s">
        <v>60</v>
      </c>
      <c r="C55" s="93">
        <v>0.01</v>
      </c>
      <c r="D55" s="93">
        <v>2043406.3104</v>
      </c>
      <c r="E55" s="20">
        <v>242572.0</v>
      </c>
      <c r="F55" s="20">
        <v>363856.0</v>
      </c>
      <c r="G55" s="180" t="s">
        <v>292</v>
      </c>
      <c r="H55" s="43">
        <f t="shared" si="1"/>
        <v>2649834.3204</v>
      </c>
    </row>
    <row r="56" spans="8:8">
      <c r="A56" s="3" t="s">
        <v>64</v>
      </c>
      <c r="B56" s="308" t="s">
        <v>65</v>
      </c>
      <c r="C56" s="93">
        <v>0.01</v>
      </c>
      <c r="D56" s="93">
        <v>1504174.0895999998</v>
      </c>
      <c r="E56" s="20">
        <v>242572.0</v>
      </c>
      <c r="F56" s="20">
        <v>363856.0</v>
      </c>
      <c r="G56" s="180" t="s">
        <v>292</v>
      </c>
      <c r="H56" s="43">
        <f t="shared" si="2" ref="H56:H61">SUM(C56:G56)</f>
        <v>2110602.0996</v>
      </c>
    </row>
    <row r="57" spans="8:8">
      <c r="A57" s="3" t="s">
        <v>66</v>
      </c>
      <c r="B57" s="308" t="s">
        <v>65</v>
      </c>
      <c r="C57" s="93">
        <v>0.01</v>
      </c>
      <c r="D57" s="93">
        <v>1600668.27648</v>
      </c>
      <c r="E57" s="20">
        <v>242572.0</v>
      </c>
      <c r="F57" s="20">
        <v>363856.0</v>
      </c>
      <c r="G57" s="180" t="s">
        <v>292</v>
      </c>
      <c r="H57" s="43">
        <f t="shared" si="2"/>
        <v>2207096.2864800002</v>
      </c>
    </row>
    <row r="58" spans="8:8">
      <c r="A58" s="3" t="s">
        <v>67</v>
      </c>
      <c r="B58" s="308" t="s">
        <v>65</v>
      </c>
      <c r="C58" s="93">
        <v>0.01</v>
      </c>
      <c r="D58" s="93">
        <v>1504174.0895999998</v>
      </c>
      <c r="E58" s="20">
        <v>242572.0</v>
      </c>
      <c r="F58" s="20">
        <v>363856.0</v>
      </c>
      <c r="G58" s="180" t="s">
        <v>292</v>
      </c>
      <c r="H58" s="43">
        <f t="shared" si="2"/>
        <v>2110602.0996</v>
      </c>
    </row>
    <row r="59" spans="8:8">
      <c r="A59" s="3" t="s">
        <v>68</v>
      </c>
      <c r="B59" s="308" t="s">
        <v>65</v>
      </c>
      <c r="C59" s="93">
        <v>0.01</v>
      </c>
      <c r="D59" s="93">
        <v>1600668.27648</v>
      </c>
      <c r="E59" s="20">
        <v>242572.0</v>
      </c>
      <c r="F59" s="20">
        <v>363856.0</v>
      </c>
      <c r="G59" s="180" t="s">
        <v>292</v>
      </c>
      <c r="H59" s="43">
        <f t="shared" si="2"/>
        <v>2207096.2864800002</v>
      </c>
    </row>
    <row r="60" spans="8:8">
      <c r="A60" s="3" t="s">
        <v>69</v>
      </c>
      <c r="B60" s="308" t="s">
        <v>65</v>
      </c>
      <c r="C60" s="93">
        <v>0.01</v>
      </c>
      <c r="D60" s="93">
        <v>1952588.2521600001</v>
      </c>
      <c r="E60" s="20">
        <v>242572.0</v>
      </c>
      <c r="F60" s="20">
        <v>363856.0</v>
      </c>
      <c r="G60" s="180" t="s">
        <v>292</v>
      </c>
      <c r="H60" s="43">
        <f t="shared" si="2"/>
        <v>2559016.2621600004</v>
      </c>
    </row>
    <row r="61" spans="8:8">
      <c r="A61" s="3" t="s">
        <v>70</v>
      </c>
      <c r="B61" s="308" t="s">
        <v>65</v>
      </c>
      <c r="C61" s="93">
        <v>0.01</v>
      </c>
      <c r="D61" s="93">
        <v>1504174.0895999998</v>
      </c>
      <c r="E61" s="20">
        <v>242572.0</v>
      </c>
      <c r="F61" s="20">
        <v>363856.0</v>
      </c>
      <c r="G61" s="180" t="s">
        <v>292</v>
      </c>
      <c r="H61" s="43">
        <f t="shared" si="2"/>
        <v>2110602.0996</v>
      </c>
    </row>
    <row r="62" spans="8:8">
      <c r="A62" s="15" t="s">
        <v>71</v>
      </c>
      <c r="B62" s="309" t="s">
        <v>65</v>
      </c>
      <c r="C62" s="93">
        <v>0.01</v>
      </c>
      <c r="D62" s="93">
        <v>1600668.27648</v>
      </c>
      <c r="E62" s="20">
        <v>242572.0</v>
      </c>
      <c r="F62" s="20">
        <v>363856.0</v>
      </c>
      <c r="G62" s="180" t="s">
        <v>292</v>
      </c>
      <c r="H62" s="43">
        <f t="shared" si="3" ref="H62:H125">SUM(C62:F62)</f>
        <v>2207096.2864800002</v>
      </c>
    </row>
    <row r="63" spans="8:8">
      <c r="A63" s="15" t="s">
        <v>72</v>
      </c>
      <c r="B63" s="309" t="s">
        <v>65</v>
      </c>
      <c r="C63" s="93">
        <v>0.01</v>
      </c>
      <c r="D63" s="93">
        <v>1770952.1356800003</v>
      </c>
      <c r="E63" s="20">
        <v>242572.0</v>
      </c>
      <c r="F63" s="20">
        <v>363856.0</v>
      </c>
      <c r="G63" s="180" t="s">
        <v>292</v>
      </c>
      <c r="H63" s="43">
        <f t="shared" si="3"/>
        <v>2377380.14568</v>
      </c>
    </row>
    <row r="64" spans="8:8">
      <c r="A64" s="3" t="s">
        <v>73</v>
      </c>
      <c r="B64" s="308" t="s">
        <v>65</v>
      </c>
      <c r="C64" s="93">
        <v>0.01</v>
      </c>
      <c r="D64" s="93">
        <v>1504174.0895999998</v>
      </c>
      <c r="E64" s="20">
        <v>242572.0</v>
      </c>
      <c r="F64" s="20">
        <v>363856.0</v>
      </c>
      <c r="G64" s="180" t="s">
        <v>292</v>
      </c>
      <c r="H64" s="43">
        <f t="shared" si="3"/>
        <v>2110602.0996</v>
      </c>
    </row>
    <row r="65" spans="8:8">
      <c r="A65" s="3" t="s">
        <v>74</v>
      </c>
      <c r="B65" s="308" t="s">
        <v>65</v>
      </c>
      <c r="C65" s="93">
        <v>0.01</v>
      </c>
      <c r="D65" s="93">
        <v>1600668.27648</v>
      </c>
      <c r="E65" s="20">
        <v>242572.0</v>
      </c>
      <c r="F65" s="20">
        <v>363856.0</v>
      </c>
      <c r="G65" s="180" t="s">
        <v>292</v>
      </c>
      <c r="H65" s="43">
        <f t="shared" si="3"/>
        <v>2207096.2864800002</v>
      </c>
    </row>
    <row r="66" spans="8:8">
      <c r="A66" s="3" t="s">
        <v>75</v>
      </c>
      <c r="B66" s="308" t="s">
        <v>65</v>
      </c>
      <c r="C66" s="93">
        <v>0.01</v>
      </c>
      <c r="D66" s="93">
        <v>2469115.9584</v>
      </c>
      <c r="E66" s="20">
        <v>242572.0</v>
      </c>
      <c r="F66" s="20">
        <v>363856.0</v>
      </c>
      <c r="G66" s="180" t="s">
        <v>292</v>
      </c>
      <c r="H66" s="43">
        <f t="shared" si="3"/>
        <v>3075543.9683999997</v>
      </c>
    </row>
    <row r="67" spans="8:8">
      <c r="A67" s="3" t="s">
        <v>76</v>
      </c>
      <c r="B67" s="308" t="s">
        <v>65</v>
      </c>
      <c r="C67" s="93">
        <v>0.01</v>
      </c>
      <c r="D67" s="93">
        <v>1504174.0895999998</v>
      </c>
      <c r="E67" s="20">
        <v>242572.0</v>
      </c>
      <c r="F67" s="20">
        <v>363856.0</v>
      </c>
      <c r="G67" s="180" t="s">
        <v>292</v>
      </c>
      <c r="H67" s="43">
        <f t="shared" si="3"/>
        <v>2110602.0996</v>
      </c>
    </row>
    <row r="68" spans="8:8">
      <c r="A68" s="3" t="s">
        <v>77</v>
      </c>
      <c r="B68" s="308" t="s">
        <v>65</v>
      </c>
      <c r="C68" s="93">
        <v>0.01</v>
      </c>
      <c r="D68" s="93">
        <v>1600668.27648</v>
      </c>
      <c r="E68" s="20">
        <v>242572.0</v>
      </c>
      <c r="F68" s="20">
        <v>363856.0</v>
      </c>
      <c r="G68" s="180" t="s">
        <v>292</v>
      </c>
      <c r="H68" s="43">
        <f t="shared" si="3"/>
        <v>2207096.2864800002</v>
      </c>
    </row>
    <row r="69" spans="8:8">
      <c r="A69" s="3" t="s">
        <v>78</v>
      </c>
      <c r="B69" s="308" t="s">
        <v>65</v>
      </c>
      <c r="C69" s="93">
        <v>0.01</v>
      </c>
      <c r="D69" s="93">
        <v>1770952.1356800003</v>
      </c>
      <c r="E69" s="20">
        <v>242572.0</v>
      </c>
      <c r="F69" s="20">
        <v>363856.0</v>
      </c>
      <c r="G69" s="180" t="s">
        <v>292</v>
      </c>
      <c r="H69" s="43">
        <f t="shared" si="3"/>
        <v>2377380.14568</v>
      </c>
    </row>
    <row r="70" spans="8:8">
      <c r="A70" s="3" t="s">
        <v>79</v>
      </c>
      <c r="B70" s="308" t="s">
        <v>65</v>
      </c>
      <c r="C70" s="93">
        <v>0.01</v>
      </c>
      <c r="D70" s="93">
        <v>1952588.2521600001</v>
      </c>
      <c r="E70" s="20">
        <v>242572.0</v>
      </c>
      <c r="F70" s="20">
        <v>363856.0</v>
      </c>
      <c r="G70" s="180" t="s">
        <v>292</v>
      </c>
      <c r="H70" s="43">
        <f t="shared" si="3"/>
        <v>2559016.2621600004</v>
      </c>
    </row>
    <row r="71" spans="8:8">
      <c r="A71" s="3" t="s">
        <v>80</v>
      </c>
      <c r="B71" s="308" t="s">
        <v>65</v>
      </c>
      <c r="C71" s="93">
        <v>0.01</v>
      </c>
      <c r="D71" s="93">
        <v>1504174.0895999998</v>
      </c>
      <c r="E71" s="20">
        <v>242572.0</v>
      </c>
      <c r="F71" s="20">
        <v>363856.0</v>
      </c>
      <c r="G71" s="180" t="s">
        <v>292</v>
      </c>
      <c r="H71" s="43">
        <f t="shared" si="3"/>
        <v>2110602.0996</v>
      </c>
    </row>
    <row r="72" spans="8:8">
      <c r="A72" s="3" t="s">
        <v>81</v>
      </c>
      <c r="B72" s="308" t="s">
        <v>65</v>
      </c>
      <c r="C72" s="93">
        <v>0.01</v>
      </c>
      <c r="D72" s="93">
        <v>1600668.27648</v>
      </c>
      <c r="E72" s="20">
        <v>242572.0</v>
      </c>
      <c r="F72" s="20">
        <v>363856.0</v>
      </c>
      <c r="G72" s="180" t="s">
        <v>292</v>
      </c>
      <c r="H72" s="43">
        <f t="shared" si="3"/>
        <v>2207096.2864800002</v>
      </c>
    </row>
    <row r="73" spans="8:8">
      <c r="A73" s="3" t="s">
        <v>82</v>
      </c>
      <c r="B73" s="308" t="s">
        <v>65</v>
      </c>
      <c r="C73" s="93">
        <v>0.01</v>
      </c>
      <c r="D73" s="93">
        <v>3008348.1791999997</v>
      </c>
      <c r="E73" s="20">
        <v>242572.0</v>
      </c>
      <c r="F73" s="20">
        <v>363856.0</v>
      </c>
      <c r="G73" s="180" t="s">
        <v>292</v>
      </c>
      <c r="H73" s="43">
        <f t="shared" si="3"/>
        <v>3614776.1891999994</v>
      </c>
    </row>
    <row r="74" spans="8:8">
      <c r="A74" s="3" t="s">
        <v>83</v>
      </c>
      <c r="B74" s="308" t="s">
        <v>65</v>
      </c>
      <c r="C74" s="93">
        <v>0.01</v>
      </c>
      <c r="D74" s="93">
        <v>3201336.55296</v>
      </c>
      <c r="E74" s="20">
        <v>242572.0</v>
      </c>
      <c r="F74" s="20">
        <v>363856.0</v>
      </c>
      <c r="G74" s="180" t="s">
        <v>292</v>
      </c>
      <c r="H74" s="43">
        <f t="shared" si="3"/>
        <v>3807764.56296</v>
      </c>
    </row>
    <row r="75" spans="8:8">
      <c r="A75" s="3" t="s">
        <v>84</v>
      </c>
      <c r="B75" s="308" t="s">
        <v>65</v>
      </c>
      <c r="C75" s="93">
        <v>0.01</v>
      </c>
      <c r="D75" s="93">
        <v>1600668.27648</v>
      </c>
      <c r="E75" s="20">
        <v>242572.0</v>
      </c>
      <c r="F75" s="20">
        <v>363856.0</v>
      </c>
      <c r="G75" s="180" t="s">
        <v>292</v>
      </c>
      <c r="H75" s="43">
        <f t="shared" si="3"/>
        <v>2207096.2864800002</v>
      </c>
    </row>
    <row r="76" spans="8:8">
      <c r="A76" s="3" t="s">
        <v>85</v>
      </c>
      <c r="B76" s="308" t="s">
        <v>65</v>
      </c>
      <c r="C76" s="93">
        <v>0.01</v>
      </c>
      <c r="D76" s="93">
        <v>3201336.55296</v>
      </c>
      <c r="E76" s="20">
        <v>242572.0</v>
      </c>
      <c r="F76" s="20">
        <v>363856.0</v>
      </c>
      <c r="G76" s="180" t="s">
        <v>292</v>
      </c>
      <c r="H76" s="43">
        <f t="shared" si="3"/>
        <v>3807764.56296</v>
      </c>
    </row>
    <row r="77" spans="8:8">
      <c r="A77" s="15" t="s">
        <v>86</v>
      </c>
      <c r="B77" s="309" t="s">
        <v>65</v>
      </c>
      <c r="C77" s="93">
        <v>0.01</v>
      </c>
      <c r="D77" s="93">
        <v>1600668.27648</v>
      </c>
      <c r="E77" s="20">
        <v>242572.0</v>
      </c>
      <c r="F77" s="20">
        <v>363856.0</v>
      </c>
      <c r="G77" s="180" t="s">
        <v>292</v>
      </c>
      <c r="H77" s="43">
        <f t="shared" si="3"/>
        <v>2207096.2864800002</v>
      </c>
    </row>
    <row r="78" spans="8:8" s="49" ht="15.0" customFormat="1">
      <c r="A78" s="15" t="s">
        <v>87</v>
      </c>
      <c r="B78" s="309" t="s">
        <v>65</v>
      </c>
      <c r="C78" s="93">
        <v>0.01</v>
      </c>
      <c r="D78" s="93">
        <v>1770952.1356800003</v>
      </c>
      <c r="E78" s="20">
        <v>242572.0</v>
      </c>
      <c r="F78" s="20">
        <v>363856.0</v>
      </c>
      <c r="G78" s="180" t="s">
        <v>292</v>
      </c>
      <c r="H78" s="241">
        <f t="shared" si="3"/>
        <v>2377380.14568</v>
      </c>
    </row>
    <row r="79" spans="8:8">
      <c r="A79" s="15" t="s">
        <v>88</v>
      </c>
      <c r="B79" s="309" t="s">
        <v>65</v>
      </c>
      <c r="C79" s="93">
        <v>0.01</v>
      </c>
      <c r="D79" s="93">
        <v>1952588.2521600001</v>
      </c>
      <c r="E79" s="20">
        <v>242572.0</v>
      </c>
      <c r="F79" s="20">
        <v>363856.0</v>
      </c>
      <c r="G79" s="180" t="s">
        <v>292</v>
      </c>
      <c r="H79" s="43">
        <f t="shared" si="3"/>
        <v>2559016.2621600004</v>
      </c>
    </row>
    <row r="80" spans="8:8">
      <c r="A80" s="15" t="s">
        <v>89</v>
      </c>
      <c r="B80" s="309" t="s">
        <v>65</v>
      </c>
      <c r="C80" s="93">
        <v>0.01</v>
      </c>
      <c r="D80" s="93">
        <v>2213690.1695999997</v>
      </c>
      <c r="E80" s="20">
        <v>242572.0</v>
      </c>
      <c r="F80" s="20">
        <v>363856.0</v>
      </c>
      <c r="G80" s="180" t="s">
        <v>292</v>
      </c>
      <c r="H80" s="43">
        <f t="shared" si="3"/>
        <v>2820118.1795999995</v>
      </c>
    </row>
    <row r="81" spans="8:8">
      <c r="A81" s="15" t="s">
        <v>90</v>
      </c>
      <c r="B81" s="309" t="s">
        <v>65</v>
      </c>
      <c r="C81" s="93">
        <v>0.01</v>
      </c>
      <c r="D81" s="93">
        <v>2378297.9001599997</v>
      </c>
      <c r="E81" s="20">
        <v>242572.0</v>
      </c>
      <c r="F81" s="20">
        <v>363856.0</v>
      </c>
      <c r="G81" s="180" t="s">
        <v>292</v>
      </c>
      <c r="H81" s="43">
        <f t="shared" si="3"/>
        <v>2984725.9101599995</v>
      </c>
    </row>
    <row r="82" spans="8:8">
      <c r="A82" s="15" t="s">
        <v>91</v>
      </c>
      <c r="B82" s="309" t="s">
        <v>65</v>
      </c>
      <c r="C82" s="93">
        <v>0.01</v>
      </c>
      <c r="D82" s="93">
        <v>2520201.1161599997</v>
      </c>
      <c r="E82" s="20">
        <v>242572.0</v>
      </c>
      <c r="F82" s="20">
        <v>363856.0</v>
      </c>
      <c r="G82" s="180" t="s">
        <v>292</v>
      </c>
      <c r="H82" s="43">
        <f t="shared" si="3"/>
        <v>3126629.1261599995</v>
      </c>
    </row>
    <row r="83" spans="8:8">
      <c r="A83" s="15" t="s">
        <v>92</v>
      </c>
      <c r="B83" s="309" t="s">
        <v>65</v>
      </c>
      <c r="C83" s="93">
        <v>0.01</v>
      </c>
      <c r="D83" s="93">
        <v>1504174.0895999998</v>
      </c>
      <c r="E83" s="20">
        <v>242572.0</v>
      </c>
      <c r="F83" s="20">
        <v>363856.0</v>
      </c>
      <c r="G83" s="180" t="s">
        <v>292</v>
      </c>
      <c r="H83" s="43">
        <f t="shared" si="3"/>
        <v>2110602.0996</v>
      </c>
    </row>
    <row r="84" spans="8:8">
      <c r="A84" s="15" t="s">
        <v>93</v>
      </c>
      <c r="B84" s="309" t="s">
        <v>65</v>
      </c>
      <c r="C84" s="93">
        <v>0.01</v>
      </c>
      <c r="D84" s="93">
        <v>1600668.27648</v>
      </c>
      <c r="E84" s="20">
        <v>242572.0</v>
      </c>
      <c r="F84" s="20">
        <v>363856.0</v>
      </c>
      <c r="G84" s="180" t="s">
        <v>292</v>
      </c>
      <c r="H84" s="43">
        <f t="shared" si="3"/>
        <v>2207096.2864800002</v>
      </c>
    </row>
    <row r="85" spans="8:8">
      <c r="A85" s="15" t="s">
        <v>94</v>
      </c>
      <c r="B85" s="309" t="s">
        <v>65</v>
      </c>
      <c r="C85" s="93">
        <v>0.01</v>
      </c>
      <c r="D85" s="93">
        <v>1952588.2521600001</v>
      </c>
      <c r="E85" s="20">
        <v>242572.0</v>
      </c>
      <c r="F85" s="20">
        <v>363856.0</v>
      </c>
      <c r="G85" s="180" t="s">
        <v>292</v>
      </c>
      <c r="H85" s="43">
        <f t="shared" si="3"/>
        <v>2559016.2621600004</v>
      </c>
    </row>
    <row r="86" spans="8:8">
      <c r="A86" s="15" t="s">
        <v>95</v>
      </c>
      <c r="B86" s="309" t="s">
        <v>65</v>
      </c>
      <c r="C86" s="93">
        <v>0.01</v>
      </c>
      <c r="D86" s="93">
        <v>1600668.27648</v>
      </c>
      <c r="E86" s="20">
        <v>242572.0</v>
      </c>
      <c r="F86" s="20">
        <v>363856.0</v>
      </c>
      <c r="G86" s="180" t="s">
        <v>292</v>
      </c>
      <c r="H86" s="43">
        <f t="shared" si="3"/>
        <v>2207096.2864800002</v>
      </c>
    </row>
    <row r="87" spans="8:8">
      <c r="A87" s="15" t="s">
        <v>96</v>
      </c>
      <c r="B87" s="309" t="s">
        <v>65</v>
      </c>
      <c r="C87" s="93">
        <v>0.01</v>
      </c>
      <c r="D87" s="93">
        <v>1952588.2521600001</v>
      </c>
      <c r="E87" s="20">
        <v>242572.0</v>
      </c>
      <c r="F87" s="20">
        <v>363856.0</v>
      </c>
      <c r="G87" s="180" t="s">
        <v>292</v>
      </c>
      <c r="H87" s="43">
        <f t="shared" si="3"/>
        <v>2559016.2621600004</v>
      </c>
    </row>
    <row r="88" spans="8:8">
      <c r="A88" s="15" t="s">
        <v>97</v>
      </c>
      <c r="B88" s="309" t="s">
        <v>65</v>
      </c>
      <c r="C88" s="93">
        <v>0.01</v>
      </c>
      <c r="D88" s="93">
        <v>1504174.0895999998</v>
      </c>
      <c r="E88" s="20">
        <v>242572.0</v>
      </c>
      <c r="F88" s="20">
        <v>363856.0</v>
      </c>
      <c r="G88" s="180" t="s">
        <v>292</v>
      </c>
      <c r="H88" s="43">
        <f t="shared" si="3"/>
        <v>2110602.0996</v>
      </c>
    </row>
    <row r="89" spans="8:8">
      <c r="A89" s="15" t="s">
        <v>98</v>
      </c>
      <c r="B89" s="309" t="s">
        <v>65</v>
      </c>
      <c r="C89" s="93">
        <v>0.01</v>
      </c>
      <c r="D89" s="93">
        <v>1600668.27648</v>
      </c>
      <c r="E89" s="20">
        <v>242572.0</v>
      </c>
      <c r="F89" s="20">
        <v>363856.0</v>
      </c>
      <c r="G89" s="180" t="s">
        <v>292</v>
      </c>
      <c r="H89" s="43">
        <f t="shared" si="3"/>
        <v>2207096.2864800002</v>
      </c>
    </row>
    <row r="90" spans="8:8" s="49" ht="15.0" customFormat="1">
      <c r="A90" s="15" t="s">
        <v>99</v>
      </c>
      <c r="B90" s="309" t="s">
        <v>65</v>
      </c>
      <c r="C90" s="93">
        <v>0.01</v>
      </c>
      <c r="D90" s="93">
        <v>1952588.2521600001</v>
      </c>
      <c r="E90" s="20">
        <v>242572.0</v>
      </c>
      <c r="F90" s="20">
        <v>363856.0</v>
      </c>
      <c r="G90" s="180" t="s">
        <v>292</v>
      </c>
      <c r="H90" s="43">
        <f t="shared" si="3"/>
        <v>2559016.2621600004</v>
      </c>
    </row>
    <row r="91" spans="8:8">
      <c r="A91" s="15" t="s">
        <v>100</v>
      </c>
      <c r="B91" s="309" t="s">
        <v>65</v>
      </c>
      <c r="C91" s="93">
        <v>0.01</v>
      </c>
      <c r="D91" s="93">
        <v>2378297.9001599997</v>
      </c>
      <c r="E91" s="20">
        <v>242572.0</v>
      </c>
      <c r="F91" s="20">
        <v>363856.0</v>
      </c>
      <c r="G91" s="180" t="s">
        <v>292</v>
      </c>
      <c r="H91" s="43">
        <f t="shared" si="3"/>
        <v>2984725.9101599995</v>
      </c>
    </row>
    <row r="92" spans="8:8">
      <c r="A92" s="15" t="s">
        <v>101</v>
      </c>
      <c r="B92" s="309" t="s">
        <v>65</v>
      </c>
      <c r="C92" s="93">
        <v>0.01</v>
      </c>
      <c r="D92" s="93">
        <v>2520201.1161599997</v>
      </c>
      <c r="E92" s="20">
        <v>242572.0</v>
      </c>
      <c r="F92" s="20">
        <v>363856.0</v>
      </c>
      <c r="G92" s="180" t="s">
        <v>292</v>
      </c>
      <c r="H92" s="43">
        <f t="shared" si="3"/>
        <v>3126629.1261599995</v>
      </c>
    </row>
    <row r="93" spans="8:8">
      <c r="A93" s="15" t="s">
        <v>102</v>
      </c>
      <c r="B93" s="309" t="s">
        <v>65</v>
      </c>
      <c r="C93" s="93">
        <v>0.01</v>
      </c>
      <c r="D93" s="93">
        <v>1583639.89056</v>
      </c>
      <c r="E93" s="20">
        <v>242572.0</v>
      </c>
      <c r="F93" s="20">
        <v>363856.0</v>
      </c>
      <c r="G93" s="180" t="s">
        <v>292</v>
      </c>
      <c r="H93" s="43">
        <f t="shared" si="3"/>
        <v>2190067.90056</v>
      </c>
    </row>
    <row r="94" spans="8:8">
      <c r="A94" s="15" t="s">
        <v>103</v>
      </c>
      <c r="B94" s="309" t="s">
        <v>65</v>
      </c>
      <c r="C94" s="93">
        <v>0.01</v>
      </c>
      <c r="D94" s="93">
        <v>1504174.0895999998</v>
      </c>
      <c r="E94" s="20">
        <v>242572.0</v>
      </c>
      <c r="F94" s="20">
        <v>363856.0</v>
      </c>
      <c r="G94" s="180" t="s">
        <v>292</v>
      </c>
      <c r="H94" s="43">
        <f t="shared" si="3"/>
        <v>2110602.0996</v>
      </c>
    </row>
    <row r="95" spans="8:8">
      <c r="A95" s="15" t="s">
        <v>104</v>
      </c>
      <c r="B95" s="309" t="s">
        <v>65</v>
      </c>
      <c r="C95" s="93">
        <v>0.01</v>
      </c>
      <c r="D95" s="93">
        <v>1600668.27648</v>
      </c>
      <c r="E95" s="20">
        <v>242572.0</v>
      </c>
      <c r="F95" s="20">
        <v>363856.0</v>
      </c>
      <c r="G95" s="180" t="s">
        <v>292</v>
      </c>
      <c r="H95" s="43">
        <f t="shared" si="3"/>
        <v>2207096.2864800002</v>
      </c>
    </row>
    <row r="96" spans="8:8" s="49" ht="15.0" customFormat="1">
      <c r="A96" s="3" t="s">
        <v>105</v>
      </c>
      <c r="B96" s="308" t="s">
        <v>65</v>
      </c>
      <c r="C96" s="93">
        <v>0.01</v>
      </c>
      <c r="D96" s="93">
        <v>1770952.1356800003</v>
      </c>
      <c r="E96" s="20">
        <v>242572.0</v>
      </c>
      <c r="F96" s="20">
        <v>363856.0</v>
      </c>
      <c r="G96" s="180" t="s">
        <v>292</v>
      </c>
      <c r="H96" s="241">
        <f t="shared" si="3"/>
        <v>2377380.14568</v>
      </c>
    </row>
    <row r="97" spans="8:8">
      <c r="A97" s="3" t="s">
        <v>108</v>
      </c>
      <c r="B97" s="308" t="s">
        <v>65</v>
      </c>
      <c r="C97" s="93">
        <v>0.01</v>
      </c>
      <c r="D97" s="93">
        <v>1600668.27648</v>
      </c>
      <c r="E97" s="20">
        <v>242572.0</v>
      </c>
      <c r="F97" s="20">
        <v>363856.0</v>
      </c>
      <c r="G97" s="180" t="s">
        <v>292</v>
      </c>
      <c r="H97" s="43">
        <f t="shared" si="3"/>
        <v>2207096.2864800002</v>
      </c>
    </row>
    <row r="98" spans="8:8">
      <c r="A98" s="3" t="s">
        <v>109</v>
      </c>
      <c r="B98" s="308" t="s">
        <v>65</v>
      </c>
      <c r="C98" s="93">
        <v>0.01</v>
      </c>
      <c r="D98" s="93">
        <v>1770952.1356800003</v>
      </c>
      <c r="E98" s="20">
        <v>242572.0</v>
      </c>
      <c r="F98" s="20">
        <v>363856.0</v>
      </c>
      <c r="G98" s="180" t="s">
        <v>292</v>
      </c>
      <c r="H98" s="43">
        <f t="shared" si="3"/>
        <v>2377380.14568</v>
      </c>
    </row>
    <row r="99" spans="8:8">
      <c r="A99" s="3" t="s">
        <v>110</v>
      </c>
      <c r="B99" s="308" t="s">
        <v>65</v>
      </c>
      <c r="C99" s="93">
        <v>8580000.0</v>
      </c>
      <c r="D99" s="93">
        <v>1470117.3177599998</v>
      </c>
      <c r="E99" s="20">
        <v>242572.0</v>
      </c>
      <c r="F99" s="20">
        <v>363856.0</v>
      </c>
      <c r="G99" s="180" t="s">
        <v>292</v>
      </c>
      <c r="H99" s="43">
        <f t="shared" si="3"/>
        <v>1.065654531776E7</v>
      </c>
    </row>
    <row r="100" spans="8:8">
      <c r="A100" s="3" t="s">
        <v>111</v>
      </c>
      <c r="B100" s="308" t="s">
        <v>65</v>
      </c>
      <c r="C100" s="93">
        <v>0.01</v>
      </c>
      <c r="D100" s="93">
        <v>1504174.0895999998</v>
      </c>
      <c r="E100" s="20">
        <v>242572.0</v>
      </c>
      <c r="F100" s="20">
        <v>363856.0</v>
      </c>
      <c r="G100" s="180" t="s">
        <v>292</v>
      </c>
      <c r="H100" s="43">
        <f t="shared" si="3"/>
        <v>2110602.0996</v>
      </c>
    </row>
    <row r="101" spans="8:8">
      <c r="A101" s="3" t="s">
        <v>112</v>
      </c>
      <c r="B101" s="308" t="s">
        <v>65</v>
      </c>
      <c r="C101" s="93">
        <v>0.01</v>
      </c>
      <c r="D101" s="93">
        <v>1600668.27648</v>
      </c>
      <c r="E101" s="20">
        <v>242572.0</v>
      </c>
      <c r="F101" s="20">
        <v>363856.0</v>
      </c>
      <c r="G101" s="180" t="s">
        <v>292</v>
      </c>
      <c r="H101" s="43">
        <f t="shared" si="3"/>
        <v>2207096.2864800002</v>
      </c>
    </row>
    <row r="102" spans="8:8">
      <c r="A102" s="3" t="s">
        <v>113</v>
      </c>
      <c r="B102" s="308" t="s">
        <v>65</v>
      </c>
      <c r="C102" s="93">
        <v>0.01</v>
      </c>
      <c r="D102" s="93">
        <v>1770952.1356800003</v>
      </c>
      <c r="E102" s="20">
        <v>242572.0</v>
      </c>
      <c r="F102" s="20">
        <v>363856.0</v>
      </c>
      <c r="G102" s="180" t="s">
        <v>292</v>
      </c>
      <c r="H102" s="43">
        <f t="shared" si="3"/>
        <v>2377380.14568</v>
      </c>
    </row>
    <row r="103" spans="8:8">
      <c r="A103" s="3" t="s">
        <v>114</v>
      </c>
      <c r="B103" s="308" t="s">
        <v>65</v>
      </c>
      <c r="C103" s="93">
        <v>0.01</v>
      </c>
      <c r="D103" s="93">
        <v>1504174.0895999998</v>
      </c>
      <c r="E103" s="20">
        <v>242572.0</v>
      </c>
      <c r="F103" s="20">
        <v>363856.0</v>
      </c>
      <c r="G103" s="180" t="s">
        <v>292</v>
      </c>
      <c r="H103" s="43">
        <f t="shared" si="3"/>
        <v>2110602.0996</v>
      </c>
    </row>
    <row r="104" spans="8:8">
      <c r="A104" s="3" t="s">
        <v>115</v>
      </c>
      <c r="B104" s="308" t="s">
        <v>65</v>
      </c>
      <c r="C104" s="93">
        <v>0.01</v>
      </c>
      <c r="D104" s="93">
        <v>1600668.27648</v>
      </c>
      <c r="E104" s="20">
        <v>242572.0</v>
      </c>
      <c r="F104" s="20">
        <v>363856.0</v>
      </c>
      <c r="G104" s="180" t="s">
        <v>292</v>
      </c>
      <c r="H104" s="43">
        <f t="shared" si="3"/>
        <v>2207096.2864800002</v>
      </c>
    </row>
    <row r="105" spans="8:8">
      <c r="A105" s="3" t="s">
        <v>116</v>
      </c>
      <c r="B105" s="308" t="s">
        <v>65</v>
      </c>
      <c r="C105" s="93">
        <v>0.01</v>
      </c>
      <c r="D105" s="93">
        <v>1770952.1356800003</v>
      </c>
      <c r="E105" s="20">
        <v>242572.0</v>
      </c>
      <c r="F105" s="20">
        <v>363856.0</v>
      </c>
      <c r="G105" s="180" t="s">
        <v>292</v>
      </c>
      <c r="H105" s="43">
        <f t="shared" si="3"/>
        <v>2377380.14568</v>
      </c>
    </row>
    <row r="106" spans="8:8">
      <c r="A106" s="3" t="s">
        <v>117</v>
      </c>
      <c r="B106" s="308" t="s">
        <v>65</v>
      </c>
      <c r="C106" s="93">
        <v>0.01</v>
      </c>
      <c r="D106" s="93">
        <v>1600668.27648</v>
      </c>
      <c r="E106" s="20">
        <v>242572.0</v>
      </c>
      <c r="F106" s="20">
        <v>363856.0</v>
      </c>
      <c r="G106" s="180" t="s">
        <v>292</v>
      </c>
      <c r="H106" s="43">
        <f t="shared" si="3"/>
        <v>2207096.2864800002</v>
      </c>
    </row>
    <row r="107" spans="8:8">
      <c r="A107" s="3" t="s">
        <v>118</v>
      </c>
      <c r="B107" s="308" t="s">
        <v>65</v>
      </c>
      <c r="C107" s="93">
        <v>0.01</v>
      </c>
      <c r="D107" s="93">
        <v>1504174.0895999998</v>
      </c>
      <c r="E107" s="20">
        <v>242572.0</v>
      </c>
      <c r="F107" s="20">
        <v>363856.0</v>
      </c>
      <c r="G107" s="180" t="s">
        <v>292</v>
      </c>
      <c r="H107" s="43">
        <f t="shared" si="3"/>
        <v>2110602.0996</v>
      </c>
    </row>
    <row r="108" spans="8:8">
      <c r="A108" s="3" t="s">
        <v>119</v>
      </c>
      <c r="B108" s="308" t="s">
        <v>65</v>
      </c>
      <c r="C108" s="93">
        <v>0.01</v>
      </c>
      <c r="D108" s="93">
        <v>1600668.27648</v>
      </c>
      <c r="E108" s="20">
        <v>242572.0</v>
      </c>
      <c r="F108" s="20">
        <v>363856.0</v>
      </c>
      <c r="G108" s="180" t="s">
        <v>292</v>
      </c>
      <c r="H108" s="43">
        <f t="shared" si="3"/>
        <v>2207096.2864800002</v>
      </c>
    </row>
    <row r="109" spans="8:8">
      <c r="A109" s="3" t="s">
        <v>120</v>
      </c>
      <c r="B109" s="308" t="s">
        <v>65</v>
      </c>
      <c r="C109" s="93">
        <v>0.01</v>
      </c>
      <c r="D109" s="93">
        <v>3008348.1791999997</v>
      </c>
      <c r="E109" s="20">
        <v>242572.0</v>
      </c>
      <c r="F109" s="20">
        <v>363856.0</v>
      </c>
      <c r="G109" s="180" t="s">
        <v>292</v>
      </c>
      <c r="H109" s="43">
        <f t="shared" si="3"/>
        <v>3614776.1891999994</v>
      </c>
    </row>
    <row r="110" spans="8:8">
      <c r="A110" s="3" t="s">
        <v>121</v>
      </c>
      <c r="B110" s="308" t="s">
        <v>65</v>
      </c>
      <c r="C110" s="93">
        <v>0.01</v>
      </c>
      <c r="D110" s="93">
        <v>3201336.55296</v>
      </c>
      <c r="E110" s="20">
        <v>242572.0</v>
      </c>
      <c r="F110" s="20">
        <v>363856.0</v>
      </c>
      <c r="G110" s="180" t="s">
        <v>292</v>
      </c>
      <c r="H110" s="43">
        <f t="shared" si="3"/>
        <v>3807764.56296</v>
      </c>
    </row>
    <row r="111" spans="8:8">
      <c r="A111" s="3" t="s">
        <v>122</v>
      </c>
      <c r="B111" s="308" t="s">
        <v>65</v>
      </c>
      <c r="C111" s="93">
        <v>0.01</v>
      </c>
      <c r="D111" s="93">
        <v>1504174.0895999998</v>
      </c>
      <c r="E111" s="20">
        <v>242572.0</v>
      </c>
      <c r="F111" s="20">
        <v>363856.0</v>
      </c>
      <c r="G111" s="180" t="s">
        <v>292</v>
      </c>
      <c r="H111" s="43">
        <f t="shared" si="3"/>
        <v>2110602.0996</v>
      </c>
    </row>
    <row r="112" spans="8:8">
      <c r="A112" s="3" t="s">
        <v>123</v>
      </c>
      <c r="B112" s="308" t="s">
        <v>65</v>
      </c>
      <c r="C112" s="93">
        <v>0.01</v>
      </c>
      <c r="D112" s="93">
        <v>1600668.27648</v>
      </c>
      <c r="E112" s="20">
        <v>242572.0</v>
      </c>
      <c r="F112" s="20">
        <v>363856.0</v>
      </c>
      <c r="G112" s="180" t="s">
        <v>292</v>
      </c>
      <c r="H112" s="43">
        <f t="shared" si="3"/>
        <v>2207096.2864800002</v>
      </c>
    </row>
    <row r="113" spans="8:8">
      <c r="A113" s="3" t="s">
        <v>124</v>
      </c>
      <c r="B113" s="308" t="s">
        <v>65</v>
      </c>
      <c r="C113" s="93">
        <v>0.01</v>
      </c>
      <c r="D113" s="93">
        <v>1770952.1356800003</v>
      </c>
      <c r="E113" s="20">
        <v>242572.0</v>
      </c>
      <c r="F113" s="20">
        <v>363856.0</v>
      </c>
      <c r="G113" s="180" t="s">
        <v>292</v>
      </c>
      <c r="H113" s="43">
        <f t="shared" si="3"/>
        <v>2377380.14568</v>
      </c>
    </row>
    <row r="114" spans="8:8">
      <c r="A114" s="3" t="s">
        <v>125</v>
      </c>
      <c r="B114" s="308" t="s">
        <v>65</v>
      </c>
      <c r="C114" s="93">
        <v>0.01</v>
      </c>
      <c r="D114" s="93">
        <v>1952588.2521600001</v>
      </c>
      <c r="E114" s="20">
        <v>242572.0</v>
      </c>
      <c r="F114" s="20">
        <v>363856.0</v>
      </c>
      <c r="G114" s="180" t="s">
        <v>292</v>
      </c>
      <c r="H114" s="43">
        <f t="shared" si="3"/>
        <v>2559016.2621600004</v>
      </c>
    </row>
    <row r="115" spans="8:8">
      <c r="A115" s="3" t="s">
        <v>126</v>
      </c>
      <c r="B115" s="308" t="s">
        <v>65</v>
      </c>
      <c r="C115" s="93">
        <v>0.01</v>
      </c>
      <c r="D115" s="93">
        <v>2213690.1695999997</v>
      </c>
      <c r="E115" s="20">
        <v>242572.0</v>
      </c>
      <c r="F115" s="20">
        <v>363856.0</v>
      </c>
      <c r="G115" s="180" t="s">
        <v>292</v>
      </c>
      <c r="H115" s="43">
        <f t="shared" si="3"/>
        <v>2820118.1795999995</v>
      </c>
    </row>
    <row r="116" spans="8:8">
      <c r="A116" s="3" t="s">
        <v>127</v>
      </c>
      <c r="B116" s="308" t="s">
        <v>65</v>
      </c>
      <c r="C116" s="93">
        <v>0.01</v>
      </c>
      <c r="D116" s="93">
        <v>3008348.1791999997</v>
      </c>
      <c r="E116" s="20">
        <v>242572.0</v>
      </c>
      <c r="F116" s="20">
        <v>363856.0</v>
      </c>
      <c r="G116" s="180" t="s">
        <v>292</v>
      </c>
      <c r="H116" s="43">
        <f t="shared" si="3"/>
        <v>3614776.1891999994</v>
      </c>
    </row>
    <row r="117" spans="8:8">
      <c r="A117" s="3" t="s">
        <v>128</v>
      </c>
      <c r="B117" s="308" t="s">
        <v>65</v>
      </c>
      <c r="C117" s="93">
        <v>0.01</v>
      </c>
      <c r="D117" s="93">
        <v>3201336.55296</v>
      </c>
      <c r="E117" s="20">
        <v>242572.0</v>
      </c>
      <c r="F117" s="20">
        <v>363856.0</v>
      </c>
      <c r="G117" s="180" t="s">
        <v>292</v>
      </c>
      <c r="H117" s="43">
        <f t="shared" si="3"/>
        <v>3807764.56296</v>
      </c>
    </row>
    <row r="118" spans="8:8">
      <c r="A118" s="3" t="s">
        <v>129</v>
      </c>
      <c r="B118" s="308" t="s">
        <v>65</v>
      </c>
      <c r="C118" s="93">
        <v>0.01</v>
      </c>
      <c r="D118" s="93">
        <v>3541904.2713600006</v>
      </c>
      <c r="E118" s="20">
        <v>242572.0</v>
      </c>
      <c r="F118" s="20">
        <v>363856.0</v>
      </c>
      <c r="G118" s="180" t="s">
        <v>292</v>
      </c>
      <c r="H118" s="43">
        <f t="shared" si="3"/>
        <v>4148332.2813600004</v>
      </c>
    </row>
    <row r="119" spans="8:8">
      <c r="A119" s="3" t="s">
        <v>130</v>
      </c>
      <c r="B119" s="308" t="s">
        <v>65</v>
      </c>
      <c r="C119" s="93">
        <v>0.01</v>
      </c>
      <c r="D119" s="93">
        <v>3905176.5043200003</v>
      </c>
      <c r="E119" s="20">
        <v>242572.0</v>
      </c>
      <c r="F119" s="20">
        <v>363856.0</v>
      </c>
      <c r="G119" s="180" t="s">
        <v>292</v>
      </c>
      <c r="H119" s="43">
        <f t="shared" si="3"/>
        <v>4511604.51432</v>
      </c>
    </row>
    <row r="120" spans="8:8">
      <c r="A120" s="3" t="s">
        <v>131</v>
      </c>
      <c r="B120" s="308" t="s">
        <v>65</v>
      </c>
      <c r="C120" s="93">
        <v>0.01</v>
      </c>
      <c r="D120" s="93">
        <v>4427380.339199999</v>
      </c>
      <c r="E120" s="20">
        <v>242572.0</v>
      </c>
      <c r="F120" s="20">
        <v>363856.0</v>
      </c>
      <c r="G120" s="180" t="s">
        <v>292</v>
      </c>
      <c r="H120" s="43">
        <f t="shared" si="3"/>
        <v>5033808.349199999</v>
      </c>
    </row>
    <row r="121" spans="8:8">
      <c r="A121" s="3" t="s">
        <v>132</v>
      </c>
      <c r="B121" s="308" t="s">
        <v>65</v>
      </c>
      <c r="C121" s="93">
        <v>0.01</v>
      </c>
      <c r="D121" s="93">
        <v>1504174.0895999998</v>
      </c>
      <c r="E121" s="20">
        <v>242572.0</v>
      </c>
      <c r="F121" s="20">
        <v>363856.0</v>
      </c>
      <c r="G121" s="180" t="s">
        <v>292</v>
      </c>
      <c r="H121" s="43">
        <f t="shared" si="3"/>
        <v>2110602.0996</v>
      </c>
    </row>
    <row r="122" spans="8:8">
      <c r="A122" s="3" t="s">
        <v>133</v>
      </c>
      <c r="B122" s="308" t="s">
        <v>65</v>
      </c>
      <c r="C122" s="93">
        <v>0.01</v>
      </c>
      <c r="D122" s="93">
        <v>1600668.27648</v>
      </c>
      <c r="E122" s="20">
        <v>242572.0</v>
      </c>
      <c r="F122" s="20">
        <v>363856.0</v>
      </c>
      <c r="G122" s="180" t="s">
        <v>292</v>
      </c>
      <c r="H122" s="43">
        <f t="shared" si="3"/>
        <v>2207096.2864800002</v>
      </c>
    </row>
    <row r="123" spans="8:8">
      <c r="A123" s="3" t="s">
        <v>134</v>
      </c>
      <c r="B123" s="308" t="s">
        <v>65</v>
      </c>
      <c r="C123" s="93">
        <v>0.01</v>
      </c>
      <c r="D123" s="93">
        <v>1770952.1356800003</v>
      </c>
      <c r="E123" s="20">
        <v>242572.0</v>
      </c>
      <c r="F123" s="20">
        <v>363856.0</v>
      </c>
      <c r="G123" s="180" t="s">
        <v>292</v>
      </c>
      <c r="H123" s="43">
        <f t="shared" si="3"/>
        <v>2377380.14568</v>
      </c>
    </row>
    <row r="124" spans="8:8">
      <c r="A124" s="3" t="s">
        <v>135</v>
      </c>
      <c r="B124" s="308" t="s">
        <v>65</v>
      </c>
      <c r="C124" s="93">
        <v>0.01</v>
      </c>
      <c r="D124" s="93">
        <v>1504174.0895999998</v>
      </c>
      <c r="E124" s="20">
        <v>242572.0</v>
      </c>
      <c r="F124" s="20">
        <v>363856.0</v>
      </c>
      <c r="G124" s="180" t="s">
        <v>292</v>
      </c>
      <c r="H124" s="43">
        <f t="shared" si="3"/>
        <v>2110602.0996</v>
      </c>
    </row>
    <row r="125" spans="8:8">
      <c r="A125" s="3" t="s">
        <v>136</v>
      </c>
      <c r="B125" s="308" t="s">
        <v>65</v>
      </c>
      <c r="C125" s="93">
        <v>0.01</v>
      </c>
      <c r="D125" s="93">
        <v>1600668.27648</v>
      </c>
      <c r="E125" s="20">
        <v>242572.0</v>
      </c>
      <c r="F125" s="20">
        <v>363856.0</v>
      </c>
      <c r="G125" s="180" t="s">
        <v>292</v>
      </c>
      <c r="H125" s="43">
        <f t="shared" si="3"/>
        <v>2207096.2864800002</v>
      </c>
    </row>
    <row r="126" spans="8:8">
      <c r="A126" s="3" t="s">
        <v>137</v>
      </c>
      <c r="B126" s="308" t="s">
        <v>65</v>
      </c>
      <c r="C126" s="93">
        <v>0.01</v>
      </c>
      <c r="D126" s="93">
        <v>3008348.1791999997</v>
      </c>
      <c r="E126" s="20">
        <v>242572.0</v>
      </c>
      <c r="F126" s="20">
        <v>363856.0</v>
      </c>
      <c r="G126" s="180" t="s">
        <v>292</v>
      </c>
      <c r="H126" s="43">
        <f t="shared" si="4" ref="H126:H189">SUM(C126:F126)</f>
        <v>3614776.1891999994</v>
      </c>
    </row>
    <row r="127" spans="8:8">
      <c r="A127" s="3" t="s">
        <v>138</v>
      </c>
      <c r="B127" s="308" t="s">
        <v>65</v>
      </c>
      <c r="C127" s="93">
        <v>0.01</v>
      </c>
      <c r="D127" s="93">
        <v>3201336.55296</v>
      </c>
      <c r="E127" s="20">
        <v>242572.0</v>
      </c>
      <c r="F127" s="20">
        <v>363856.0</v>
      </c>
      <c r="G127" s="180" t="s">
        <v>292</v>
      </c>
      <c r="H127" s="43">
        <f t="shared" si="4"/>
        <v>3807764.56296</v>
      </c>
    </row>
    <row r="128" spans="8:8">
      <c r="A128" s="3" t="s">
        <v>139</v>
      </c>
      <c r="B128" s="308" t="s">
        <v>65</v>
      </c>
      <c r="C128" s="93">
        <v>0.01</v>
      </c>
      <c r="D128" s="93">
        <v>1504174.0895999998</v>
      </c>
      <c r="E128" s="20">
        <v>242572.0</v>
      </c>
      <c r="F128" s="20">
        <v>363856.0</v>
      </c>
      <c r="G128" s="180" t="s">
        <v>292</v>
      </c>
      <c r="H128" s="43">
        <f t="shared" si="4"/>
        <v>2110602.0996</v>
      </c>
    </row>
    <row r="129" spans="8:8">
      <c r="A129" s="3" t="s">
        <v>140</v>
      </c>
      <c r="B129" s="308" t="s">
        <v>65</v>
      </c>
      <c r="C129" s="93">
        <v>0.01</v>
      </c>
      <c r="D129" s="93">
        <v>1600668.27648</v>
      </c>
      <c r="E129" s="20">
        <v>242572.0</v>
      </c>
      <c r="F129" s="20">
        <v>363856.0</v>
      </c>
      <c r="G129" s="180" t="s">
        <v>292</v>
      </c>
      <c r="H129" s="43">
        <f t="shared" si="4"/>
        <v>2207096.2864800002</v>
      </c>
    </row>
    <row r="130" spans="8:8">
      <c r="A130" s="3" t="s">
        <v>141</v>
      </c>
      <c r="B130" s="308" t="s">
        <v>65</v>
      </c>
      <c r="C130" s="93">
        <v>0.01</v>
      </c>
      <c r="D130" s="93">
        <v>1770952.1356800003</v>
      </c>
      <c r="E130" s="20">
        <v>242572.0</v>
      </c>
      <c r="F130" s="20">
        <v>363856.0</v>
      </c>
      <c r="G130" s="180" t="s">
        <v>292</v>
      </c>
      <c r="H130" s="43">
        <f t="shared" si="4"/>
        <v>2377380.14568</v>
      </c>
    </row>
    <row r="131" spans="8:8">
      <c r="A131" s="3" t="s">
        <v>142</v>
      </c>
      <c r="B131" s="308" t="s">
        <v>65</v>
      </c>
      <c r="C131" s="93">
        <v>0.01</v>
      </c>
      <c r="D131" s="93">
        <v>3008348.1791999997</v>
      </c>
      <c r="E131" s="20">
        <v>242572.0</v>
      </c>
      <c r="F131" s="20">
        <v>363856.0</v>
      </c>
      <c r="G131" s="180" t="s">
        <v>292</v>
      </c>
      <c r="H131" s="43">
        <f t="shared" si="4"/>
        <v>3614776.1891999994</v>
      </c>
    </row>
    <row r="132" spans="8:8">
      <c r="A132" s="3" t="s">
        <v>143</v>
      </c>
      <c r="B132" s="308" t="s">
        <v>65</v>
      </c>
      <c r="C132" s="93">
        <v>0.01</v>
      </c>
      <c r="D132" s="93">
        <v>3201336.55296</v>
      </c>
      <c r="E132" s="20">
        <v>242572.0</v>
      </c>
      <c r="F132" s="20">
        <v>363856.0</v>
      </c>
      <c r="G132" s="180" t="s">
        <v>292</v>
      </c>
      <c r="H132" s="43">
        <f t="shared" si="4"/>
        <v>3807764.56296</v>
      </c>
    </row>
    <row r="133" spans="8:8">
      <c r="A133" s="3" t="s">
        <v>144</v>
      </c>
      <c r="B133" s="308" t="s">
        <v>65</v>
      </c>
      <c r="C133" s="93">
        <v>0.01</v>
      </c>
      <c r="D133" s="93">
        <v>3541904.2713600006</v>
      </c>
      <c r="E133" s="20">
        <v>242572.0</v>
      </c>
      <c r="F133" s="20">
        <v>363856.0</v>
      </c>
      <c r="G133" s="180" t="s">
        <v>292</v>
      </c>
      <c r="H133" s="43">
        <f t="shared" si="4"/>
        <v>4148332.2813600004</v>
      </c>
    </row>
    <row r="134" spans="8:8">
      <c r="A134" s="3" t="s">
        <v>145</v>
      </c>
      <c r="B134" s="308" t="s">
        <v>65</v>
      </c>
      <c r="C134" s="93">
        <v>0.01</v>
      </c>
      <c r="D134" s="93">
        <v>1504174.0895999998</v>
      </c>
      <c r="E134" s="20">
        <v>242572.0</v>
      </c>
      <c r="F134" s="20">
        <v>363856.0</v>
      </c>
      <c r="G134" s="180" t="s">
        <v>292</v>
      </c>
      <c r="H134" s="43">
        <f t="shared" si="4"/>
        <v>2110602.0996</v>
      </c>
    </row>
    <row r="135" spans="8:8">
      <c r="A135" s="3" t="s">
        <v>146</v>
      </c>
      <c r="B135" s="308" t="s">
        <v>65</v>
      </c>
      <c r="C135" s="93">
        <v>0.01</v>
      </c>
      <c r="D135" s="93">
        <v>1600668.27648</v>
      </c>
      <c r="E135" s="20">
        <v>242572.0</v>
      </c>
      <c r="F135" s="20">
        <v>363856.0</v>
      </c>
      <c r="G135" s="180" t="s">
        <v>292</v>
      </c>
      <c r="H135" s="43">
        <f t="shared" si="4"/>
        <v>2207096.2864800002</v>
      </c>
    </row>
    <row r="136" spans="8:8">
      <c r="A136" s="3" t="s">
        <v>147</v>
      </c>
      <c r="B136" s="308" t="s">
        <v>65</v>
      </c>
      <c r="C136" s="93">
        <v>0.01</v>
      </c>
      <c r="D136" s="93">
        <v>1770952.1356800003</v>
      </c>
      <c r="E136" s="20">
        <v>242572.0</v>
      </c>
      <c r="F136" s="20">
        <v>363856.0</v>
      </c>
      <c r="G136" s="180" t="s">
        <v>292</v>
      </c>
      <c r="H136" s="43">
        <f t="shared" si="4"/>
        <v>2377380.14568</v>
      </c>
    </row>
    <row r="137" spans="8:8">
      <c r="A137" s="3" t="s">
        <v>148</v>
      </c>
      <c r="B137" s="308" t="s">
        <v>65</v>
      </c>
      <c r="C137" s="93">
        <v>0.01</v>
      </c>
      <c r="D137" s="93">
        <v>1600668.27648</v>
      </c>
      <c r="E137" s="20">
        <v>242572.0</v>
      </c>
      <c r="F137" s="20">
        <v>363856.0</v>
      </c>
      <c r="G137" s="180" t="s">
        <v>292</v>
      </c>
      <c r="H137" s="43">
        <f t="shared" si="4"/>
        <v>2207096.2864800002</v>
      </c>
    </row>
    <row r="138" spans="8:8">
      <c r="A138" s="3" t="s">
        <v>149</v>
      </c>
      <c r="B138" s="308" t="s">
        <v>65</v>
      </c>
      <c r="C138" s="93">
        <v>0.01</v>
      </c>
      <c r="D138" s="93">
        <v>1770952.1356800003</v>
      </c>
      <c r="E138" s="20">
        <v>242572.0</v>
      </c>
      <c r="F138" s="20">
        <v>363856.0</v>
      </c>
      <c r="G138" s="180" t="s">
        <v>292</v>
      </c>
      <c r="H138" s="43">
        <f t="shared" si="4"/>
        <v>2377380.14568</v>
      </c>
    </row>
    <row r="139" spans="8:8">
      <c r="A139" s="3" t="s">
        <v>150</v>
      </c>
      <c r="B139" s="308" t="s">
        <v>65</v>
      </c>
      <c r="C139" s="93">
        <v>0.01</v>
      </c>
      <c r="D139" s="93">
        <v>2378297.9001599997</v>
      </c>
      <c r="E139" s="20">
        <v>242572.0</v>
      </c>
      <c r="F139" s="20">
        <v>363856.0</v>
      </c>
      <c r="G139" s="180" t="s">
        <v>292</v>
      </c>
      <c r="H139" s="43">
        <f t="shared" si="4"/>
        <v>2984725.9101599995</v>
      </c>
    </row>
    <row r="140" spans="8:8">
      <c r="A140" s="3" t="s">
        <v>151</v>
      </c>
      <c r="B140" s="308" t="s">
        <v>65</v>
      </c>
      <c r="C140" s="93">
        <v>0.01</v>
      </c>
      <c r="D140" s="93">
        <v>3201336.55296</v>
      </c>
      <c r="E140" s="20">
        <v>242572.0</v>
      </c>
      <c r="F140" s="20">
        <v>363856.0</v>
      </c>
      <c r="G140" s="180" t="s">
        <v>292</v>
      </c>
      <c r="H140" s="43">
        <f t="shared" si="4"/>
        <v>3807764.56296</v>
      </c>
    </row>
    <row r="141" spans="8:8">
      <c r="A141" s="3" t="s">
        <v>152</v>
      </c>
      <c r="B141" s="308" t="s">
        <v>65</v>
      </c>
      <c r="C141" s="93">
        <v>0.01</v>
      </c>
      <c r="D141" s="93">
        <v>3541904.2713600006</v>
      </c>
      <c r="E141" s="20">
        <v>242572.0</v>
      </c>
      <c r="F141" s="20">
        <v>363856.0</v>
      </c>
      <c r="G141" s="180" t="s">
        <v>292</v>
      </c>
      <c r="H141" s="43">
        <f t="shared" si="4"/>
        <v>4148332.2813600004</v>
      </c>
    </row>
    <row r="142" spans="8:8">
      <c r="A142" s="3" t="s">
        <v>153</v>
      </c>
      <c r="B142" s="308" t="s">
        <v>65</v>
      </c>
      <c r="C142" s="93">
        <v>0.01</v>
      </c>
      <c r="D142" s="93">
        <v>7378967.232</v>
      </c>
      <c r="E142" s="20">
        <v>242572.0</v>
      </c>
      <c r="F142" s="20">
        <v>363856.0</v>
      </c>
      <c r="G142" s="180" t="s">
        <v>292</v>
      </c>
      <c r="H142" s="43">
        <f t="shared" si="4"/>
        <v>7985395.242</v>
      </c>
    </row>
    <row r="143" spans="8:8">
      <c r="A143" s="3" t="s">
        <v>154</v>
      </c>
      <c r="B143" s="308" t="s">
        <v>65</v>
      </c>
      <c r="C143" s="93">
        <v>0.01</v>
      </c>
      <c r="D143" s="93">
        <v>1419032.1600000001</v>
      </c>
      <c r="E143" s="20">
        <v>242572.0</v>
      </c>
      <c r="F143" s="20">
        <v>363856.0</v>
      </c>
      <c r="G143" s="180" t="s">
        <v>292</v>
      </c>
      <c r="H143" s="43">
        <f t="shared" si="4"/>
        <v>2025460.1700000002</v>
      </c>
    </row>
    <row r="144" spans="8:8">
      <c r="A144" s="3" t="s">
        <v>155</v>
      </c>
      <c r="B144" s="308" t="s">
        <v>65</v>
      </c>
      <c r="C144" s="93">
        <v>0.01</v>
      </c>
      <c r="D144" s="93">
        <v>1504174.0895999998</v>
      </c>
      <c r="E144" s="20">
        <v>242572.0</v>
      </c>
      <c r="F144" s="20">
        <v>363856.0</v>
      </c>
      <c r="G144" s="180" t="s">
        <v>292</v>
      </c>
      <c r="H144" s="43">
        <f t="shared" si="4"/>
        <v>2110602.0996</v>
      </c>
    </row>
    <row r="145" spans="8:8">
      <c r="A145" s="3" t="s">
        <v>156</v>
      </c>
      <c r="B145" s="308" t="s">
        <v>65</v>
      </c>
      <c r="C145" s="93">
        <v>0.01</v>
      </c>
      <c r="D145" s="93">
        <v>1600668.27648</v>
      </c>
      <c r="E145" s="20">
        <v>242572.0</v>
      </c>
      <c r="F145" s="20">
        <v>363856.0</v>
      </c>
      <c r="G145" s="180" t="s">
        <v>292</v>
      </c>
      <c r="H145" s="43">
        <f t="shared" si="4"/>
        <v>2207096.2864800002</v>
      </c>
    </row>
    <row r="146" spans="8:8">
      <c r="A146" s="3" t="s">
        <v>157</v>
      </c>
      <c r="B146" s="308" t="s">
        <v>65</v>
      </c>
      <c r="C146" s="93">
        <v>0.01</v>
      </c>
      <c r="D146" s="93">
        <v>1504174.0895999998</v>
      </c>
      <c r="E146" s="20">
        <v>242572.0</v>
      </c>
      <c r="F146" s="20">
        <v>363856.0</v>
      </c>
      <c r="G146" s="180" t="s">
        <v>292</v>
      </c>
      <c r="H146" s="43">
        <f t="shared" si="4"/>
        <v>2110602.0996</v>
      </c>
    </row>
    <row r="147" spans="8:8">
      <c r="A147" s="3" t="s">
        <v>158</v>
      </c>
      <c r="B147" s="308" t="s">
        <v>65</v>
      </c>
      <c r="C147" s="93">
        <v>0.01</v>
      </c>
      <c r="D147" s="93">
        <v>1600668.27648</v>
      </c>
      <c r="E147" s="20">
        <v>242572.0</v>
      </c>
      <c r="F147" s="20">
        <v>363856.0</v>
      </c>
      <c r="G147" s="180" t="s">
        <v>292</v>
      </c>
      <c r="H147" s="43">
        <f t="shared" si="4"/>
        <v>2207096.2864800002</v>
      </c>
    </row>
    <row r="148" spans="8:8">
      <c r="A148" s="3" t="s">
        <v>159</v>
      </c>
      <c r="B148" s="308" t="s">
        <v>65</v>
      </c>
      <c r="C148" s="93">
        <v>0.01</v>
      </c>
      <c r="D148" s="93">
        <v>1770952.1356800003</v>
      </c>
      <c r="E148" s="20">
        <v>242572.0</v>
      </c>
      <c r="F148" s="20">
        <v>363856.0</v>
      </c>
      <c r="G148" s="180" t="s">
        <v>292</v>
      </c>
      <c r="H148" s="43">
        <f t="shared" si="4"/>
        <v>2377380.14568</v>
      </c>
    </row>
    <row r="149" spans="8:8">
      <c r="A149" s="3" t="s">
        <v>160</v>
      </c>
      <c r="B149" s="308" t="s">
        <v>65</v>
      </c>
      <c r="C149" s="93">
        <v>0.01</v>
      </c>
      <c r="D149" s="93">
        <v>1600668.27648</v>
      </c>
      <c r="E149" s="20">
        <v>242572.0</v>
      </c>
      <c r="F149" s="20">
        <v>363856.0</v>
      </c>
      <c r="G149" s="180" t="s">
        <v>292</v>
      </c>
      <c r="H149" s="43">
        <f t="shared" si="4"/>
        <v>2207096.2864800002</v>
      </c>
    </row>
    <row r="150" spans="8:8">
      <c r="A150" s="15" t="s">
        <v>161</v>
      </c>
      <c r="B150" s="309" t="s">
        <v>65</v>
      </c>
      <c r="C150" s="93">
        <v>0.01</v>
      </c>
      <c r="D150" s="93">
        <v>1770952.1356800003</v>
      </c>
      <c r="E150" s="20">
        <v>242572.0</v>
      </c>
      <c r="F150" s="20">
        <v>363856.0</v>
      </c>
      <c r="G150" s="180" t="s">
        <v>292</v>
      </c>
      <c r="H150" s="43">
        <f t="shared" si="4"/>
        <v>2377380.14568</v>
      </c>
    </row>
    <row r="151" spans="8:8">
      <c r="A151" s="15" t="s">
        <v>162</v>
      </c>
      <c r="B151" s="309" t="s">
        <v>65</v>
      </c>
      <c r="C151" s="93">
        <v>0.01</v>
      </c>
      <c r="D151" s="93">
        <v>3201336.55296</v>
      </c>
      <c r="E151" s="20">
        <v>242572.0</v>
      </c>
      <c r="F151" s="20">
        <v>363856.0</v>
      </c>
      <c r="G151" s="180" t="s">
        <v>292</v>
      </c>
      <c r="H151" s="43">
        <f t="shared" si="4"/>
        <v>3807764.56296</v>
      </c>
    </row>
    <row r="152" spans="8:8">
      <c r="A152" s="15" t="s">
        <v>163</v>
      </c>
      <c r="B152" s="309" t="s">
        <v>65</v>
      </c>
      <c r="C152" s="93">
        <v>0.01</v>
      </c>
      <c r="D152" s="93">
        <v>3541904.2713600006</v>
      </c>
      <c r="E152" s="20">
        <v>242572.0</v>
      </c>
      <c r="F152" s="20">
        <v>363856.0</v>
      </c>
      <c r="G152" s="180" t="s">
        <v>292</v>
      </c>
      <c r="H152" s="43">
        <f t="shared" si="4"/>
        <v>4148332.2813600004</v>
      </c>
    </row>
    <row r="153" spans="8:8">
      <c r="A153" s="3" t="s">
        <v>164</v>
      </c>
      <c r="B153" s="308" t="s">
        <v>65</v>
      </c>
      <c r="C153" s="93">
        <v>0.01</v>
      </c>
      <c r="D153" s="93">
        <v>1384975.3881599999</v>
      </c>
      <c r="E153" s="20">
        <v>242572.0</v>
      </c>
      <c r="F153" s="20">
        <v>363856.0</v>
      </c>
      <c r="G153" s="180" t="s">
        <v>292</v>
      </c>
      <c r="H153" s="43">
        <f t="shared" si="4"/>
        <v>1991403.3981599999</v>
      </c>
    </row>
    <row r="154" spans="8:8">
      <c r="A154" s="3" t="s">
        <v>165</v>
      </c>
      <c r="B154" s="308" t="s">
        <v>65</v>
      </c>
      <c r="C154" s="93">
        <v>0.01</v>
      </c>
      <c r="D154" s="93">
        <v>1555259.2473600002</v>
      </c>
      <c r="E154" s="20">
        <v>242572.0</v>
      </c>
      <c r="F154" s="20">
        <v>363856.0</v>
      </c>
      <c r="G154" s="180" t="s">
        <v>292</v>
      </c>
      <c r="H154" s="43">
        <f t="shared" si="4"/>
        <v>2161687.25736</v>
      </c>
    </row>
    <row r="155" spans="8:8">
      <c r="A155" s="3" t="s">
        <v>166</v>
      </c>
      <c r="B155" s="308" t="s">
        <v>65</v>
      </c>
      <c r="C155" s="93">
        <v>0.01</v>
      </c>
      <c r="D155" s="93">
        <v>1504174.0895999998</v>
      </c>
      <c r="E155" s="20">
        <v>242572.0</v>
      </c>
      <c r="F155" s="20">
        <v>363856.0</v>
      </c>
      <c r="G155" s="180" t="s">
        <v>292</v>
      </c>
      <c r="H155" s="43">
        <f t="shared" si="4"/>
        <v>2110602.0996</v>
      </c>
    </row>
    <row r="156" spans="8:8">
      <c r="A156" s="3" t="s">
        <v>167</v>
      </c>
      <c r="B156" s="308" t="s">
        <v>65</v>
      </c>
      <c r="C156" s="93">
        <v>0.01</v>
      </c>
      <c r="D156" s="93">
        <v>1600668.27648</v>
      </c>
      <c r="E156" s="20">
        <v>242572.0</v>
      </c>
      <c r="F156" s="20">
        <v>363856.0</v>
      </c>
      <c r="G156" s="180" t="s">
        <v>292</v>
      </c>
      <c r="H156" s="43">
        <f t="shared" si="4"/>
        <v>2207096.2864800002</v>
      </c>
    </row>
    <row r="157" spans="8:8">
      <c r="A157" s="3" t="s">
        <v>168</v>
      </c>
      <c r="B157" s="308" t="s">
        <v>65</v>
      </c>
      <c r="C157" s="93">
        <v>0.01</v>
      </c>
      <c r="D157" s="93">
        <v>3008348.1791999997</v>
      </c>
      <c r="E157" s="20">
        <v>242572.0</v>
      </c>
      <c r="F157" s="20">
        <v>363856.0</v>
      </c>
      <c r="G157" s="180" t="s">
        <v>292</v>
      </c>
      <c r="H157" s="43">
        <f t="shared" si="4"/>
        <v>3614776.1891999994</v>
      </c>
    </row>
    <row r="158" spans="8:8">
      <c r="A158" s="3" t="s">
        <v>169</v>
      </c>
      <c r="B158" s="308" t="s">
        <v>65</v>
      </c>
      <c r="C158" s="93">
        <v>0.01</v>
      </c>
      <c r="D158" s="93">
        <v>3201336.55296</v>
      </c>
      <c r="E158" s="20">
        <v>242572.0</v>
      </c>
      <c r="F158" s="20">
        <v>363856.0</v>
      </c>
      <c r="G158" s="180" t="s">
        <v>292</v>
      </c>
      <c r="H158" s="43">
        <f t="shared" si="4"/>
        <v>3807764.56296</v>
      </c>
    </row>
    <row r="159" spans="8:8">
      <c r="A159" s="3" t="s">
        <v>170</v>
      </c>
      <c r="B159" s="308" t="s">
        <v>65</v>
      </c>
      <c r="C159" s="93">
        <v>0.01</v>
      </c>
      <c r="D159" s="93">
        <v>1504174.0895999998</v>
      </c>
      <c r="E159" s="20">
        <v>242572.0</v>
      </c>
      <c r="F159" s="20">
        <v>363856.0</v>
      </c>
      <c r="G159" s="180" t="s">
        <v>292</v>
      </c>
      <c r="H159" s="43">
        <f t="shared" si="4"/>
        <v>2110602.0996</v>
      </c>
    </row>
    <row r="160" spans="8:8">
      <c r="A160" s="3" t="s">
        <v>171</v>
      </c>
      <c r="B160" s="308" t="s">
        <v>65</v>
      </c>
      <c r="C160" s="93">
        <v>0.01</v>
      </c>
      <c r="D160" s="93">
        <v>1600668.27648</v>
      </c>
      <c r="E160" s="20">
        <v>242572.0</v>
      </c>
      <c r="F160" s="20">
        <v>363856.0</v>
      </c>
      <c r="G160" s="180" t="s">
        <v>292</v>
      </c>
      <c r="H160" s="43">
        <f t="shared" si="4"/>
        <v>2207096.2864800002</v>
      </c>
    </row>
    <row r="161" spans="8:8">
      <c r="A161" s="3" t="s">
        <v>172</v>
      </c>
      <c r="B161" s="308" t="s">
        <v>65</v>
      </c>
      <c r="C161" s="93">
        <v>0.01</v>
      </c>
      <c r="D161" s="93">
        <v>1770952.1356800003</v>
      </c>
      <c r="E161" s="20">
        <v>242572.0</v>
      </c>
      <c r="F161" s="20">
        <v>363856.0</v>
      </c>
      <c r="G161" s="180" t="s">
        <v>292</v>
      </c>
      <c r="H161" s="43">
        <f t="shared" si="4"/>
        <v>2377380.14568</v>
      </c>
    </row>
    <row r="162" spans="8:8">
      <c r="A162" s="3" t="s">
        <v>173</v>
      </c>
      <c r="B162" s="308" t="s">
        <v>65</v>
      </c>
      <c r="C162" s="93">
        <v>0.01</v>
      </c>
      <c r="D162" s="93">
        <v>3008348.1791999997</v>
      </c>
      <c r="E162" s="20">
        <v>242572.0</v>
      </c>
      <c r="F162" s="20">
        <v>363856.0</v>
      </c>
      <c r="G162" s="180" t="s">
        <v>292</v>
      </c>
      <c r="H162" s="43">
        <f t="shared" si="4"/>
        <v>3614776.1891999994</v>
      </c>
    </row>
    <row r="163" spans="8:8">
      <c r="A163" s="3" t="s">
        <v>174</v>
      </c>
      <c r="B163" s="308" t="s">
        <v>65</v>
      </c>
      <c r="C163" s="93">
        <v>0.01</v>
      </c>
      <c r="D163" s="93">
        <v>3201336.55296</v>
      </c>
      <c r="E163" s="20">
        <v>242572.0</v>
      </c>
      <c r="F163" s="20">
        <v>363856.0</v>
      </c>
      <c r="G163" s="180" t="s">
        <v>292</v>
      </c>
      <c r="H163" s="43">
        <f t="shared" si="4"/>
        <v>3807764.56296</v>
      </c>
    </row>
    <row r="164" spans="8:8">
      <c r="A164" s="3" t="s">
        <v>175</v>
      </c>
      <c r="B164" s="308" t="s">
        <v>65</v>
      </c>
      <c r="C164" s="93">
        <v>0.01</v>
      </c>
      <c r="D164" s="93">
        <v>3541904.2713600006</v>
      </c>
      <c r="E164" s="20">
        <v>242572.0</v>
      </c>
      <c r="F164" s="20">
        <v>363856.0</v>
      </c>
      <c r="G164" s="180" t="s">
        <v>292</v>
      </c>
      <c r="H164" s="43">
        <f t="shared" si="4"/>
        <v>4148332.2813600004</v>
      </c>
    </row>
    <row r="165" spans="8:8">
      <c r="A165" s="3" t="s">
        <v>176</v>
      </c>
      <c r="B165" s="308" t="s">
        <v>65</v>
      </c>
      <c r="C165" s="93">
        <v>0.01</v>
      </c>
      <c r="D165" s="93">
        <v>1402003.7740800001</v>
      </c>
      <c r="E165" s="20">
        <v>242572.0</v>
      </c>
      <c r="F165" s="20">
        <v>363856.0</v>
      </c>
      <c r="G165" s="180" t="s">
        <v>292</v>
      </c>
      <c r="H165" s="43">
        <f t="shared" si="4"/>
        <v>2008431.7840800001</v>
      </c>
    </row>
    <row r="166" spans="8:8">
      <c r="A166" s="3" t="s">
        <v>177</v>
      </c>
      <c r="B166" s="308" t="s">
        <v>65</v>
      </c>
      <c r="C166" s="93">
        <v>0.01</v>
      </c>
      <c r="D166" s="93">
        <v>1770952.1356800003</v>
      </c>
      <c r="E166" s="20">
        <v>242572.0</v>
      </c>
      <c r="F166" s="20">
        <v>363856.0</v>
      </c>
      <c r="G166" s="180" t="s">
        <v>292</v>
      </c>
      <c r="H166" s="43">
        <f t="shared" si="4"/>
        <v>2377380.14568</v>
      </c>
    </row>
    <row r="167" spans="8:8">
      <c r="A167" s="3" t="s">
        <v>178</v>
      </c>
      <c r="B167" s="308" t="s">
        <v>65</v>
      </c>
      <c r="C167" s="93">
        <v>8580000.0</v>
      </c>
      <c r="D167" s="93">
        <v>2.6604014935680002E7</v>
      </c>
      <c r="E167" s="20">
        <v>242572.0</v>
      </c>
      <c r="F167" s="20">
        <v>363856.0</v>
      </c>
      <c r="G167" s="180" t="s">
        <v>292</v>
      </c>
      <c r="H167" s="43">
        <f t="shared" si="4"/>
        <v>3.579044293568E7</v>
      </c>
    </row>
    <row r="168" spans="8:8">
      <c r="A168" s="3" t="s">
        <v>179</v>
      </c>
      <c r="B168" s="308" t="s">
        <v>65</v>
      </c>
      <c r="C168" s="93">
        <v>0.01</v>
      </c>
      <c r="D168" s="93">
        <v>3411353.3126400006</v>
      </c>
      <c r="E168" s="20">
        <v>242572.0</v>
      </c>
      <c r="F168" s="20">
        <v>363856.0</v>
      </c>
      <c r="G168" s="180" t="s">
        <v>292</v>
      </c>
      <c r="H168" s="43">
        <f t="shared" si="4"/>
        <v>4017781.3226400004</v>
      </c>
    </row>
    <row r="169" spans="8:8">
      <c r="A169" s="3" t="s">
        <v>180</v>
      </c>
      <c r="B169" s="308" t="s">
        <v>65</v>
      </c>
      <c r="C169" s="93">
        <v>0.01</v>
      </c>
      <c r="D169" s="93">
        <v>1600668.27648</v>
      </c>
      <c r="E169" s="20">
        <v>242572.0</v>
      </c>
      <c r="F169" s="20">
        <v>363856.0</v>
      </c>
      <c r="G169" s="180" t="s">
        <v>292</v>
      </c>
      <c r="H169" s="43">
        <f t="shared" si="4"/>
        <v>2207096.2864800002</v>
      </c>
    </row>
    <row r="170" spans="8:8">
      <c r="A170" s="3" t="s">
        <v>181</v>
      </c>
      <c r="B170" s="308" t="s">
        <v>65</v>
      </c>
      <c r="C170" s="93">
        <v>0.01</v>
      </c>
      <c r="D170" s="93">
        <v>3201336.55296</v>
      </c>
      <c r="E170" s="20">
        <v>242572.0</v>
      </c>
      <c r="F170" s="20">
        <v>363856.0</v>
      </c>
      <c r="G170" s="180" t="s">
        <v>292</v>
      </c>
      <c r="H170" s="43">
        <f t="shared" si="4"/>
        <v>3807764.56296</v>
      </c>
    </row>
    <row r="171" spans="8:8">
      <c r="A171" s="3" t="s">
        <v>182</v>
      </c>
      <c r="B171" s="308" t="s">
        <v>65</v>
      </c>
      <c r="C171" s="93">
        <v>0.01</v>
      </c>
      <c r="D171" s="93">
        <v>1504174.0895999998</v>
      </c>
      <c r="E171" s="20">
        <v>242572.0</v>
      </c>
      <c r="F171" s="20">
        <v>363856.0</v>
      </c>
      <c r="G171" s="180" t="s">
        <v>292</v>
      </c>
      <c r="H171" s="43">
        <f t="shared" si="4"/>
        <v>2110602.0996</v>
      </c>
    </row>
    <row r="172" spans="8:8">
      <c r="A172" s="3" t="s">
        <v>183</v>
      </c>
      <c r="B172" s="308" t="s">
        <v>65</v>
      </c>
      <c r="C172" s="93">
        <v>0.01</v>
      </c>
      <c r="D172" s="93">
        <v>1600668.27648</v>
      </c>
      <c r="E172" s="20">
        <v>242572.0</v>
      </c>
      <c r="F172" s="20">
        <v>363856.0</v>
      </c>
      <c r="G172" s="180" t="s">
        <v>292</v>
      </c>
      <c r="H172" s="43">
        <f t="shared" si="4"/>
        <v>2207096.2864800002</v>
      </c>
    </row>
    <row r="173" spans="8:8">
      <c r="A173" s="3" t="s">
        <v>184</v>
      </c>
      <c r="B173" s="308" t="s">
        <v>65</v>
      </c>
      <c r="C173" s="93">
        <v>0.01</v>
      </c>
      <c r="D173" s="93">
        <v>1770952.1356800003</v>
      </c>
      <c r="E173" s="20">
        <v>242572.0</v>
      </c>
      <c r="F173" s="20">
        <v>363856.0</v>
      </c>
      <c r="G173" s="180" t="s">
        <v>292</v>
      </c>
      <c r="H173" s="43">
        <f t="shared" si="4"/>
        <v>2377380.14568</v>
      </c>
    </row>
    <row r="174" spans="8:8">
      <c r="A174" s="3" t="s">
        <v>185</v>
      </c>
      <c r="B174" s="308" t="s">
        <v>65</v>
      </c>
      <c r="C174" s="93">
        <v>0.01</v>
      </c>
      <c r="D174" s="93">
        <v>3008348.1791999997</v>
      </c>
      <c r="E174" s="20">
        <v>242572.0</v>
      </c>
      <c r="F174" s="20">
        <v>363856.0</v>
      </c>
      <c r="G174" s="180" t="s">
        <v>292</v>
      </c>
      <c r="H174" s="43">
        <f t="shared" si="4"/>
        <v>3614776.1891999994</v>
      </c>
    </row>
    <row r="175" spans="8:8">
      <c r="A175" s="3" t="s">
        <v>186</v>
      </c>
      <c r="B175" s="308" t="s">
        <v>65</v>
      </c>
      <c r="C175" s="93">
        <v>0.01</v>
      </c>
      <c r="D175" s="93">
        <v>3201336.55296</v>
      </c>
      <c r="E175" s="20">
        <v>242572.0</v>
      </c>
      <c r="F175" s="20">
        <v>363856.0</v>
      </c>
      <c r="G175" s="180" t="s">
        <v>292</v>
      </c>
      <c r="H175" s="43">
        <f t="shared" si="4"/>
        <v>3807764.56296</v>
      </c>
    </row>
    <row r="176" spans="8:8">
      <c r="A176" s="3" t="s">
        <v>187</v>
      </c>
      <c r="B176" s="308" t="s">
        <v>65</v>
      </c>
      <c r="C176" s="93">
        <v>0.01</v>
      </c>
      <c r="D176" s="93">
        <v>3541904.2713600006</v>
      </c>
      <c r="E176" s="20">
        <v>242572.0</v>
      </c>
      <c r="F176" s="20">
        <v>363856.0</v>
      </c>
      <c r="G176" s="180" t="s">
        <v>292</v>
      </c>
      <c r="H176" s="43">
        <f t="shared" si="4"/>
        <v>4148332.2813600004</v>
      </c>
    </row>
    <row r="177" spans="8:8">
      <c r="A177" s="15" t="s">
        <v>188</v>
      </c>
      <c r="B177" s="309" t="s">
        <v>65</v>
      </c>
      <c r="C177" s="93">
        <v>0.01</v>
      </c>
      <c r="D177" s="93">
        <v>1504174.0895999998</v>
      </c>
      <c r="E177" s="20">
        <v>242572.0</v>
      </c>
      <c r="F177" s="20">
        <v>363856.0</v>
      </c>
      <c r="G177" s="180" t="s">
        <v>292</v>
      </c>
      <c r="H177" s="43">
        <f t="shared" si="4"/>
        <v>2110602.0996</v>
      </c>
    </row>
    <row r="178" spans="8:8">
      <c r="A178" s="3" t="s">
        <v>189</v>
      </c>
      <c r="B178" s="308" t="s">
        <v>65</v>
      </c>
      <c r="C178" s="93">
        <v>0.01</v>
      </c>
      <c r="D178" s="93">
        <v>1600668.27648</v>
      </c>
      <c r="E178" s="20">
        <v>242572.0</v>
      </c>
      <c r="F178" s="20">
        <v>363856.0</v>
      </c>
      <c r="G178" s="180" t="s">
        <v>292</v>
      </c>
      <c r="H178" s="43">
        <f t="shared" si="4"/>
        <v>2207096.2864800002</v>
      </c>
    </row>
    <row r="179" spans="8:8">
      <c r="A179" s="3" t="s">
        <v>190</v>
      </c>
      <c r="B179" s="309" t="s">
        <v>65</v>
      </c>
      <c r="C179" s="93">
        <v>0.01</v>
      </c>
      <c r="D179" s="93">
        <v>1504174.0895999998</v>
      </c>
      <c r="E179" s="20">
        <v>242572.0</v>
      </c>
      <c r="F179" s="20">
        <v>363856.0</v>
      </c>
      <c r="G179" s="180" t="s">
        <v>292</v>
      </c>
      <c r="H179" s="43">
        <f t="shared" si="4"/>
        <v>2110602.0996</v>
      </c>
    </row>
    <row r="180" spans="8:8" s="49" ht="15.0" customFormat="1">
      <c r="A180" s="3" t="s">
        <v>191</v>
      </c>
      <c r="B180" s="308" t="s">
        <v>65</v>
      </c>
      <c r="C180" s="93">
        <v>0.01</v>
      </c>
      <c r="D180" s="93">
        <v>1600668.27648</v>
      </c>
      <c r="E180" s="20">
        <v>242572.0</v>
      </c>
      <c r="F180" s="20">
        <v>363856.0</v>
      </c>
      <c r="G180" s="180" t="s">
        <v>292</v>
      </c>
      <c r="H180" s="241">
        <f t="shared" si="4"/>
        <v>2207096.2864800002</v>
      </c>
    </row>
    <row r="181" spans="8:8">
      <c r="A181" s="3" t="s">
        <v>192</v>
      </c>
      <c r="B181" s="308" t="s">
        <v>65</v>
      </c>
      <c r="C181" s="93">
        <v>0.01</v>
      </c>
      <c r="D181" s="93">
        <v>1770952.1356800003</v>
      </c>
      <c r="E181" s="20">
        <v>242572.0</v>
      </c>
      <c r="F181" s="20">
        <v>363856.0</v>
      </c>
      <c r="G181" s="180" t="s">
        <v>292</v>
      </c>
      <c r="H181" s="43">
        <f t="shared" si="4"/>
        <v>2377380.14568</v>
      </c>
    </row>
    <row r="182" spans="8:8">
      <c r="A182" s="3" t="s">
        <v>193</v>
      </c>
      <c r="B182" s="308" t="s">
        <v>65</v>
      </c>
      <c r="C182" s="93">
        <v>0.01</v>
      </c>
      <c r="D182" s="93">
        <v>1504174.0895999998</v>
      </c>
      <c r="E182" s="20">
        <v>242572.0</v>
      </c>
      <c r="F182" s="20">
        <v>363856.0</v>
      </c>
      <c r="G182" s="180" t="s">
        <v>292</v>
      </c>
      <c r="H182" s="43">
        <f t="shared" si="4"/>
        <v>2110602.0996</v>
      </c>
    </row>
    <row r="183" spans="8:8">
      <c r="A183" s="3" t="s">
        <v>194</v>
      </c>
      <c r="B183" s="308" t="s">
        <v>65</v>
      </c>
      <c r="C183" s="93">
        <v>0.01</v>
      </c>
      <c r="D183" s="93">
        <v>1600668.27648</v>
      </c>
      <c r="E183" s="20">
        <v>242572.0</v>
      </c>
      <c r="F183" s="20">
        <v>363856.0</v>
      </c>
      <c r="G183" s="180" t="s">
        <v>292</v>
      </c>
      <c r="H183" s="43">
        <f t="shared" si="4"/>
        <v>2207096.2864800002</v>
      </c>
    </row>
    <row r="184" spans="8:8">
      <c r="A184" s="3" t="s">
        <v>197</v>
      </c>
      <c r="B184" s="308" t="s">
        <v>196</v>
      </c>
      <c r="C184" s="93">
        <v>0.01</v>
      </c>
      <c r="D184" s="93">
        <v>3726648.744</v>
      </c>
      <c r="E184" s="20">
        <v>242572.0</v>
      </c>
      <c r="F184" s="20">
        <v>363856.0</v>
      </c>
      <c r="G184" s="180" t="s">
        <v>292</v>
      </c>
      <c r="H184" s="43">
        <f t="shared" si="4"/>
        <v>4333076.754</v>
      </c>
    </row>
    <row r="185" spans="8:8">
      <c r="A185" s="3" t="s">
        <v>198</v>
      </c>
      <c r="B185" s="308" t="s">
        <v>196</v>
      </c>
      <c r="C185" s="93">
        <v>0.01</v>
      </c>
      <c r="D185" s="93">
        <v>3.7107690984E7</v>
      </c>
      <c r="E185" s="20">
        <v>242572.0</v>
      </c>
      <c r="F185" s="20">
        <v>363856.0</v>
      </c>
      <c r="G185" s="180" t="s">
        <v>292</v>
      </c>
      <c r="H185" s="43">
        <f t="shared" si="4"/>
        <v>3.7714118993999995E7</v>
      </c>
    </row>
    <row r="186" spans="8:8">
      <c r="A186" s="298" t="s">
        <v>398</v>
      </c>
      <c r="B186" s="308" t="s">
        <v>196</v>
      </c>
      <c r="C186" s="93">
        <v>0.01</v>
      </c>
      <c r="D186" s="93">
        <v>1.0628261280000001E7</v>
      </c>
      <c r="E186" s="20">
        <v>242572.0</v>
      </c>
      <c r="F186" s="20">
        <v>363856.0</v>
      </c>
      <c r="G186" s="180" t="s">
        <v>292</v>
      </c>
      <c r="H186" s="43">
        <f t="shared" si="4"/>
        <v>1.1234689290000001E7</v>
      </c>
      <c r="L186" s="233"/>
      <c r="M186" s="238"/>
    </row>
    <row r="187" spans="8:8">
      <c r="A187" s="3" t="s">
        <v>201</v>
      </c>
      <c r="B187" s="308" t="s">
        <v>196</v>
      </c>
      <c r="C187" s="93">
        <v>0.01</v>
      </c>
      <c r="D187" s="93">
        <v>1.0628261280000001E7</v>
      </c>
      <c r="E187" s="20">
        <v>242572.0</v>
      </c>
      <c r="F187" s="20">
        <v>363856.0</v>
      </c>
      <c r="G187" s="180" t="s">
        <v>292</v>
      </c>
      <c r="H187" s="43">
        <f t="shared" si="4"/>
        <v>1.1234689290000001E7</v>
      </c>
    </row>
    <row r="188" spans="8:8">
      <c r="A188" s="3" t="s">
        <v>202</v>
      </c>
      <c r="B188" s="309" t="s">
        <v>196</v>
      </c>
      <c r="C188" s="93">
        <v>0.01</v>
      </c>
      <c r="D188" s="93">
        <v>1.0628261280000001E7</v>
      </c>
      <c r="E188" s="20">
        <v>242572.0</v>
      </c>
      <c r="F188" s="20">
        <v>363856.0</v>
      </c>
      <c r="G188" s="180" t="s">
        <v>292</v>
      </c>
      <c r="H188" s="43">
        <f t="shared" si="4"/>
        <v>1.1234689290000001E7</v>
      </c>
    </row>
    <row r="189" spans="8:8">
      <c r="A189" s="3" t="s">
        <v>203</v>
      </c>
      <c r="B189" s="308" t="s">
        <v>196</v>
      </c>
      <c r="C189" s="93">
        <v>0.01</v>
      </c>
      <c r="D189" s="93">
        <v>1.0628261280000001E7</v>
      </c>
      <c r="E189" s="20">
        <v>242572.0</v>
      </c>
      <c r="F189" s="20">
        <v>363856.0</v>
      </c>
      <c r="G189" s="180" t="s">
        <v>292</v>
      </c>
      <c r="H189" s="43">
        <f t="shared" si="4"/>
        <v>1.1234689290000001E7</v>
      </c>
    </row>
    <row r="190" spans="8:8">
      <c r="A190" s="3" t="s">
        <v>204</v>
      </c>
      <c r="B190" s="308" t="s">
        <v>196</v>
      </c>
      <c r="C190" s="93">
        <v>0.01</v>
      </c>
      <c r="D190" s="93">
        <v>1.0628261280000001E7</v>
      </c>
      <c r="E190" s="20">
        <v>242572.0</v>
      </c>
      <c r="F190" s="20">
        <v>363856.0</v>
      </c>
      <c r="G190" s="180" t="s">
        <v>292</v>
      </c>
      <c r="H190" s="43">
        <f t="shared" si="5" ref="H190:H253">SUM(C190:F190)</f>
        <v>1.1234689290000001E7</v>
      </c>
      <c r="O190" s="233"/>
      <c r="P190" s="76"/>
    </row>
    <row r="191" spans="8:8">
      <c r="A191" s="3" t="s">
        <v>206</v>
      </c>
      <c r="B191" s="308" t="s">
        <v>196</v>
      </c>
      <c r="C191" s="93">
        <v>0.01</v>
      </c>
      <c r="D191" s="93">
        <v>1.0628261280000001E7</v>
      </c>
      <c r="E191" s="20">
        <v>242572.0</v>
      </c>
      <c r="F191" s="20">
        <v>363856.0</v>
      </c>
      <c r="G191" s="180" t="s">
        <v>292</v>
      </c>
      <c r="H191" s="43">
        <f t="shared" si="5"/>
        <v>1.1234689290000001E7</v>
      </c>
    </row>
    <row r="192" spans="8:8">
      <c r="A192" s="3" t="s">
        <v>207</v>
      </c>
      <c r="B192" s="308" t="s">
        <v>196</v>
      </c>
      <c r="C192" s="93">
        <v>0.01</v>
      </c>
      <c r="D192" s="93">
        <v>1.0628261280000001E7</v>
      </c>
      <c r="E192" s="20">
        <v>242572.0</v>
      </c>
      <c r="F192" s="20">
        <v>363856.0</v>
      </c>
      <c r="G192" s="180" t="s">
        <v>292</v>
      </c>
      <c r="H192" s="43">
        <f t="shared" si="5"/>
        <v>1.1234689290000001E7</v>
      </c>
      <c r="M192" s="233"/>
      <c r="N192" s="76"/>
    </row>
    <row r="193" spans="8:8">
      <c r="A193" s="3" t="s">
        <v>208</v>
      </c>
      <c r="B193" s="308" t="s">
        <v>196</v>
      </c>
      <c r="C193" s="93">
        <v>0.01</v>
      </c>
      <c r="D193" s="93">
        <v>1.0628261280000001E7</v>
      </c>
      <c r="E193" s="20">
        <v>242572.0</v>
      </c>
      <c r="F193" s="20">
        <v>363856.0</v>
      </c>
      <c r="G193" s="180" t="s">
        <v>292</v>
      </c>
      <c r="H193" s="43">
        <f t="shared" si="5"/>
        <v>1.1234689290000001E7</v>
      </c>
    </row>
    <row r="194" spans="8:8">
      <c r="A194" s="3" t="s">
        <v>209</v>
      </c>
      <c r="B194" s="308" t="s">
        <v>196</v>
      </c>
      <c r="C194" s="93">
        <v>0.01</v>
      </c>
      <c r="D194" s="93">
        <v>1.0628261280000001E7</v>
      </c>
      <c r="E194" s="20">
        <v>242572.0</v>
      </c>
      <c r="F194" s="20">
        <v>363856.0</v>
      </c>
      <c r="G194" s="180" t="s">
        <v>292</v>
      </c>
      <c r="H194" s="43">
        <f t="shared" si="5"/>
        <v>1.1234689290000001E7</v>
      </c>
    </row>
    <row r="195" spans="8:8">
      <c r="A195" s="3" t="s">
        <v>210</v>
      </c>
      <c r="B195" s="308" t="s">
        <v>196</v>
      </c>
      <c r="C195" s="93">
        <v>0.01</v>
      </c>
      <c r="D195" s="93">
        <v>1.0628261280000001E7</v>
      </c>
      <c r="E195" s="20">
        <v>242572.0</v>
      </c>
      <c r="F195" s="20">
        <v>363856.0</v>
      </c>
      <c r="G195" s="180" t="s">
        <v>292</v>
      </c>
      <c r="H195" s="43">
        <f t="shared" si="5"/>
        <v>1.1234689290000001E7</v>
      </c>
    </row>
    <row r="196" spans="8:8">
      <c r="A196" s="3" t="s">
        <v>211</v>
      </c>
      <c r="B196" s="308" t="s">
        <v>196</v>
      </c>
      <c r="C196" s="93">
        <v>0.01</v>
      </c>
      <c r="D196" s="93">
        <v>1.0628261280000001E7</v>
      </c>
      <c r="E196" s="20">
        <v>242572.0</v>
      </c>
      <c r="F196" s="20">
        <v>363856.0</v>
      </c>
      <c r="G196" s="180" t="s">
        <v>292</v>
      </c>
      <c r="H196" s="43">
        <f t="shared" si="5"/>
        <v>1.1234689290000001E7</v>
      </c>
    </row>
    <row r="197" spans="8:8">
      <c r="A197" s="3" t="s">
        <v>212</v>
      </c>
      <c r="B197" s="308" t="s">
        <v>196</v>
      </c>
      <c r="C197" s="93">
        <v>0.01</v>
      </c>
      <c r="D197" s="93">
        <v>1.0628261280000001E7</v>
      </c>
      <c r="E197" s="20">
        <v>242572.0</v>
      </c>
      <c r="F197" s="20">
        <v>363856.0</v>
      </c>
      <c r="G197" s="180" t="s">
        <v>292</v>
      </c>
      <c r="H197" s="43">
        <f t="shared" si="5"/>
        <v>1.1234689290000001E7</v>
      </c>
    </row>
    <row r="198" spans="8:8">
      <c r="A198" s="3" t="s">
        <v>214</v>
      </c>
      <c r="B198" s="308" t="s">
        <v>196</v>
      </c>
      <c r="C198" s="93">
        <v>0.01</v>
      </c>
      <c r="D198" s="93">
        <v>1.0628261280000001E7</v>
      </c>
      <c r="E198" s="20">
        <v>242572.0</v>
      </c>
      <c r="F198" s="20">
        <v>363856.0</v>
      </c>
      <c r="G198" s="180" t="s">
        <v>292</v>
      </c>
      <c r="H198" s="43">
        <f t="shared" si="5"/>
        <v>1.1234689290000001E7</v>
      </c>
    </row>
    <row r="199" spans="8:8">
      <c r="A199" s="3" t="s">
        <v>215</v>
      </c>
      <c r="B199" s="308" t="s">
        <v>196</v>
      </c>
      <c r="C199" s="93">
        <v>0.01</v>
      </c>
      <c r="D199" s="93">
        <v>1.0628261280000001E7</v>
      </c>
      <c r="E199" s="20">
        <v>242572.0</v>
      </c>
      <c r="F199" s="20">
        <v>363856.0</v>
      </c>
      <c r="G199" s="180" t="s">
        <v>292</v>
      </c>
      <c r="H199" s="43">
        <f t="shared" si="5"/>
        <v>1.1234689290000001E7</v>
      </c>
    </row>
    <row r="200" spans="8:8">
      <c r="A200" s="3" t="s">
        <v>216</v>
      </c>
      <c r="B200" s="308" t="s">
        <v>196</v>
      </c>
      <c r="C200" s="93">
        <v>0.01</v>
      </c>
      <c r="D200" s="93">
        <v>1.0628261280000001E7</v>
      </c>
      <c r="E200" s="20">
        <v>242572.0</v>
      </c>
      <c r="F200" s="20">
        <v>363856.0</v>
      </c>
      <c r="G200" s="180" t="s">
        <v>292</v>
      </c>
      <c r="H200" s="43">
        <f t="shared" si="5"/>
        <v>1.1234689290000001E7</v>
      </c>
    </row>
    <row r="201" spans="8:8">
      <c r="A201" s="3" t="s">
        <v>217</v>
      </c>
      <c r="B201" s="308" t="s">
        <v>196</v>
      </c>
      <c r="C201" s="93">
        <v>0.01</v>
      </c>
      <c r="D201" s="93">
        <v>1.0628261280000001E7</v>
      </c>
      <c r="E201" s="20">
        <v>242572.0</v>
      </c>
      <c r="F201" s="20">
        <v>363856.0</v>
      </c>
      <c r="G201" s="180" t="s">
        <v>292</v>
      </c>
      <c r="H201" s="43">
        <f t="shared" si="5"/>
        <v>1.1234689290000001E7</v>
      </c>
    </row>
    <row r="202" spans="8:8">
      <c r="A202" s="3" t="s">
        <v>218</v>
      </c>
      <c r="B202" s="308" t="s">
        <v>196</v>
      </c>
      <c r="C202" s="93">
        <v>0.01</v>
      </c>
      <c r="D202" s="93">
        <v>1.0628261280000001E7</v>
      </c>
      <c r="E202" s="20">
        <v>242572.0</v>
      </c>
      <c r="F202" s="20">
        <v>363856.0</v>
      </c>
      <c r="G202" s="180" t="s">
        <v>292</v>
      </c>
      <c r="H202" s="43">
        <f t="shared" si="5"/>
        <v>1.1234689290000001E7</v>
      </c>
    </row>
    <row r="203" spans="8:8">
      <c r="A203" s="3" t="s">
        <v>219</v>
      </c>
      <c r="B203" s="308" t="s">
        <v>196</v>
      </c>
      <c r="C203" s="93">
        <v>0.01</v>
      </c>
      <c r="D203" s="93">
        <v>1.0628261280000001E7</v>
      </c>
      <c r="E203" s="20">
        <v>242572.0</v>
      </c>
      <c r="F203" s="20">
        <v>363856.0</v>
      </c>
      <c r="G203" s="180" t="s">
        <v>292</v>
      </c>
      <c r="H203" s="43">
        <f t="shared" si="5"/>
        <v>1.1234689290000001E7</v>
      </c>
    </row>
    <row r="204" spans="8:8">
      <c r="A204" s="3" t="s">
        <v>220</v>
      </c>
      <c r="B204" s="308" t="s">
        <v>196</v>
      </c>
      <c r="C204" s="93">
        <v>0.01</v>
      </c>
      <c r="D204" s="93">
        <v>1.0628261280000001E7</v>
      </c>
      <c r="E204" s="20">
        <v>242572.0</v>
      </c>
      <c r="F204" s="20">
        <v>363856.0</v>
      </c>
      <c r="G204" s="180" t="s">
        <v>292</v>
      </c>
      <c r="H204" s="43">
        <f t="shared" si="5"/>
        <v>1.1234689290000001E7</v>
      </c>
    </row>
    <row r="205" spans="8:8">
      <c r="A205" s="299" t="s">
        <v>399</v>
      </c>
      <c r="B205" s="308" t="s">
        <v>196</v>
      </c>
      <c r="C205" s="93">
        <v>0.01</v>
      </c>
      <c r="D205" s="93">
        <v>1.0628261280000001E7</v>
      </c>
      <c r="E205" s="20">
        <v>242572.0</v>
      </c>
      <c r="F205" s="20">
        <v>363856.0</v>
      </c>
      <c r="G205" s="180" t="s">
        <v>292</v>
      </c>
      <c r="H205" s="43">
        <f t="shared" si="5"/>
        <v>1.1234689290000001E7</v>
      </c>
    </row>
    <row r="206" spans="8:8">
      <c r="A206" s="3" t="s">
        <v>222</v>
      </c>
      <c r="B206" s="308" t="s">
        <v>196</v>
      </c>
      <c r="C206" s="93">
        <v>0.01</v>
      </c>
      <c r="D206" s="93">
        <v>2.1256522560000002E7</v>
      </c>
      <c r="E206" s="20">
        <v>242572.0</v>
      </c>
      <c r="F206" s="20">
        <v>363856.0</v>
      </c>
      <c r="G206" s="180" t="s">
        <v>292</v>
      </c>
      <c r="H206" s="43">
        <f t="shared" si="5"/>
        <v>2.1862950570000004E7</v>
      </c>
    </row>
    <row r="207" spans="8:8">
      <c r="A207" s="3" t="s">
        <v>223</v>
      </c>
      <c r="B207" s="308" t="s">
        <v>196</v>
      </c>
      <c r="C207" s="93">
        <v>0.01</v>
      </c>
      <c r="D207" s="93">
        <v>1.0628261280000001E7</v>
      </c>
      <c r="E207" s="20">
        <v>242572.0</v>
      </c>
      <c r="F207" s="20">
        <v>363856.0</v>
      </c>
      <c r="G207" s="180" t="s">
        <v>292</v>
      </c>
      <c r="H207" s="43">
        <f t="shared" si="5"/>
        <v>1.1234689290000001E7</v>
      </c>
    </row>
    <row r="208" spans="8:8">
      <c r="A208" s="3" t="s">
        <v>224</v>
      </c>
      <c r="B208" s="308" t="s">
        <v>196</v>
      </c>
      <c r="C208" s="93">
        <v>0.01</v>
      </c>
      <c r="D208" s="93">
        <v>1.0628261280000001E7</v>
      </c>
      <c r="E208" s="20">
        <v>242572.0</v>
      </c>
      <c r="F208" s="20">
        <v>363856.0</v>
      </c>
      <c r="G208" s="180" t="s">
        <v>292</v>
      </c>
      <c r="H208" s="43">
        <f t="shared" si="5"/>
        <v>1.1234689290000001E7</v>
      </c>
    </row>
    <row r="209" spans="8:8">
      <c r="A209" s="3" t="s">
        <v>225</v>
      </c>
      <c r="B209" s="308" t="s">
        <v>196</v>
      </c>
      <c r="C209" s="93">
        <v>0.01</v>
      </c>
      <c r="D209" s="93">
        <v>1.0628261280000001E7</v>
      </c>
      <c r="E209" s="20">
        <v>242572.0</v>
      </c>
      <c r="F209" s="20">
        <v>363856.0</v>
      </c>
      <c r="G209" s="180" t="s">
        <v>292</v>
      </c>
      <c r="H209" s="43">
        <f t="shared" si="5"/>
        <v>1.1234689290000001E7</v>
      </c>
    </row>
    <row r="210" spans="8:8">
      <c r="A210" s="298" t="s">
        <v>400</v>
      </c>
      <c r="B210" s="308" t="s">
        <v>196</v>
      </c>
      <c r="C210" s="93">
        <v>0.01</v>
      </c>
      <c r="D210" s="93">
        <v>1.396829616E7</v>
      </c>
      <c r="E210" s="20">
        <v>242572.0</v>
      </c>
      <c r="F210" s="20">
        <v>363856.0</v>
      </c>
      <c r="G210" s="180" t="s">
        <v>292</v>
      </c>
      <c r="H210" s="43">
        <f t="shared" si="5"/>
        <v>1.457472417E7</v>
      </c>
    </row>
    <row r="211" spans="8:8">
      <c r="A211" s="3" t="s">
        <v>228</v>
      </c>
      <c r="B211" s="308" t="s">
        <v>196</v>
      </c>
      <c r="C211" s="93">
        <v>0.01</v>
      </c>
      <c r="D211" s="93">
        <v>1.0628261280000001E7</v>
      </c>
      <c r="E211" s="20">
        <v>242572.0</v>
      </c>
      <c r="F211" s="20">
        <v>363856.0</v>
      </c>
      <c r="G211" s="180" t="s">
        <v>292</v>
      </c>
      <c r="H211" s="43">
        <f t="shared" si="5"/>
        <v>1.1234689290000001E7</v>
      </c>
    </row>
    <row r="212" spans="8:8">
      <c r="A212" s="3" t="s">
        <v>229</v>
      </c>
      <c r="B212" s="308" t="s">
        <v>196</v>
      </c>
      <c r="C212" s="93">
        <v>0.01</v>
      </c>
      <c r="D212" s="93">
        <v>1.0628261280000001E7</v>
      </c>
      <c r="E212" s="20">
        <v>242572.0</v>
      </c>
      <c r="F212" s="20">
        <v>363856.0</v>
      </c>
      <c r="G212" s="180" t="s">
        <v>292</v>
      </c>
      <c r="H212" s="43">
        <f t="shared" si="5"/>
        <v>1.1234689290000001E7</v>
      </c>
    </row>
    <row r="213" spans="8:8">
      <c r="A213" s="3" t="s">
        <v>230</v>
      </c>
      <c r="B213" s="308" t="s">
        <v>196</v>
      </c>
      <c r="C213" s="93">
        <v>0.01</v>
      </c>
      <c r="D213" s="93">
        <v>1.0628261280000001E7</v>
      </c>
      <c r="E213" s="20">
        <v>242572.0</v>
      </c>
      <c r="F213" s="20">
        <v>363856.0</v>
      </c>
      <c r="G213" s="180" t="s">
        <v>292</v>
      </c>
      <c r="H213" s="43">
        <f t="shared" si="5"/>
        <v>1.1234689290000001E7</v>
      </c>
    </row>
    <row r="214" spans="8:8">
      <c r="A214" s="3" t="s">
        <v>231</v>
      </c>
      <c r="B214" s="308" t="s">
        <v>196</v>
      </c>
      <c r="C214" s="93">
        <v>0.01</v>
      </c>
      <c r="D214" s="93">
        <v>1.0628261280000001E7</v>
      </c>
      <c r="E214" s="20">
        <v>242572.0</v>
      </c>
      <c r="F214" s="20">
        <v>363856.0</v>
      </c>
      <c r="G214" s="180" t="s">
        <v>292</v>
      </c>
      <c r="H214" s="43">
        <f t="shared" si="5"/>
        <v>1.1234689290000001E7</v>
      </c>
    </row>
    <row r="215" spans="8:8">
      <c r="A215" s="3" t="s">
        <v>232</v>
      </c>
      <c r="B215" s="308" t="s">
        <v>196</v>
      </c>
      <c r="C215" s="93">
        <v>0.01</v>
      </c>
      <c r="D215" s="93">
        <v>1.0628261280000001E7</v>
      </c>
      <c r="E215" s="20">
        <v>242572.0</v>
      </c>
      <c r="F215" s="20">
        <v>363856.0</v>
      </c>
      <c r="G215" s="180" t="s">
        <v>292</v>
      </c>
      <c r="H215" s="43">
        <f t="shared" si="5"/>
        <v>1.1234689290000001E7</v>
      </c>
    </row>
    <row r="216" spans="8:8">
      <c r="A216" s="3" t="s">
        <v>233</v>
      </c>
      <c r="B216" s="308" t="s">
        <v>196</v>
      </c>
      <c r="C216" s="93">
        <v>0.01</v>
      </c>
      <c r="D216" s="93">
        <v>1.0628261280000001E7</v>
      </c>
      <c r="E216" s="20">
        <v>242572.0</v>
      </c>
      <c r="F216" s="20">
        <v>363856.0</v>
      </c>
      <c r="G216" s="180" t="s">
        <v>292</v>
      </c>
      <c r="H216" s="43">
        <f t="shared" si="5"/>
        <v>1.1234689290000001E7</v>
      </c>
    </row>
    <row r="217" spans="8:8">
      <c r="A217" s="3" t="s">
        <v>234</v>
      </c>
      <c r="B217" s="308" t="s">
        <v>196</v>
      </c>
      <c r="C217" s="93">
        <v>0.01</v>
      </c>
      <c r="D217" s="93">
        <v>1.0628261280000001E7</v>
      </c>
      <c r="E217" s="20">
        <v>242572.0</v>
      </c>
      <c r="F217" s="20">
        <v>363856.0</v>
      </c>
      <c r="G217" s="180" t="s">
        <v>292</v>
      </c>
      <c r="H217" s="43">
        <f t="shared" si="5"/>
        <v>1.1234689290000001E7</v>
      </c>
    </row>
    <row r="218" spans="8:8">
      <c r="A218" s="3" t="s">
        <v>235</v>
      </c>
      <c r="B218" s="308" t="s">
        <v>196</v>
      </c>
      <c r="C218" s="93">
        <v>0.01</v>
      </c>
      <c r="D218" s="93">
        <v>1.0628261280000001E7</v>
      </c>
      <c r="E218" s="20">
        <v>242572.0</v>
      </c>
      <c r="F218" s="20">
        <v>363856.0</v>
      </c>
      <c r="G218" s="180" t="s">
        <v>292</v>
      </c>
      <c r="H218" s="43">
        <f t="shared" si="5"/>
        <v>1.1234689290000001E7</v>
      </c>
    </row>
    <row r="219" spans="8:8">
      <c r="A219" s="3" t="s">
        <v>236</v>
      </c>
      <c r="B219" s="308" t="s">
        <v>196</v>
      </c>
      <c r="C219" s="93">
        <v>0.01</v>
      </c>
      <c r="D219" s="93">
        <v>1.0628261280000001E7</v>
      </c>
      <c r="E219" s="20">
        <v>242572.0</v>
      </c>
      <c r="F219" s="20">
        <v>363856.0</v>
      </c>
      <c r="G219" s="180" t="s">
        <v>292</v>
      </c>
      <c r="H219" s="43">
        <f t="shared" si="5"/>
        <v>1.1234689290000001E7</v>
      </c>
    </row>
    <row r="220" spans="8:8">
      <c r="A220" s="3" t="s">
        <v>237</v>
      </c>
      <c r="B220" s="308" t="s">
        <v>196</v>
      </c>
      <c r="C220" s="93">
        <v>0.01</v>
      </c>
      <c r="D220" s="93">
        <v>1.0628261280000001E7</v>
      </c>
      <c r="E220" s="20">
        <v>242572.0</v>
      </c>
      <c r="F220" s="20">
        <v>363856.0</v>
      </c>
      <c r="G220" s="180" t="s">
        <v>292</v>
      </c>
      <c r="H220" s="43">
        <f t="shared" si="5"/>
        <v>1.1234689290000001E7</v>
      </c>
    </row>
    <row r="221" spans="8:8">
      <c r="A221" s="3" t="s">
        <v>238</v>
      </c>
      <c r="B221" s="308" t="s">
        <v>196</v>
      </c>
      <c r="C221" s="93">
        <v>0.01</v>
      </c>
      <c r="D221" s="93">
        <v>1.0628261280000001E7</v>
      </c>
      <c r="E221" s="20">
        <v>242572.0</v>
      </c>
      <c r="F221" s="20">
        <v>363856.0</v>
      </c>
      <c r="G221" s="180" t="s">
        <v>292</v>
      </c>
      <c r="H221" s="43">
        <f t="shared" si="5"/>
        <v>1.1234689290000001E7</v>
      </c>
    </row>
    <row r="222" spans="8:8">
      <c r="A222" s="3" t="s">
        <v>239</v>
      </c>
      <c r="B222" s="308" t="s">
        <v>196</v>
      </c>
      <c r="C222" s="93">
        <v>0.01</v>
      </c>
      <c r="D222" s="93">
        <v>1.0628261280000001E7</v>
      </c>
      <c r="E222" s="20">
        <v>242572.0</v>
      </c>
      <c r="F222" s="20">
        <v>363856.0</v>
      </c>
      <c r="G222" s="180" t="s">
        <v>292</v>
      </c>
      <c r="H222" s="43">
        <f t="shared" si="5"/>
        <v>1.1234689290000001E7</v>
      </c>
    </row>
    <row r="223" spans="8:8">
      <c r="A223" s="3" t="s">
        <v>240</v>
      </c>
      <c r="B223" s="308" t="s">
        <v>196</v>
      </c>
      <c r="C223" s="93">
        <v>0.01</v>
      </c>
      <c r="D223" s="93">
        <v>1.0628261280000001E7</v>
      </c>
      <c r="E223" s="20">
        <v>242572.0</v>
      </c>
      <c r="F223" s="20">
        <v>363856.0</v>
      </c>
      <c r="G223" s="180" t="s">
        <v>292</v>
      </c>
      <c r="H223" s="43">
        <f t="shared" si="5"/>
        <v>1.1234689290000001E7</v>
      </c>
    </row>
    <row r="224" spans="8:8">
      <c r="A224" s="3" t="s">
        <v>241</v>
      </c>
      <c r="B224" s="309" t="s">
        <v>196</v>
      </c>
      <c r="C224" s="93">
        <v>0.01</v>
      </c>
      <c r="D224" s="93">
        <v>1.0628261280000001E7</v>
      </c>
      <c r="E224" s="20">
        <v>242572.0</v>
      </c>
      <c r="F224" s="20">
        <v>363856.0</v>
      </c>
      <c r="G224" s="180" t="s">
        <v>292</v>
      </c>
      <c r="H224" s="43">
        <f t="shared" si="5"/>
        <v>1.1234689290000001E7</v>
      </c>
    </row>
    <row r="225" spans="8:8">
      <c r="A225" s="3" t="s">
        <v>242</v>
      </c>
      <c r="B225" s="308" t="s">
        <v>196</v>
      </c>
      <c r="C225" s="93">
        <v>0.01</v>
      </c>
      <c r="D225" s="93">
        <v>1.0628261280000001E7</v>
      </c>
      <c r="E225" s="20">
        <v>242572.0</v>
      </c>
      <c r="F225" s="20">
        <v>363856.0</v>
      </c>
      <c r="G225" s="180" t="s">
        <v>292</v>
      </c>
      <c r="H225" s="43">
        <f t="shared" si="5"/>
        <v>1.1234689290000001E7</v>
      </c>
    </row>
    <row r="226" spans="8:8">
      <c r="A226" s="3" t="s">
        <v>243</v>
      </c>
      <c r="B226" s="308" t="s">
        <v>196</v>
      </c>
      <c r="C226" s="93">
        <v>0.01</v>
      </c>
      <c r="D226" s="93">
        <v>1.0628261280000001E7</v>
      </c>
      <c r="E226" s="20">
        <v>242572.0</v>
      </c>
      <c r="F226" s="20">
        <v>363856.0</v>
      </c>
      <c r="G226" s="180" t="s">
        <v>292</v>
      </c>
      <c r="H226" s="43">
        <f t="shared" si="5"/>
        <v>1.1234689290000001E7</v>
      </c>
      <c r="I226" s="49"/>
    </row>
    <row r="227" spans="8:8" s="49" ht="15.0" customFormat="1">
      <c r="A227" s="3" t="s">
        <v>244</v>
      </c>
      <c r="B227" s="308" t="s">
        <v>196</v>
      </c>
      <c r="C227" s="93">
        <v>0.01</v>
      </c>
      <c r="D227" s="93">
        <v>1.0628261280000001E7</v>
      </c>
      <c r="E227" s="20">
        <v>242572.0</v>
      </c>
      <c r="F227" s="20">
        <v>363856.0</v>
      </c>
      <c r="G227" s="180" t="s">
        <v>292</v>
      </c>
      <c r="H227" s="241">
        <f t="shared" si="5"/>
        <v>1.1234689290000001E7</v>
      </c>
      <c r="I227" s="39"/>
    </row>
    <row r="228" spans="8:8">
      <c r="A228" s="3" t="s">
        <v>246</v>
      </c>
      <c r="B228" s="308" t="s">
        <v>196</v>
      </c>
      <c r="C228" s="93">
        <v>0.01</v>
      </c>
      <c r="D228" s="93">
        <v>1.0628261280000001E7</v>
      </c>
      <c r="E228" s="20">
        <v>242572.0</v>
      </c>
      <c r="F228" s="20">
        <v>363856.0</v>
      </c>
      <c r="G228" s="180" t="s">
        <v>292</v>
      </c>
      <c r="H228" s="43">
        <f t="shared" si="5"/>
        <v>1.1234689290000001E7</v>
      </c>
    </row>
    <row r="229" spans="8:8">
      <c r="A229" s="3" t="s">
        <v>247</v>
      </c>
      <c r="B229" s="308" t="s">
        <v>196</v>
      </c>
      <c r="C229" s="93">
        <v>0.01</v>
      </c>
      <c r="D229" s="93">
        <v>1.0628261280000001E7</v>
      </c>
      <c r="E229" s="20">
        <v>242572.0</v>
      </c>
      <c r="F229" s="20">
        <v>363856.0</v>
      </c>
      <c r="G229" s="180" t="s">
        <v>292</v>
      </c>
      <c r="H229" s="43">
        <f t="shared" si="5"/>
        <v>1.1234689290000001E7</v>
      </c>
    </row>
    <row r="230" spans="8:8">
      <c r="A230" s="3" t="s">
        <v>248</v>
      </c>
      <c r="B230" s="308" t="s">
        <v>196</v>
      </c>
      <c r="C230" s="93">
        <v>0.01</v>
      </c>
      <c r="D230" s="93">
        <v>1.0628261280000001E7</v>
      </c>
      <c r="E230" s="20">
        <v>242572.0</v>
      </c>
      <c r="F230" s="20">
        <v>363856.0</v>
      </c>
      <c r="G230" s="180" t="s">
        <v>292</v>
      </c>
      <c r="H230" s="43">
        <f t="shared" si="5"/>
        <v>1.1234689290000001E7</v>
      </c>
    </row>
    <row r="231" spans="8:8">
      <c r="A231" s="3" t="s">
        <v>249</v>
      </c>
      <c r="B231" s="308" t="s">
        <v>196</v>
      </c>
      <c r="C231" s="93">
        <v>0.01</v>
      </c>
      <c r="D231" s="93">
        <v>1.0628261280000001E7</v>
      </c>
      <c r="E231" s="20">
        <v>242572.0</v>
      </c>
      <c r="F231" s="20">
        <v>363856.0</v>
      </c>
      <c r="G231" s="180" t="s">
        <v>292</v>
      </c>
      <c r="H231" s="43">
        <f t="shared" si="5"/>
        <v>1.1234689290000001E7</v>
      </c>
    </row>
    <row r="232" spans="8:8">
      <c r="A232" s="3" t="s">
        <v>250</v>
      </c>
      <c r="B232" s="308" t="s">
        <v>196</v>
      </c>
      <c r="C232" s="93">
        <v>0.01</v>
      </c>
      <c r="D232" s="93">
        <v>1.0628261280000001E7</v>
      </c>
      <c r="E232" s="20">
        <v>242572.0</v>
      </c>
      <c r="F232" s="20">
        <v>363856.0</v>
      </c>
      <c r="G232" s="180" t="s">
        <v>292</v>
      </c>
      <c r="H232" s="43">
        <f t="shared" si="5"/>
        <v>1.1234689290000001E7</v>
      </c>
    </row>
    <row r="233" spans="8:8">
      <c r="A233" s="3" t="s">
        <v>251</v>
      </c>
      <c r="B233" s="308" t="s">
        <v>196</v>
      </c>
      <c r="C233" s="93">
        <v>0.01</v>
      </c>
      <c r="D233" s="93">
        <v>1.0628261280000001E7</v>
      </c>
      <c r="E233" s="20">
        <v>242572.0</v>
      </c>
      <c r="F233" s="20">
        <v>363856.0</v>
      </c>
      <c r="G233" s="180" t="s">
        <v>292</v>
      </c>
      <c r="H233" s="43">
        <f t="shared" si="5"/>
        <v>1.1234689290000001E7</v>
      </c>
    </row>
    <row r="234" spans="8:8">
      <c r="A234" s="3" t="s">
        <v>252</v>
      </c>
      <c r="B234" s="308" t="s">
        <v>196</v>
      </c>
      <c r="C234" s="93">
        <v>0.01</v>
      </c>
      <c r="D234" s="93">
        <v>1.0628261280000001E7</v>
      </c>
      <c r="E234" s="20">
        <v>242572.0</v>
      </c>
      <c r="F234" s="20">
        <v>363856.0</v>
      </c>
      <c r="G234" s="180" t="s">
        <v>292</v>
      </c>
      <c r="H234" s="43">
        <f t="shared" si="5"/>
        <v>1.1234689290000001E7</v>
      </c>
    </row>
    <row r="235" spans="8:8" ht="15.75">
      <c r="A235" s="298" t="s">
        <v>401</v>
      </c>
      <c r="B235" s="308" t="s">
        <v>196</v>
      </c>
      <c r="C235" s="93">
        <v>0.01</v>
      </c>
      <c r="D235" s="93">
        <v>1.0628261280000001E7</v>
      </c>
      <c r="E235" s="20">
        <v>242572.0</v>
      </c>
      <c r="F235" s="20">
        <v>363856.0</v>
      </c>
      <c r="G235" s="180" t="s">
        <v>292</v>
      </c>
      <c r="H235" s="43">
        <f t="shared" si="5"/>
        <v>1.1234689290000001E7</v>
      </c>
    </row>
    <row r="236" spans="8:8">
      <c r="A236" s="3" t="s">
        <v>254</v>
      </c>
      <c r="B236" s="308" t="s">
        <v>196</v>
      </c>
      <c r="C236" s="93">
        <v>0.01</v>
      </c>
      <c r="D236" s="93">
        <v>1.0628261280000001E7</v>
      </c>
      <c r="E236" s="20">
        <v>242572.0</v>
      </c>
      <c r="F236" s="20">
        <v>363856.0</v>
      </c>
      <c r="G236" s="180" t="s">
        <v>292</v>
      </c>
      <c r="H236" s="43">
        <f t="shared" si="5"/>
        <v>1.1234689290000001E7</v>
      </c>
    </row>
    <row r="237" spans="8:8">
      <c r="A237" s="3" t="s">
        <v>255</v>
      </c>
      <c r="B237" s="308" t="s">
        <v>196</v>
      </c>
      <c r="C237" s="93">
        <v>0.01</v>
      </c>
      <c r="D237" s="93">
        <v>1.0628261280000001E7</v>
      </c>
      <c r="E237" s="20">
        <v>242572.0</v>
      </c>
      <c r="F237" s="20">
        <v>363856.0</v>
      </c>
      <c r="G237" s="180" t="s">
        <v>292</v>
      </c>
      <c r="H237" s="43">
        <f t="shared" si="5"/>
        <v>1.1234689290000001E7</v>
      </c>
    </row>
    <row r="238" spans="8:8">
      <c r="A238" s="3" t="s">
        <v>256</v>
      </c>
      <c r="B238" s="308" t="s">
        <v>196</v>
      </c>
      <c r="C238" s="93">
        <v>0.01</v>
      </c>
      <c r="D238" s="93">
        <v>1.0628261280000001E7</v>
      </c>
      <c r="E238" s="20">
        <v>242572.0</v>
      </c>
      <c r="F238" s="20">
        <v>363856.0</v>
      </c>
      <c r="G238" s="180" t="s">
        <v>292</v>
      </c>
      <c r="H238" s="43">
        <f t="shared" si="5"/>
        <v>1.1234689290000001E7</v>
      </c>
    </row>
    <row r="239" spans="8:8">
      <c r="A239" s="3" t="s">
        <v>257</v>
      </c>
      <c r="B239" s="308" t="s">
        <v>196</v>
      </c>
      <c r="C239" s="93">
        <v>0.01</v>
      </c>
      <c r="D239" s="93">
        <v>1.0628261280000001E7</v>
      </c>
      <c r="E239" s="20">
        <v>242572.0</v>
      </c>
      <c r="F239" s="20">
        <v>363856.0</v>
      </c>
      <c r="G239" s="180" t="s">
        <v>292</v>
      </c>
      <c r="H239" s="43">
        <f t="shared" si="5"/>
        <v>1.1234689290000001E7</v>
      </c>
    </row>
    <row r="240" spans="8:8">
      <c r="A240" s="3" t="s">
        <v>258</v>
      </c>
      <c r="B240" s="308" t="s">
        <v>196</v>
      </c>
      <c r="C240" s="93">
        <v>0.01</v>
      </c>
      <c r="D240" s="93">
        <v>1.0628261280000001E7</v>
      </c>
      <c r="E240" s="20">
        <v>242572.0</v>
      </c>
      <c r="F240" s="20">
        <v>363856.0</v>
      </c>
      <c r="G240" s="180" t="s">
        <v>292</v>
      </c>
      <c r="H240" s="43">
        <f t="shared" si="5"/>
        <v>1.1234689290000001E7</v>
      </c>
    </row>
    <row r="241" spans="8:8">
      <c r="A241" s="3" t="s">
        <v>259</v>
      </c>
      <c r="B241" s="308" t="s">
        <v>196</v>
      </c>
      <c r="C241" s="93">
        <v>0.01</v>
      </c>
      <c r="D241" s="93">
        <v>1.0628261280000001E7</v>
      </c>
      <c r="E241" s="20">
        <v>242572.0</v>
      </c>
      <c r="F241" s="20">
        <v>363856.0</v>
      </c>
      <c r="G241" s="180" t="s">
        <v>292</v>
      </c>
      <c r="H241" s="43">
        <f t="shared" si="5"/>
        <v>1.1234689290000001E7</v>
      </c>
    </row>
    <row r="242" spans="8:8">
      <c r="A242" s="3" t="s">
        <v>260</v>
      </c>
      <c r="B242" s="308" t="s">
        <v>196</v>
      </c>
      <c r="C242" s="93">
        <v>5429622.4944</v>
      </c>
      <c r="D242" s="93">
        <v>1.2765497472E7</v>
      </c>
      <c r="E242" s="20">
        <v>242572.0</v>
      </c>
      <c r="F242" s="20">
        <v>363856.0</v>
      </c>
      <c r="G242" s="180" t="s">
        <v>292</v>
      </c>
      <c r="H242" s="43">
        <f t="shared" si="5"/>
        <v>1.8801547966399997E7</v>
      </c>
    </row>
    <row r="243" spans="8:8">
      <c r="A243" s="3" t="s">
        <v>262</v>
      </c>
      <c r="B243" s="308" t="s">
        <v>196</v>
      </c>
      <c r="C243" s="93">
        <v>0.01</v>
      </c>
      <c r="D243" s="93">
        <v>1.2753913535999998E7</v>
      </c>
      <c r="E243" s="20">
        <v>242572.0</v>
      </c>
      <c r="F243" s="20">
        <v>363856.0</v>
      </c>
      <c r="G243" s="180" t="s">
        <v>292</v>
      </c>
      <c r="H243" s="43">
        <f t="shared" si="5"/>
        <v>1.3360341545999998E7</v>
      </c>
    </row>
    <row r="244" spans="8:8">
      <c r="A244" s="3" t="s">
        <v>265</v>
      </c>
      <c r="B244" s="308" t="s">
        <v>196</v>
      </c>
      <c r="C244" s="93">
        <v>0.01</v>
      </c>
      <c r="D244" s="93">
        <v>1.0628261280000001E7</v>
      </c>
      <c r="E244" s="20">
        <v>242572.0</v>
      </c>
      <c r="F244" s="20">
        <v>363856.0</v>
      </c>
      <c r="G244" s="180" t="s">
        <v>292</v>
      </c>
      <c r="H244" s="43">
        <f t="shared" si="5"/>
        <v>1.1234689290000001E7</v>
      </c>
    </row>
    <row r="245" spans="8:8">
      <c r="A245" s="3" t="s">
        <v>266</v>
      </c>
      <c r="B245" s="308" t="s">
        <v>196</v>
      </c>
      <c r="C245" s="93">
        <v>0.01</v>
      </c>
      <c r="D245" s="93">
        <v>1.0628261280000001E7</v>
      </c>
      <c r="E245" s="20">
        <v>242572.0</v>
      </c>
      <c r="F245" s="20">
        <v>363856.0</v>
      </c>
      <c r="G245" s="180" t="s">
        <v>292</v>
      </c>
      <c r="H245" s="43">
        <f t="shared" si="5"/>
        <v>1.1234689290000001E7</v>
      </c>
    </row>
    <row r="246" spans="8:8">
      <c r="A246" s="3" t="s">
        <v>267</v>
      </c>
      <c r="B246" s="308" t="s">
        <v>196</v>
      </c>
      <c r="C246" s="93">
        <v>0.01</v>
      </c>
      <c r="D246" s="93">
        <v>1.0628261280000001E7</v>
      </c>
      <c r="E246" s="20">
        <v>242572.0</v>
      </c>
      <c r="F246" s="20">
        <v>363856.0</v>
      </c>
      <c r="G246" s="180" t="s">
        <v>292</v>
      </c>
      <c r="H246" s="43">
        <f t="shared" si="5"/>
        <v>1.1234689290000001E7</v>
      </c>
    </row>
    <row r="247" spans="8:8">
      <c r="A247" s="3" t="s">
        <v>268</v>
      </c>
      <c r="B247" s="308" t="s">
        <v>196</v>
      </c>
      <c r="C247" s="93">
        <v>0.01</v>
      </c>
      <c r="D247" s="93">
        <v>1.0628261280000001E7</v>
      </c>
      <c r="E247" s="20">
        <v>242572.0</v>
      </c>
      <c r="F247" s="20">
        <v>363856.0</v>
      </c>
      <c r="G247" s="180" t="s">
        <v>292</v>
      </c>
      <c r="H247" s="43">
        <f t="shared" si="5"/>
        <v>1.1234689290000001E7</v>
      </c>
    </row>
    <row r="248" spans="8:8">
      <c r="A248" s="3" t="s">
        <v>269</v>
      </c>
      <c r="B248" s="308" t="s">
        <v>196</v>
      </c>
      <c r="C248" s="93">
        <v>0.01</v>
      </c>
      <c r="D248" s="93">
        <v>1.0628261280000001E7</v>
      </c>
      <c r="E248" s="20">
        <v>242572.0</v>
      </c>
      <c r="F248" s="20">
        <v>363856.0</v>
      </c>
      <c r="G248" s="180" t="s">
        <v>292</v>
      </c>
      <c r="H248" s="43">
        <f t="shared" si="5"/>
        <v>1.1234689290000001E7</v>
      </c>
    </row>
    <row r="249" spans="8:8">
      <c r="A249" s="3" t="s">
        <v>270</v>
      </c>
      <c r="B249" s="308" t="s">
        <v>196</v>
      </c>
      <c r="C249" s="93">
        <v>0.01</v>
      </c>
      <c r="D249" s="93">
        <v>1.0628261280000001E7</v>
      </c>
      <c r="E249" s="20">
        <v>242572.0</v>
      </c>
      <c r="F249" s="20">
        <v>363856.0</v>
      </c>
      <c r="G249" s="180" t="s">
        <v>292</v>
      </c>
      <c r="H249" s="43">
        <f t="shared" si="5"/>
        <v>1.1234689290000001E7</v>
      </c>
    </row>
    <row r="250" spans="8:8">
      <c r="A250" s="3" t="s">
        <v>271</v>
      </c>
      <c r="B250" s="308" t="s">
        <v>196</v>
      </c>
      <c r="C250" s="93">
        <v>0.01</v>
      </c>
      <c r="D250" s="93">
        <v>1.0628261280000001E7</v>
      </c>
      <c r="E250" s="20">
        <v>242572.0</v>
      </c>
      <c r="F250" s="20">
        <v>363856.0</v>
      </c>
      <c r="G250" s="180" t="s">
        <v>292</v>
      </c>
      <c r="H250" s="43">
        <f t="shared" si="5"/>
        <v>1.1234689290000001E7</v>
      </c>
    </row>
    <row r="251" spans="8:8">
      <c r="A251" s="3" t="s">
        <v>272</v>
      </c>
      <c r="B251" s="308" t="s">
        <v>196</v>
      </c>
      <c r="C251" s="93">
        <v>0.01</v>
      </c>
      <c r="D251" s="93">
        <v>1.0628261280000001E7</v>
      </c>
      <c r="E251" s="20">
        <v>242572.0</v>
      </c>
      <c r="F251" s="20">
        <v>363856.0</v>
      </c>
      <c r="G251" s="180" t="s">
        <v>292</v>
      </c>
      <c r="H251" s="43">
        <f t="shared" si="5"/>
        <v>1.1234689290000001E7</v>
      </c>
    </row>
    <row r="252" spans="8:8">
      <c r="A252" s="3" t="s">
        <v>273</v>
      </c>
      <c r="B252" s="308" t="s">
        <v>196</v>
      </c>
      <c r="C252" s="93">
        <v>0.01</v>
      </c>
      <c r="D252" s="93">
        <v>1.0628261280000001E7</v>
      </c>
      <c r="E252" s="20">
        <v>242572.0</v>
      </c>
      <c r="F252" s="20">
        <v>363856.0</v>
      </c>
      <c r="G252" s="180" t="s">
        <v>292</v>
      </c>
      <c r="H252" s="43">
        <f t="shared" si="5"/>
        <v>1.1234689290000001E7</v>
      </c>
    </row>
    <row r="253" spans="8:8">
      <c r="A253" s="3" t="s">
        <v>274</v>
      </c>
      <c r="B253" s="308" t="s">
        <v>196</v>
      </c>
      <c r="C253" s="93">
        <v>0.01</v>
      </c>
      <c r="D253" s="93">
        <v>1.0628261280000001E7</v>
      </c>
      <c r="E253" s="20">
        <v>242572.0</v>
      </c>
      <c r="F253" s="20">
        <v>363856.0</v>
      </c>
      <c r="G253" s="180" t="s">
        <v>292</v>
      </c>
      <c r="H253" s="43">
        <f t="shared" si="5"/>
        <v>1.1234689290000001E7</v>
      </c>
    </row>
    <row r="254" spans="8:8">
      <c r="A254" s="3" t="s">
        <v>275</v>
      </c>
      <c r="B254" s="308" t="s">
        <v>196</v>
      </c>
      <c r="C254" s="93">
        <v>0.01</v>
      </c>
      <c r="D254" s="93">
        <v>1.0628261280000001E7</v>
      </c>
      <c r="E254" s="20">
        <v>242572.0</v>
      </c>
      <c r="F254" s="20">
        <v>363856.0</v>
      </c>
      <c r="G254" s="180" t="s">
        <v>292</v>
      </c>
      <c r="H254" s="43">
        <f t="shared" si="6" ref="H254:H267">SUM(C254:F254)</f>
        <v>1.1234689290000001E7</v>
      </c>
    </row>
    <row r="255" spans="8:8">
      <c r="A255" s="3" t="s">
        <v>276</v>
      </c>
      <c r="B255" s="308" t="s">
        <v>196</v>
      </c>
      <c r="C255" s="93">
        <v>0.01</v>
      </c>
      <c r="D255" s="93">
        <v>1.0628261280000001E7</v>
      </c>
      <c r="E255" s="20">
        <v>242572.0</v>
      </c>
      <c r="F255" s="20">
        <v>363856.0</v>
      </c>
      <c r="G255" s="180" t="s">
        <v>292</v>
      </c>
      <c r="H255" s="43">
        <f t="shared" si="6"/>
        <v>1.1234689290000001E7</v>
      </c>
    </row>
    <row r="256" spans="8:8">
      <c r="A256" s="15" t="s">
        <v>277</v>
      </c>
      <c r="B256" s="308" t="s">
        <v>196</v>
      </c>
      <c r="C256" s="93">
        <v>0.01</v>
      </c>
      <c r="D256" s="93">
        <v>1.0628261280000001E7</v>
      </c>
      <c r="E256" s="20">
        <v>242572.0</v>
      </c>
      <c r="F256" s="20">
        <v>363856.0</v>
      </c>
      <c r="G256" s="180" t="s">
        <v>292</v>
      </c>
      <c r="H256" s="43">
        <f t="shared" si="6"/>
        <v>1.1234689290000001E7</v>
      </c>
    </row>
    <row r="257" spans="8:8">
      <c r="A257" s="3" t="s">
        <v>280</v>
      </c>
      <c r="B257" s="308" t="s">
        <v>196</v>
      </c>
      <c r="C257" s="93">
        <v>5429622.481920001</v>
      </c>
      <c r="D257" s="93">
        <v>1.2765497472E7</v>
      </c>
      <c r="E257" s="20">
        <v>242572.0</v>
      </c>
      <c r="F257" s="20">
        <v>363856.0</v>
      </c>
      <c r="G257" s="180" t="s">
        <v>292</v>
      </c>
      <c r="H257" s="43">
        <f t="shared" si="6"/>
        <v>1.880154795392E7</v>
      </c>
    </row>
    <row r="258" spans="8:8">
      <c r="A258" s="207" t="s">
        <v>281</v>
      </c>
      <c r="B258" s="310" t="s">
        <v>282</v>
      </c>
      <c r="C258" s="243">
        <v>1.0E7</v>
      </c>
      <c r="D258" s="218" t="s">
        <v>292</v>
      </c>
      <c r="E258" s="180" t="s">
        <v>292</v>
      </c>
      <c r="F258" s="180" t="s">
        <v>292</v>
      </c>
      <c r="G258" s="180" t="s">
        <v>292</v>
      </c>
      <c r="H258" s="210">
        <f t="shared" si="6"/>
        <v>1.0E7</v>
      </c>
    </row>
    <row r="259" spans="8:8">
      <c r="A259" s="207" t="s">
        <v>283</v>
      </c>
      <c r="B259" s="310" t="s">
        <v>282</v>
      </c>
      <c r="C259" s="243">
        <v>1.0E7</v>
      </c>
      <c r="D259" s="218" t="s">
        <v>292</v>
      </c>
      <c r="E259" s="180" t="s">
        <v>292</v>
      </c>
      <c r="F259" s="180" t="s">
        <v>292</v>
      </c>
      <c r="G259" s="180" t="s">
        <v>292</v>
      </c>
      <c r="H259" s="210">
        <f t="shared" si="6"/>
        <v>1.0E7</v>
      </c>
    </row>
    <row r="260" spans="8:8">
      <c r="A260" s="207" t="s">
        <v>284</v>
      </c>
      <c r="B260" s="310" t="s">
        <v>285</v>
      </c>
      <c r="C260" s="211">
        <v>80000.0</v>
      </c>
      <c r="D260" s="218" t="s">
        <v>292</v>
      </c>
      <c r="E260" s="180" t="s">
        <v>292</v>
      </c>
      <c r="F260" s="180" t="s">
        <v>292</v>
      </c>
      <c r="G260" s="180" t="s">
        <v>292</v>
      </c>
      <c r="H260" s="210">
        <f t="shared" si="6"/>
        <v>80000.0</v>
      </c>
    </row>
    <row r="261" spans="8:8">
      <c r="A261" s="207" t="s">
        <v>286</v>
      </c>
      <c r="B261" s="310" t="s">
        <v>285</v>
      </c>
      <c r="C261" s="211">
        <v>120800.0</v>
      </c>
      <c r="D261" s="218" t="s">
        <v>292</v>
      </c>
      <c r="E261" s="180" t="s">
        <v>292</v>
      </c>
      <c r="F261" s="180" t="s">
        <v>292</v>
      </c>
      <c r="G261" s="180" t="s">
        <v>292</v>
      </c>
      <c r="H261" s="210">
        <f t="shared" si="6"/>
        <v>120800.0</v>
      </c>
    </row>
    <row r="262" spans="8:8">
      <c r="A262" s="15" t="s">
        <v>4</v>
      </c>
      <c r="B262" s="309" t="s">
        <v>285</v>
      </c>
      <c r="C262" s="20">
        <v>242572.0</v>
      </c>
      <c r="D262" s="218" t="s">
        <v>292</v>
      </c>
      <c r="E262" s="180" t="s">
        <v>292</v>
      </c>
      <c r="F262" s="180" t="s">
        <v>292</v>
      </c>
      <c r="G262" s="180" t="s">
        <v>292</v>
      </c>
      <c r="H262" s="210">
        <f t="shared" si="6"/>
        <v>242572.0</v>
      </c>
    </row>
    <row r="263" spans="8:8">
      <c r="A263" s="15" t="s">
        <v>287</v>
      </c>
      <c r="B263" s="309" t="s">
        <v>285</v>
      </c>
      <c r="C263" s="20">
        <v>727712.0</v>
      </c>
      <c r="D263" s="218" t="s">
        <v>292</v>
      </c>
      <c r="E263" s="180" t="s">
        <v>292</v>
      </c>
      <c r="F263" s="180" t="s">
        <v>292</v>
      </c>
      <c r="G263" s="180" t="s">
        <v>292</v>
      </c>
      <c r="H263" s="210">
        <f t="shared" si="6"/>
        <v>727712.0</v>
      </c>
    </row>
    <row r="264" spans="8:8">
      <c r="A264" s="15" t="s">
        <v>319</v>
      </c>
      <c r="B264" s="309" t="s">
        <v>285</v>
      </c>
      <c r="C264" s="20">
        <v>440000.0</v>
      </c>
      <c r="D264" s="218" t="s">
        <v>292</v>
      </c>
      <c r="E264" s="180" t="s">
        <v>292</v>
      </c>
      <c r="F264" s="180" t="s">
        <v>292</v>
      </c>
      <c r="G264" s="180" t="s">
        <v>292</v>
      </c>
      <c r="H264" s="210">
        <f t="shared" si="6"/>
        <v>440000.0</v>
      </c>
    </row>
    <row r="265" spans="8:8">
      <c r="A265" s="15" t="s">
        <v>5</v>
      </c>
      <c r="B265" s="309" t="s">
        <v>285</v>
      </c>
      <c r="C265" s="20">
        <v>363856.0</v>
      </c>
      <c r="D265" s="218" t="s">
        <v>292</v>
      </c>
      <c r="E265" s="180" t="s">
        <v>292</v>
      </c>
      <c r="F265" s="180" t="s">
        <v>292</v>
      </c>
      <c r="G265" s="180" t="s">
        <v>292</v>
      </c>
      <c r="H265" s="210">
        <f t="shared" si="6"/>
        <v>363856.0</v>
      </c>
    </row>
    <row r="266" spans="8:8">
      <c r="A266" s="15" t="s">
        <v>288</v>
      </c>
      <c r="B266" s="309" t="s">
        <v>285</v>
      </c>
      <c r="C266" s="20">
        <v>1212848.0</v>
      </c>
      <c r="D266" s="218" t="s">
        <v>292</v>
      </c>
      <c r="E266" s="180" t="s">
        <v>292</v>
      </c>
      <c r="F266" s="180" t="s">
        <v>292</v>
      </c>
      <c r="G266" s="180" t="s">
        <v>292</v>
      </c>
      <c r="H266" s="210">
        <f t="shared" si="6"/>
        <v>1212848.0</v>
      </c>
    </row>
    <row r="267" spans="8:8">
      <c r="A267" s="207" t="s">
        <v>291</v>
      </c>
      <c r="B267" s="310" t="s">
        <v>290</v>
      </c>
      <c r="C267" s="93">
        <v>4314731.01696</v>
      </c>
      <c r="D267" s="93">
        <v>4314731.01696</v>
      </c>
      <c r="E267" s="17">
        <v>242572.0</v>
      </c>
      <c r="F267" s="17">
        <v>363856.0</v>
      </c>
      <c r="G267" s="180" t="s">
        <v>292</v>
      </c>
      <c r="H267" s="210">
        <f t="shared" si="6"/>
        <v>9235890.03392</v>
      </c>
    </row>
    <row r="268" spans="8:8" s="71" ht="15.0" customFormat="1">
      <c r="B268" s="311"/>
      <c r="C268" s="161"/>
      <c r="D268" s="161"/>
      <c r="E268" s="191"/>
      <c r="F268" s="191"/>
      <c r="G268" s="191"/>
      <c r="H268" s="161"/>
    </row>
    <row r="269" spans="8:8" s="71" ht="15.0" customFormat="1">
      <c r="B269" s="311"/>
      <c r="C269" s="161"/>
      <c r="D269" s="161"/>
      <c r="E269" s="191"/>
      <c r="F269" s="191"/>
      <c r="G269" s="191"/>
      <c r="H269" s="161"/>
    </row>
    <row r="270" spans="8:8" s="71" ht="15.0" customFormat="1">
      <c r="B270" s="311"/>
      <c r="C270" s="161"/>
      <c r="D270" s="161"/>
      <c r="E270" s="191"/>
      <c r="F270" s="191"/>
      <c r="G270" s="191"/>
      <c r="H270" s="161"/>
    </row>
    <row r="271" spans="8:8" s="71" ht="15.0" customFormat="1">
      <c r="B271" s="311"/>
      <c r="C271" s="161"/>
      <c r="D271" s="161"/>
      <c r="E271" s="191"/>
      <c r="F271" s="191"/>
      <c r="G271" s="191"/>
      <c r="H271" s="161"/>
    </row>
    <row r="272" spans="8:8" s="71" ht="15.0" customFormat="1">
      <c r="B272" s="311"/>
      <c r="C272" s="161"/>
      <c r="D272" s="161"/>
      <c r="E272" s="191"/>
      <c r="F272" s="191"/>
      <c r="G272" s="191"/>
      <c r="H272" s="161"/>
    </row>
    <row r="273" spans="8:8" s="71" ht="15.0" customFormat="1">
      <c r="A273" s="71" t="s">
        <v>351</v>
      </c>
      <c r="B273" s="311"/>
      <c r="C273" s="161"/>
      <c r="D273" s="161"/>
      <c r="E273" s="191"/>
      <c r="F273" s="191"/>
      <c r="G273" s="191"/>
      <c r="H273" s="161"/>
    </row>
    <row r="274" spans="8:8" s="71" ht="15.0" customFormat="1">
      <c r="B274" s="311"/>
      <c r="C274" s="161"/>
      <c r="D274" s="161"/>
      <c r="E274" s="191"/>
      <c r="F274" s="191"/>
      <c r="G274" s="191"/>
      <c r="H274" s="161"/>
    </row>
    <row r="275" spans="8:8" s="71" ht="15.0" customFormat="1">
      <c r="B275" s="311"/>
      <c r="C275" s="161"/>
      <c r="D275" s="161"/>
      <c r="E275" s="191"/>
      <c r="F275" s="191"/>
      <c r="G275" s="191"/>
      <c r="H275" s="161"/>
    </row>
    <row r="276" spans="8:8" s="71" ht="15.0" customFormat="1">
      <c r="B276" s="311"/>
      <c r="C276" s="161"/>
      <c r="D276" s="233"/>
      <c r="E276" s="191"/>
      <c r="F276" s="191"/>
      <c r="G276" s="191"/>
      <c r="H276" s="161"/>
    </row>
    <row r="277" spans="8:8" s="71" ht="15.0" customFormat="1">
      <c r="B277" s="311"/>
      <c r="C277" s="161"/>
      <c r="D277" s="161"/>
      <c r="E277" s="191"/>
      <c r="F277" s="191"/>
      <c r="G277" s="191"/>
      <c r="H277" s="161"/>
    </row>
    <row r="278" spans="8:8" s="71" ht="15.0" customFormat="1">
      <c r="B278" s="311"/>
      <c r="C278" s="161"/>
      <c r="D278" s="161"/>
      <c r="E278" s="191"/>
      <c r="F278" s="191"/>
      <c r="G278" s="191"/>
      <c r="H278" s="161"/>
    </row>
    <row r="279" spans="8:8" s="71" ht="15.0" customFormat="1">
      <c r="B279" s="311"/>
      <c r="C279" s="161"/>
      <c r="D279" s="161"/>
      <c r="E279" s="191"/>
      <c r="F279" s="191"/>
      <c r="G279" s="191"/>
      <c r="H279" s="161"/>
    </row>
    <row r="280" spans="8:8" s="71" ht="15.0" customFormat="1">
      <c r="B280" s="311"/>
      <c r="C280" s="161"/>
      <c r="D280" s="161"/>
      <c r="E280" s="191"/>
      <c r="F280" s="191"/>
      <c r="G280" s="191"/>
      <c r="H280" s="161"/>
    </row>
    <row r="281" spans="8:8" s="71" ht="15.0" customFormat="1">
      <c r="B281" s="311"/>
      <c r="C281" s="161"/>
      <c r="D281" s="161"/>
      <c r="E281" s="191"/>
      <c r="F281" s="191"/>
      <c r="G281" s="191"/>
      <c r="H281" s="161"/>
    </row>
    <row r="282" spans="8:8" s="71" ht="15.0" customFormat="1">
      <c r="B282" s="311"/>
      <c r="C282" s="161"/>
      <c r="D282" s="161"/>
      <c r="E282" s="191"/>
      <c r="F282" s="191"/>
      <c r="G282" s="191"/>
      <c r="H282" s="161"/>
      <c r="I282" s="312"/>
    </row>
    <row r="283" spans="8:8" s="312" ht="15.0" customFormat="1">
      <c r="A283" s="71"/>
      <c r="B283" s="311"/>
      <c r="C283" s="161"/>
      <c r="D283" s="161"/>
      <c r="E283" s="191"/>
      <c r="F283" s="191"/>
      <c r="G283" s="191"/>
      <c r="H283" s="161"/>
    </row>
    <row r="284" spans="8:8" s="71" ht="15.0" customFormat="1">
      <c r="B284" s="311"/>
      <c r="C284" s="161"/>
      <c r="D284" s="161"/>
      <c r="E284" s="191"/>
      <c r="F284" s="191"/>
      <c r="G284" s="191"/>
      <c r="H284" s="161"/>
    </row>
    <row r="285" spans="8:8" s="71" ht="15.0" customFormat="1">
      <c r="B285" s="311"/>
      <c r="C285" s="161"/>
      <c r="D285" s="161"/>
      <c r="E285" s="191"/>
      <c r="F285" s="191"/>
      <c r="G285" s="191"/>
      <c r="H285" s="161"/>
    </row>
    <row r="286" spans="8:8" s="71" ht="15.0" customFormat="1">
      <c r="B286" s="311"/>
      <c r="C286" s="161"/>
      <c r="D286" s="161"/>
      <c r="E286" s="191"/>
      <c r="F286" s="191"/>
      <c r="G286" s="191"/>
      <c r="H286" s="161"/>
    </row>
    <row r="287" spans="8:8" s="71" ht="15.0" customFormat="1">
      <c r="B287" s="311"/>
      <c r="C287" s="161"/>
      <c r="D287" s="161"/>
      <c r="E287" s="191"/>
      <c r="F287" s="191"/>
      <c r="G287" s="191"/>
      <c r="H287" s="161"/>
    </row>
    <row r="288" spans="8:8" s="71" ht="15.0" customFormat="1">
      <c r="B288" s="311"/>
      <c r="C288" s="161"/>
      <c r="D288" s="161"/>
      <c r="E288" s="191"/>
      <c r="F288" s="191"/>
      <c r="G288" s="191"/>
      <c r="H288" s="161"/>
    </row>
    <row r="289" spans="8:8" s="71" ht="15.0" customFormat="1">
      <c r="B289" s="311"/>
      <c r="C289" s="161"/>
      <c r="D289" s="161"/>
      <c r="E289" s="191"/>
      <c r="F289" s="191"/>
      <c r="G289" s="191"/>
      <c r="H289" s="161"/>
    </row>
    <row r="290" spans="8:8" s="71" ht="15.0" customFormat="1">
      <c r="B290" s="311"/>
      <c r="C290" s="161"/>
      <c r="D290" s="161"/>
      <c r="E290" s="191"/>
      <c r="F290" s="191"/>
      <c r="G290" s="191"/>
      <c r="H290" s="161"/>
    </row>
    <row r="291" spans="8:8" s="312" ht="15.0" customFormat="1">
      <c r="A291" s="71"/>
      <c r="B291" s="311"/>
      <c r="C291" s="161"/>
      <c r="D291" s="161"/>
      <c r="E291" s="191"/>
      <c r="F291" s="191"/>
      <c r="G291" s="191"/>
      <c r="H291" s="161"/>
    </row>
    <row r="292" spans="8:8" s="71" ht="15.0" customFormat="1">
      <c r="B292" s="311"/>
      <c r="C292" s="161"/>
      <c r="D292" s="161"/>
      <c r="E292" s="191"/>
      <c r="F292" s="191"/>
      <c r="G292" s="191"/>
      <c r="H292" s="161"/>
    </row>
    <row r="293" spans="8:8" s="71" ht="15.0" customFormat="1">
      <c r="B293" s="311"/>
      <c r="C293" s="161"/>
      <c r="D293" s="161"/>
      <c r="E293" s="191"/>
      <c r="F293" s="191"/>
      <c r="G293" s="191"/>
      <c r="H293" s="161"/>
    </row>
    <row r="294" spans="8:8" s="312" ht="15.0" customFormat="1">
      <c r="A294" s="71"/>
      <c r="B294" s="311"/>
      <c r="C294" s="161"/>
      <c r="D294" s="161"/>
      <c r="E294" s="191"/>
      <c r="F294" s="191"/>
      <c r="G294" s="191"/>
      <c r="H294" s="161"/>
    </row>
    <row r="295" spans="8:8" s="312" ht="15.0" customFormat="1">
      <c r="A295" s="71"/>
      <c r="B295" s="311"/>
      <c r="C295" s="161"/>
      <c r="D295" s="161"/>
      <c r="E295" s="191"/>
      <c r="F295" s="191"/>
      <c r="G295" s="191"/>
      <c r="H295" s="161"/>
    </row>
    <row r="296" spans="8:8" s="71" ht="15.0" customFormat="1">
      <c r="B296" s="311"/>
      <c r="C296" s="161"/>
      <c r="D296" s="161"/>
      <c r="E296" s="191"/>
      <c r="F296" s="191"/>
      <c r="G296" s="191"/>
      <c r="H296" s="161"/>
    </row>
    <row r="297" spans="8:8">
      <c r="I297" s="71"/>
    </row>
  </sheetData>
  <pageMargins left="0.44" right="0.7" top="0.49" bottom="0.28" header="0.3" footer="0.16"/>
</worksheet>
</file>

<file path=xl/worksheets/sheet22.xml><?xml version="1.0" encoding="utf-8"?>
<worksheet xmlns:r="http://schemas.openxmlformats.org/officeDocument/2006/relationships" xmlns="http://schemas.openxmlformats.org/spreadsheetml/2006/main">
  <dimension ref="A1:R296"/>
  <sheetViews>
    <sheetView workbookViewId="0" topLeftCell="A115">
      <selection activeCell="A139" sqref="A139:XFD139"/>
    </sheetView>
  </sheetViews>
  <sheetFormatPr defaultRowHeight="15.0" defaultColWidth="10"/>
  <cols>
    <col min="1" max="1" customWidth="1" bestFit="1" width="60.285156" style="38"/>
    <col min="2" max="2" customWidth="1" width="14.0" style="39"/>
    <col min="3" max="3" hidden="1" customWidth="1" width="12.425781" style="40"/>
    <col min="4" max="4" hidden="1" customWidth="1" width="15.285156" style="40"/>
    <col min="5" max="5" hidden="1" customWidth="1" width="12.855469" style="163"/>
    <col min="6" max="7" hidden="1" customWidth="1" width="18.140625" style="163"/>
    <col min="8" max="8" hidden="1" customWidth="1" width="19.710938" style="163"/>
    <col min="9" max="9" customWidth="1" width="14.5703125" style="161"/>
    <col min="10" max="11" customWidth="1" width="11.425781" style="39"/>
    <col min="12" max="12" customWidth="1" bestFit="1" width="12.5703125" style="39"/>
    <col min="13" max="16384" customWidth="0" width="11.425781" style="39"/>
  </cols>
  <sheetData>
    <row r="1" spans="8:8">
      <c r="A1" s="1" t="s">
        <v>0</v>
      </c>
      <c r="B1" s="1" t="s">
        <v>1</v>
      </c>
      <c r="C1" s="2" t="s">
        <v>2</v>
      </c>
      <c r="D1" s="2" t="s">
        <v>3</v>
      </c>
      <c r="E1" s="80" t="s">
        <v>4</v>
      </c>
      <c r="F1" s="80" t="s">
        <v>5</v>
      </c>
      <c r="G1" s="80" t="s">
        <v>406</v>
      </c>
      <c r="H1" s="80" t="s">
        <v>319</v>
      </c>
      <c r="I1" s="2" t="s">
        <v>294</v>
      </c>
    </row>
    <row r="2" spans="8:8">
      <c r="A2" s="3" t="s">
        <v>7</v>
      </c>
      <c r="B2" s="4" t="s">
        <v>8</v>
      </c>
      <c r="C2" s="93">
        <v>0.01</v>
      </c>
      <c r="D2" s="93">
        <v>2009349.53856</v>
      </c>
      <c r="E2" s="20">
        <v>242572.0</v>
      </c>
      <c r="F2" s="20">
        <v>363856.0</v>
      </c>
      <c r="G2" s="180" t="s">
        <v>292</v>
      </c>
      <c r="H2" s="180" t="s">
        <v>292</v>
      </c>
      <c r="I2" s="43">
        <f>SUM(C2:H2)</f>
        <v>2615777.54856</v>
      </c>
    </row>
    <row r="3" spans="8:8">
      <c r="A3" s="3" t="s">
        <v>9</v>
      </c>
      <c r="B3" s="4" t="s">
        <v>8</v>
      </c>
      <c r="C3" s="93">
        <v>0.01</v>
      </c>
      <c r="D3" s="93">
        <v>2009349.53856</v>
      </c>
      <c r="E3" s="20">
        <v>242572.0</v>
      </c>
      <c r="F3" s="20">
        <v>363856.0</v>
      </c>
      <c r="G3" s="180" t="s">
        <v>292</v>
      </c>
      <c r="H3" s="180" t="s">
        <v>292</v>
      </c>
      <c r="I3" s="43">
        <f>SUM(C3:F3)</f>
        <v>2615777.54856</v>
      </c>
    </row>
    <row r="4" spans="8:8">
      <c r="A4" s="3" t="s">
        <v>10</v>
      </c>
      <c r="B4" s="4" t="s">
        <v>8</v>
      </c>
      <c r="C4" s="93">
        <v>0.01</v>
      </c>
      <c r="D4" s="93">
        <v>2009349.53856</v>
      </c>
      <c r="E4" s="20">
        <v>242572.0</v>
      </c>
      <c r="F4" s="20">
        <v>363856.0</v>
      </c>
      <c r="G4" s="180" t="s">
        <v>292</v>
      </c>
      <c r="H4" s="180" t="s">
        <v>292</v>
      </c>
      <c r="I4" s="43">
        <f>SUM(C4:F4)</f>
        <v>2615777.54856</v>
      </c>
    </row>
    <row r="5" spans="8:8">
      <c r="A5" s="3" t="s">
        <v>11</v>
      </c>
      <c r="B5" s="4" t="s">
        <v>8</v>
      </c>
      <c r="C5" s="62">
        <v>0.01</v>
      </c>
      <c r="D5" s="93">
        <v>4018699.0921199997</v>
      </c>
      <c r="E5" s="20">
        <v>242572.0</v>
      </c>
      <c r="F5" s="20">
        <v>363856.0</v>
      </c>
      <c r="G5" s="180" t="s">
        <v>292</v>
      </c>
      <c r="H5" s="180" t="s">
        <v>292</v>
      </c>
      <c r="I5" s="43">
        <f t="shared" si="0" ref="I5:I48">SUM(C5:H5)</f>
        <v>4625127.102119999</v>
      </c>
    </row>
    <row r="6" spans="8:8">
      <c r="A6" s="292" t="s">
        <v>379</v>
      </c>
      <c r="B6" s="16" t="s">
        <v>13</v>
      </c>
      <c r="C6" s="93">
        <v>1480159.6992000001</v>
      </c>
      <c r="D6" s="93">
        <v>825221.7792</v>
      </c>
      <c r="E6" s="20">
        <v>242572.0</v>
      </c>
      <c r="F6" s="20">
        <v>363856.0</v>
      </c>
      <c r="G6" s="180" t="s">
        <v>292</v>
      </c>
      <c r="H6" s="313">
        <v>440000.0</v>
      </c>
      <c r="I6" s="43">
        <f t="shared" si="0"/>
        <v>3351809.4784000004</v>
      </c>
      <c r="J6" s="71"/>
      <c r="K6" s="71"/>
      <c r="L6" s="71"/>
      <c r="M6" s="71"/>
      <c r="N6" s="71"/>
      <c r="O6" s="71"/>
    </row>
    <row r="7" spans="8:8">
      <c r="A7" s="292" t="s">
        <v>380</v>
      </c>
      <c r="B7" s="4" t="s">
        <v>13</v>
      </c>
      <c r="C7" s="93">
        <v>1480159.6992000001</v>
      </c>
      <c r="D7" s="93">
        <v>825221.7792</v>
      </c>
      <c r="E7" s="20">
        <v>242572.0</v>
      </c>
      <c r="F7" s="20">
        <v>363856.0</v>
      </c>
      <c r="G7" s="180" t="s">
        <v>292</v>
      </c>
      <c r="H7" s="313">
        <v>440000.0</v>
      </c>
      <c r="I7" s="205">
        <f>I6*2</f>
        <v>6703618.956800001</v>
      </c>
      <c r="J7" s="71"/>
      <c r="K7" s="71"/>
      <c r="L7" s="71"/>
      <c r="M7" s="71"/>
      <c r="N7" s="71"/>
      <c r="O7" s="71"/>
    </row>
    <row r="8" spans="8:8">
      <c r="A8" s="3" t="s">
        <v>16</v>
      </c>
      <c r="B8" s="4" t="s">
        <v>13</v>
      </c>
      <c r="C8" s="93">
        <v>1480159.6992000001</v>
      </c>
      <c r="D8" s="93">
        <v>825221.7792</v>
      </c>
      <c r="E8" s="20">
        <v>242572.0</v>
      </c>
      <c r="F8" s="20">
        <v>363856.0</v>
      </c>
      <c r="G8" s="180" t="s">
        <v>292</v>
      </c>
      <c r="H8" s="313">
        <v>440000.0</v>
      </c>
      <c r="I8" s="43">
        <f t="shared" si="0"/>
        <v>3351809.4784000004</v>
      </c>
      <c r="J8" s="71"/>
      <c r="K8" s="71"/>
      <c r="M8" s="71"/>
      <c r="N8" s="71"/>
      <c r="O8" s="71"/>
    </row>
    <row r="9" spans="8:8">
      <c r="A9" s="3" t="s">
        <v>17</v>
      </c>
      <c r="B9" s="4" t="s">
        <v>13</v>
      </c>
      <c r="C9" s="93">
        <v>5154361.430399999</v>
      </c>
      <c r="D9" s="93">
        <v>1886221.2095999997</v>
      </c>
      <c r="E9" s="20">
        <v>242572.0</v>
      </c>
      <c r="F9" s="20">
        <v>363856.0</v>
      </c>
      <c r="G9" s="180" t="s">
        <v>292</v>
      </c>
      <c r="H9" s="313">
        <v>440000.0</v>
      </c>
      <c r="I9" s="43">
        <f t="shared" si="0"/>
        <v>8087010.639999999</v>
      </c>
      <c r="J9" s="71"/>
      <c r="K9" s="71"/>
      <c r="L9" s="71"/>
      <c r="M9" s="71"/>
      <c r="N9" s="71"/>
      <c r="O9" s="71"/>
    </row>
    <row r="10" spans="8:8">
      <c r="A10" s="3" t="s">
        <v>18</v>
      </c>
      <c r="B10" s="4" t="s">
        <v>13</v>
      </c>
      <c r="C10" s="93">
        <v>1755233.6256</v>
      </c>
      <c r="D10" s="93">
        <v>1886221.2095999997</v>
      </c>
      <c r="E10" s="20">
        <v>242572.0</v>
      </c>
      <c r="F10" s="20">
        <v>363856.0</v>
      </c>
      <c r="G10" s="180" t="s">
        <v>292</v>
      </c>
      <c r="H10" s="313">
        <v>440000.0</v>
      </c>
      <c r="I10" s="43">
        <f t="shared" si="0"/>
        <v>4687882.8352</v>
      </c>
      <c r="J10" s="71"/>
      <c r="K10" s="71"/>
      <c r="L10" s="71"/>
      <c r="M10" s="71"/>
      <c r="N10" s="71"/>
      <c r="O10" s="71"/>
    </row>
    <row r="11" spans="8:8">
      <c r="A11" s="3" t="s">
        <v>19</v>
      </c>
      <c r="B11" s="4" t="s">
        <v>13</v>
      </c>
      <c r="C11" s="93">
        <v>1755233.6256</v>
      </c>
      <c r="D11" s="93">
        <v>1886221.2095999997</v>
      </c>
      <c r="E11" s="20">
        <v>242572.0</v>
      </c>
      <c r="F11" s="20">
        <v>363856.0</v>
      </c>
      <c r="G11" s="180" t="s">
        <v>292</v>
      </c>
      <c r="H11" s="313">
        <v>440000.0</v>
      </c>
      <c r="I11" s="43">
        <f t="shared" si="0"/>
        <v>4687882.8352</v>
      </c>
      <c r="J11" s="71"/>
      <c r="K11" s="71"/>
      <c r="L11" s="71"/>
      <c r="M11" s="71"/>
      <c r="N11" s="71"/>
      <c r="O11" s="71"/>
    </row>
    <row r="12" spans="8:8">
      <c r="A12" s="204" t="s">
        <v>404</v>
      </c>
      <c r="B12" s="305" t="s">
        <v>13</v>
      </c>
      <c r="C12" s="93">
        <v>1755233.6256</v>
      </c>
      <c r="D12" s="93">
        <v>1886221.2095999997</v>
      </c>
      <c r="E12" s="20">
        <v>242572.0</v>
      </c>
      <c r="F12" s="20">
        <v>363856.0</v>
      </c>
      <c r="G12" s="20">
        <v>440000.0</v>
      </c>
      <c r="H12" s="205">
        <f>SUM(C12:G12)*2</f>
        <v>9375765.6704</v>
      </c>
      <c r="I12" s="247">
        <v>9375765.67</v>
      </c>
    </row>
    <row r="13" spans="8:8">
      <c r="A13" s="206" t="s">
        <v>403</v>
      </c>
      <c r="B13" s="305" t="s">
        <v>13</v>
      </c>
      <c r="C13" s="93">
        <v>1755233.6256</v>
      </c>
      <c r="D13" s="93">
        <v>1886221.2095999997</v>
      </c>
      <c r="E13" s="20">
        <v>242572.0</v>
      </c>
      <c r="F13" s="20">
        <v>363856.0</v>
      </c>
      <c r="G13" s="20">
        <v>440000.0</v>
      </c>
      <c r="H13" s="205">
        <f>SUM(C13:G13)*2</f>
        <v>9375765.6704</v>
      </c>
      <c r="I13" s="247">
        <v>9375765.67</v>
      </c>
    </row>
    <row r="14" spans="8:8">
      <c r="A14" s="3" t="s">
        <v>20</v>
      </c>
      <c r="B14" s="4" t="s">
        <v>13</v>
      </c>
      <c r="C14" s="93">
        <v>1755233.6256</v>
      </c>
      <c r="D14" s="93">
        <v>1886221.2095999997</v>
      </c>
      <c r="E14" s="20">
        <v>242572.0</v>
      </c>
      <c r="F14" s="20">
        <v>363856.0</v>
      </c>
      <c r="G14" s="180" t="s">
        <v>292</v>
      </c>
      <c r="H14" s="313">
        <v>440000.0</v>
      </c>
      <c r="I14" s="43">
        <f t="shared" si="0"/>
        <v>4687882.8352</v>
      </c>
    </row>
    <row r="15" spans="8:8">
      <c r="A15" s="15" t="s">
        <v>23</v>
      </c>
      <c r="B15" s="16" t="s">
        <v>13</v>
      </c>
      <c r="C15" s="93">
        <v>1755233.6256</v>
      </c>
      <c r="D15" s="93">
        <v>1886221.2095999997</v>
      </c>
      <c r="E15" s="20">
        <v>242572.0</v>
      </c>
      <c r="F15" s="20">
        <v>363856.0</v>
      </c>
      <c r="G15" s="180" t="s">
        <v>292</v>
      </c>
      <c r="H15" s="313">
        <v>440000.0</v>
      </c>
      <c r="I15" s="43">
        <f t="shared" si="0"/>
        <v>4687882.8352</v>
      </c>
    </row>
    <row r="16" spans="8:8">
      <c r="A16" s="3" t="s">
        <v>24</v>
      </c>
      <c r="B16" s="16" t="s">
        <v>13</v>
      </c>
      <c r="C16" s="93">
        <v>1755233.6256</v>
      </c>
      <c r="D16" s="93">
        <v>1886221.2095999997</v>
      </c>
      <c r="E16" s="20">
        <v>242572.0</v>
      </c>
      <c r="F16" s="20">
        <v>363856.0</v>
      </c>
      <c r="G16" s="180" t="s">
        <v>292</v>
      </c>
      <c r="H16" s="313">
        <v>440000.0</v>
      </c>
      <c r="I16" s="43">
        <f t="shared" si="0"/>
        <v>4687882.8352</v>
      </c>
    </row>
    <row r="17" spans="8:8">
      <c r="A17" s="3" t="s">
        <v>25</v>
      </c>
      <c r="B17" s="4" t="s">
        <v>13</v>
      </c>
      <c r="C17" s="93">
        <v>1755233.6256</v>
      </c>
      <c r="D17" s="93">
        <v>1886221.2095999997</v>
      </c>
      <c r="E17" s="20">
        <v>242572.0</v>
      </c>
      <c r="F17" s="20">
        <v>363856.0</v>
      </c>
      <c r="G17" s="180" t="s">
        <v>292</v>
      </c>
      <c r="H17" s="313">
        <v>440000.0</v>
      </c>
      <c r="I17" s="43">
        <f t="shared" si="0"/>
        <v>4687882.8352</v>
      </c>
    </row>
    <row r="18" spans="8:8">
      <c r="A18" s="3" t="s">
        <v>26</v>
      </c>
      <c r="B18" s="4" t="s">
        <v>13</v>
      </c>
      <c r="C18" s="93">
        <v>1755233.6256</v>
      </c>
      <c r="D18" s="93">
        <v>1886221.2095999997</v>
      </c>
      <c r="E18" s="20">
        <v>242572.0</v>
      </c>
      <c r="F18" s="20">
        <v>363856.0</v>
      </c>
      <c r="G18" s="180" t="s">
        <v>292</v>
      </c>
      <c r="H18" s="313">
        <v>440000.0</v>
      </c>
      <c r="I18" s="43">
        <f t="shared" si="0"/>
        <v>4687882.8352</v>
      </c>
    </row>
    <row r="19" spans="8:8">
      <c r="A19" s="3" t="s">
        <v>27</v>
      </c>
      <c r="B19" s="4" t="s">
        <v>13</v>
      </c>
      <c r="C19" s="93">
        <v>1755233.6256</v>
      </c>
      <c r="D19" s="93">
        <v>1886221.2095999997</v>
      </c>
      <c r="E19" s="20">
        <v>242572.0</v>
      </c>
      <c r="F19" s="20">
        <v>363856.0</v>
      </c>
      <c r="G19" s="180" t="s">
        <v>292</v>
      </c>
      <c r="H19" s="313">
        <v>440000.0</v>
      </c>
      <c r="I19" s="43">
        <f t="shared" si="0"/>
        <v>4687882.8352</v>
      </c>
    </row>
    <row r="20" spans="8:8">
      <c r="A20" s="3" t="s">
        <v>28</v>
      </c>
      <c r="B20" s="4" t="s">
        <v>13</v>
      </c>
      <c r="C20" s="93">
        <v>1755233.6256</v>
      </c>
      <c r="D20" s="93">
        <v>1886221.2095999997</v>
      </c>
      <c r="E20" s="20">
        <v>242572.0</v>
      </c>
      <c r="F20" s="20">
        <v>363856.0</v>
      </c>
      <c r="G20" s="180" t="s">
        <v>292</v>
      </c>
      <c r="H20" s="313">
        <v>440000.0</v>
      </c>
      <c r="I20" s="43">
        <f t="shared" si="0"/>
        <v>4687882.8352</v>
      </c>
    </row>
    <row r="21" spans="8:8">
      <c r="A21" s="3" t="s">
        <v>29</v>
      </c>
      <c r="B21" s="4" t="s">
        <v>13</v>
      </c>
      <c r="C21" s="93">
        <v>1755233.6256</v>
      </c>
      <c r="D21" s="93">
        <v>1886221.2095999997</v>
      </c>
      <c r="E21" s="20">
        <v>242572.0</v>
      </c>
      <c r="F21" s="20">
        <v>363856.0</v>
      </c>
      <c r="G21" s="180" t="s">
        <v>292</v>
      </c>
      <c r="H21" s="313">
        <v>440000.0</v>
      </c>
      <c r="I21" s="43">
        <f t="shared" si="0"/>
        <v>4687882.8352</v>
      </c>
    </row>
    <row r="22" spans="8:8">
      <c r="A22" s="297" t="s">
        <v>381</v>
      </c>
      <c r="B22" s="4" t="s">
        <v>13</v>
      </c>
      <c r="C22" s="93">
        <v>1755233.6256</v>
      </c>
      <c r="D22" s="93">
        <v>1886221.2095999997</v>
      </c>
      <c r="E22" s="20">
        <v>242572.0</v>
      </c>
      <c r="F22" s="20">
        <v>363856.0</v>
      </c>
      <c r="G22" s="180" t="s">
        <v>292</v>
      </c>
      <c r="H22" s="313">
        <v>440000.0</v>
      </c>
      <c r="I22" s="43">
        <f t="shared" si="0"/>
        <v>4687882.8352</v>
      </c>
    </row>
    <row r="23" spans="8:8">
      <c r="A23" s="3" t="s">
        <v>31</v>
      </c>
      <c r="B23" s="4" t="s">
        <v>13</v>
      </c>
      <c r="C23" s="93">
        <v>1755233.6256</v>
      </c>
      <c r="D23" s="93">
        <v>1886221.2095999997</v>
      </c>
      <c r="E23" s="20">
        <v>242572.0</v>
      </c>
      <c r="F23" s="20">
        <v>363856.0</v>
      </c>
      <c r="G23" s="180" t="s">
        <v>292</v>
      </c>
      <c r="H23" s="313">
        <v>440000.0</v>
      </c>
      <c r="I23" s="43">
        <f t="shared" si="0"/>
        <v>4687882.8352</v>
      </c>
    </row>
    <row r="24" spans="8:8">
      <c r="A24" s="3" t="s">
        <v>32</v>
      </c>
      <c r="B24" s="4" t="s">
        <v>13</v>
      </c>
      <c r="C24" s="93">
        <v>1755233.6256</v>
      </c>
      <c r="D24" s="93">
        <v>1886221.2095999997</v>
      </c>
      <c r="E24" s="20">
        <v>242572.0</v>
      </c>
      <c r="F24" s="20">
        <v>363856.0</v>
      </c>
      <c r="G24" s="180" t="s">
        <v>292</v>
      </c>
      <c r="H24" s="313">
        <v>440000.0</v>
      </c>
      <c r="I24" s="43">
        <f t="shared" si="0"/>
        <v>4687882.8352</v>
      </c>
    </row>
    <row r="25" spans="8:8">
      <c r="A25" s="3" t="s">
        <v>33</v>
      </c>
      <c r="B25" s="4" t="s">
        <v>13</v>
      </c>
      <c r="C25" s="93">
        <v>1755233.6256</v>
      </c>
      <c r="D25" s="93">
        <v>1886221.2095999997</v>
      </c>
      <c r="E25" s="20">
        <v>242572.0</v>
      </c>
      <c r="F25" s="20">
        <v>363856.0</v>
      </c>
      <c r="G25" s="180" t="s">
        <v>292</v>
      </c>
      <c r="H25" s="313">
        <v>440000.0</v>
      </c>
      <c r="I25" s="43">
        <f t="shared" si="0"/>
        <v>4687882.8352</v>
      </c>
    </row>
    <row r="26" spans="8:8">
      <c r="A26" s="3" t="s">
        <v>34</v>
      </c>
      <c r="B26" s="4" t="s">
        <v>13</v>
      </c>
      <c r="C26" s="93">
        <v>1480159.6992000001</v>
      </c>
      <c r="D26" s="93">
        <v>825221.7792</v>
      </c>
      <c r="E26" s="20">
        <v>242572.0</v>
      </c>
      <c r="F26" s="20">
        <v>363856.0</v>
      </c>
      <c r="G26" s="180" t="s">
        <v>292</v>
      </c>
      <c r="H26" s="313">
        <v>440000.0</v>
      </c>
      <c r="I26" s="43">
        <f t="shared" si="0"/>
        <v>3351809.4784000004</v>
      </c>
    </row>
    <row r="27" spans="8:8">
      <c r="A27" s="3" t="s">
        <v>35</v>
      </c>
      <c r="B27" s="4" t="s">
        <v>13</v>
      </c>
      <c r="C27" s="93">
        <v>1480159.6992000001</v>
      </c>
      <c r="D27" s="93">
        <v>825221.7792</v>
      </c>
      <c r="E27" s="20">
        <v>242572.0</v>
      </c>
      <c r="F27" s="20">
        <v>363856.0</v>
      </c>
      <c r="G27" s="180" t="s">
        <v>292</v>
      </c>
      <c r="H27" s="313">
        <v>440000.0</v>
      </c>
      <c r="I27" s="43">
        <f t="shared" si="0"/>
        <v>3351809.4784000004</v>
      </c>
    </row>
    <row r="28" spans="8:8">
      <c r="A28" s="3" t="s">
        <v>36</v>
      </c>
      <c r="B28" s="4" t="s">
        <v>13</v>
      </c>
      <c r="C28" s="93">
        <v>1480159.6992000001</v>
      </c>
      <c r="D28" s="93">
        <v>825221.7792</v>
      </c>
      <c r="E28" s="20">
        <v>242572.0</v>
      </c>
      <c r="F28" s="20">
        <v>363856.0</v>
      </c>
      <c r="G28" s="180" t="s">
        <v>292</v>
      </c>
      <c r="H28" s="313">
        <v>440000.0</v>
      </c>
      <c r="I28" s="43">
        <f t="shared" si="0"/>
        <v>3351809.4784000004</v>
      </c>
    </row>
    <row r="29" spans="8:8">
      <c r="A29" s="298" t="s">
        <v>392</v>
      </c>
      <c r="B29" s="4" t="s">
        <v>13</v>
      </c>
      <c r="C29" s="93">
        <v>1480159.6992000001</v>
      </c>
      <c r="D29" s="93">
        <v>825221.7792</v>
      </c>
      <c r="E29" s="20">
        <v>242572.0</v>
      </c>
      <c r="F29" s="20">
        <v>363856.0</v>
      </c>
      <c r="G29" s="180" t="s">
        <v>292</v>
      </c>
      <c r="H29" s="313">
        <v>440000.0</v>
      </c>
      <c r="I29" s="43">
        <f t="shared" si="0"/>
        <v>3351809.4784000004</v>
      </c>
    </row>
    <row r="30" spans="8:8">
      <c r="A30" s="3" t="s">
        <v>38</v>
      </c>
      <c r="B30" s="4" t="s">
        <v>13</v>
      </c>
      <c r="C30" s="93">
        <v>1480159.6992000001</v>
      </c>
      <c r="D30" s="93">
        <v>825221.7792</v>
      </c>
      <c r="E30" s="20">
        <v>242572.0</v>
      </c>
      <c r="F30" s="20">
        <v>363856.0</v>
      </c>
      <c r="G30" s="180" t="s">
        <v>292</v>
      </c>
      <c r="H30" s="313">
        <v>440000.0</v>
      </c>
      <c r="I30" s="43">
        <f t="shared" si="0"/>
        <v>3351809.4784000004</v>
      </c>
    </row>
    <row r="31" spans="8:8">
      <c r="A31" s="15" t="s">
        <v>39</v>
      </c>
      <c r="B31" s="4" t="s">
        <v>13</v>
      </c>
      <c r="C31" s="93">
        <v>1480159.6992000001</v>
      </c>
      <c r="D31" s="93">
        <v>825221.7792</v>
      </c>
      <c r="E31" s="20">
        <v>242572.0</v>
      </c>
      <c r="F31" s="20">
        <v>363856.0</v>
      </c>
      <c r="G31" s="180" t="s">
        <v>292</v>
      </c>
      <c r="H31" s="313">
        <v>440000.0</v>
      </c>
      <c r="I31" s="43">
        <f t="shared" si="0"/>
        <v>3351809.4784000004</v>
      </c>
    </row>
    <row r="32" spans="8:8" s="49" ht="15.0" customFormat="1">
      <c r="A32" s="3" t="s">
        <v>40</v>
      </c>
      <c r="B32" s="16" t="s">
        <v>13</v>
      </c>
      <c r="C32" s="93">
        <v>1480159.6992000001</v>
      </c>
      <c r="D32" s="93">
        <v>825221.7792</v>
      </c>
      <c r="E32" s="20">
        <v>242572.0</v>
      </c>
      <c r="F32" s="20">
        <v>363856.0</v>
      </c>
      <c r="G32" s="180" t="s">
        <v>292</v>
      </c>
      <c r="H32" s="313">
        <v>440000.0</v>
      </c>
      <c r="I32" s="43">
        <f t="shared" si="0"/>
        <v>3351809.4784000004</v>
      </c>
    </row>
    <row r="33" spans="8:8">
      <c r="A33" s="15" t="s">
        <v>41</v>
      </c>
      <c r="B33" s="16" t="s">
        <v>13</v>
      </c>
      <c r="C33" s="93">
        <v>1480159.6992000001</v>
      </c>
      <c r="D33" s="93">
        <v>825221.7792</v>
      </c>
      <c r="E33" s="20">
        <v>242572.0</v>
      </c>
      <c r="F33" s="20">
        <v>363856.0</v>
      </c>
      <c r="G33" s="180" t="s">
        <v>292</v>
      </c>
      <c r="H33" s="313">
        <v>440000.0</v>
      </c>
      <c r="I33" s="43">
        <f t="shared" si="0"/>
        <v>3351809.4784000004</v>
      </c>
    </row>
    <row r="34" spans="8:8" s="49" ht="15.0" customFormat="1">
      <c r="A34" s="298" t="s">
        <v>393</v>
      </c>
      <c r="B34" s="16" t="s">
        <v>13</v>
      </c>
      <c r="C34" s="93">
        <v>1480159.6992000001</v>
      </c>
      <c r="D34" s="93">
        <v>825221.7792</v>
      </c>
      <c r="E34" s="20">
        <v>242572.0</v>
      </c>
      <c r="F34" s="20">
        <v>363856.0</v>
      </c>
      <c r="G34" s="180" t="s">
        <v>292</v>
      </c>
      <c r="H34" s="313">
        <v>440000.0</v>
      </c>
      <c r="I34" s="43">
        <f t="shared" si="0"/>
        <v>3351809.4784000004</v>
      </c>
    </row>
    <row r="35" spans="8:8">
      <c r="A35" s="3" t="s">
        <v>43</v>
      </c>
      <c r="B35" s="4" t="s">
        <v>13</v>
      </c>
      <c r="C35" s="93">
        <v>1480159.6992000001</v>
      </c>
      <c r="D35" s="93">
        <v>825221.7792</v>
      </c>
      <c r="E35" s="20">
        <v>242572.0</v>
      </c>
      <c r="F35" s="20">
        <v>363856.0</v>
      </c>
      <c r="G35" s="180" t="s">
        <v>292</v>
      </c>
      <c r="H35" s="313">
        <v>440000.0</v>
      </c>
      <c r="I35" s="43">
        <f t="shared" si="0"/>
        <v>3351809.4784000004</v>
      </c>
    </row>
    <row r="36" spans="8:8">
      <c r="A36" s="298" t="s">
        <v>394</v>
      </c>
      <c r="B36" s="4" t="s">
        <v>13</v>
      </c>
      <c r="C36" s="93">
        <v>1480159.6992000001</v>
      </c>
      <c r="D36" s="93">
        <v>825221.7792</v>
      </c>
      <c r="E36" s="20">
        <v>242572.0</v>
      </c>
      <c r="F36" s="20">
        <v>363856.0</v>
      </c>
      <c r="G36" s="180" t="s">
        <v>292</v>
      </c>
      <c r="H36" s="313">
        <v>440000.0</v>
      </c>
      <c r="I36" s="43">
        <f t="shared" si="0"/>
        <v>3351809.4784000004</v>
      </c>
    </row>
    <row r="37" spans="8:8">
      <c r="A37" s="3" t="s">
        <v>45</v>
      </c>
      <c r="B37" s="4" t="s">
        <v>13</v>
      </c>
      <c r="C37" s="93">
        <v>3346732.771199999</v>
      </c>
      <c r="D37" s="93">
        <v>1964813.7600000002</v>
      </c>
      <c r="E37" s="20">
        <v>242572.0</v>
      </c>
      <c r="F37" s="20">
        <v>363856.0</v>
      </c>
      <c r="G37" s="180" t="s">
        <v>292</v>
      </c>
      <c r="H37" s="313">
        <v>440000.0</v>
      </c>
      <c r="I37" s="43">
        <f t="shared" si="0"/>
        <v>6357974.531199999</v>
      </c>
    </row>
    <row r="38" spans="8:8">
      <c r="A38" s="3" t="s">
        <v>46</v>
      </c>
      <c r="B38" s="4" t="s">
        <v>13</v>
      </c>
      <c r="C38" s="93">
        <v>3346732.771199999</v>
      </c>
      <c r="D38" s="93">
        <v>1964813.7600000002</v>
      </c>
      <c r="E38" s="20">
        <v>242572.0</v>
      </c>
      <c r="F38" s="20">
        <v>363856.0</v>
      </c>
      <c r="G38" s="180" t="s">
        <v>292</v>
      </c>
      <c r="H38" s="313">
        <v>440000.0</v>
      </c>
      <c r="I38" s="43">
        <f t="shared" si="0"/>
        <v>6357974.531199999</v>
      </c>
    </row>
    <row r="39" spans="8:8">
      <c r="A39" s="3" t="s">
        <v>47</v>
      </c>
      <c r="B39" s="4" t="s">
        <v>13</v>
      </c>
      <c r="C39" s="93">
        <v>4709003.6448</v>
      </c>
      <c r="D39" s="93">
        <v>1964813.7600000002</v>
      </c>
      <c r="E39" s="20">
        <v>242572.0</v>
      </c>
      <c r="F39" s="20">
        <v>363856.0</v>
      </c>
      <c r="G39" s="180" t="s">
        <v>292</v>
      </c>
      <c r="H39" s="313">
        <v>440000.0</v>
      </c>
      <c r="I39" s="43">
        <f t="shared" si="0"/>
        <v>7720245.4048</v>
      </c>
    </row>
    <row r="40" spans="8:8">
      <c r="A40" s="3" t="s">
        <v>48</v>
      </c>
      <c r="B40" s="4" t="s">
        <v>13</v>
      </c>
      <c r="C40" s="93">
        <v>1480159.6992000001</v>
      </c>
      <c r="D40" s="93">
        <v>1964813.7600000002</v>
      </c>
      <c r="E40" s="20">
        <v>242572.0</v>
      </c>
      <c r="F40" s="20">
        <v>363856.0</v>
      </c>
      <c r="G40" s="180" t="s">
        <v>292</v>
      </c>
      <c r="H40" s="313">
        <v>440000.0</v>
      </c>
      <c r="I40" s="43">
        <f t="shared" si="0"/>
        <v>4491401.4592</v>
      </c>
    </row>
    <row r="41" spans="8:8">
      <c r="A41" s="3" t="s">
        <v>49</v>
      </c>
      <c r="B41" s="4" t="s">
        <v>13</v>
      </c>
      <c r="C41" s="93">
        <v>1480159.6992000001</v>
      </c>
      <c r="D41" s="93">
        <v>825221.7792</v>
      </c>
      <c r="E41" s="20">
        <v>242572.0</v>
      </c>
      <c r="F41" s="20">
        <v>363856.0</v>
      </c>
      <c r="G41" s="180" t="s">
        <v>292</v>
      </c>
      <c r="H41" s="313">
        <v>440000.0</v>
      </c>
      <c r="I41" s="43">
        <f t="shared" si="0"/>
        <v>3351809.4784000004</v>
      </c>
    </row>
    <row r="42" spans="8:8">
      <c r="A42" s="299" t="s">
        <v>395</v>
      </c>
      <c r="B42" s="4" t="s">
        <v>13</v>
      </c>
      <c r="C42" s="93">
        <v>1480159.6992000001</v>
      </c>
      <c r="D42" s="93">
        <v>825221.7792</v>
      </c>
      <c r="E42" s="20">
        <v>242572.0</v>
      </c>
      <c r="F42" s="20">
        <v>363856.0</v>
      </c>
      <c r="G42" s="180" t="s">
        <v>292</v>
      </c>
      <c r="H42" s="313">
        <v>440000.0</v>
      </c>
      <c r="I42" s="43">
        <f t="shared" si="0"/>
        <v>3351809.4784000004</v>
      </c>
    </row>
    <row r="43" spans="8:8" s="49" ht="15.0" customFormat="1">
      <c r="A43" s="3" t="s">
        <v>51</v>
      </c>
      <c r="B43" s="16" t="s">
        <v>13</v>
      </c>
      <c r="C43" s="93">
        <v>1480159.6992000001</v>
      </c>
      <c r="D43" s="93">
        <v>825221.7792</v>
      </c>
      <c r="E43" s="20">
        <v>242572.0</v>
      </c>
      <c r="F43" s="20">
        <v>363856.0</v>
      </c>
      <c r="G43" s="180" t="s">
        <v>292</v>
      </c>
      <c r="H43" s="313">
        <v>440000.0</v>
      </c>
      <c r="I43" s="43">
        <f t="shared" si="0"/>
        <v>3351809.4784000004</v>
      </c>
    </row>
    <row r="44" spans="8:8">
      <c r="A44" s="3" t="s">
        <v>52</v>
      </c>
      <c r="B44" s="4" t="s">
        <v>13</v>
      </c>
      <c r="C44" s="93">
        <v>1480159.6992000001</v>
      </c>
      <c r="D44" s="93">
        <v>825221.7792</v>
      </c>
      <c r="E44" s="20">
        <v>242572.0</v>
      </c>
      <c r="F44" s="20">
        <v>363856.0</v>
      </c>
      <c r="G44" s="180" t="s">
        <v>292</v>
      </c>
      <c r="H44" s="313">
        <v>440000.0</v>
      </c>
      <c r="I44" s="43">
        <f t="shared" si="0"/>
        <v>3351809.4784000004</v>
      </c>
    </row>
    <row r="45" spans="8:8">
      <c r="A45" s="298" t="s">
        <v>396</v>
      </c>
      <c r="B45" s="4" t="s">
        <v>13</v>
      </c>
      <c r="C45" s="93">
        <v>1480159.6992000001</v>
      </c>
      <c r="D45" s="93">
        <v>825221.7792</v>
      </c>
      <c r="E45" s="20">
        <v>242572.0</v>
      </c>
      <c r="F45" s="20">
        <v>363856.0</v>
      </c>
      <c r="G45" s="180" t="s">
        <v>292</v>
      </c>
      <c r="H45" s="313">
        <v>440000.0</v>
      </c>
      <c r="I45" s="43">
        <f t="shared" si="0"/>
        <v>3351809.4784000004</v>
      </c>
    </row>
    <row r="46" spans="8:8">
      <c r="A46" s="3" t="s">
        <v>54</v>
      </c>
      <c r="B46" s="4" t="s">
        <v>13</v>
      </c>
      <c r="C46" s="93">
        <v>1480159.6992000001</v>
      </c>
      <c r="D46" s="93">
        <v>825221.7792</v>
      </c>
      <c r="E46" s="20">
        <v>242572.0</v>
      </c>
      <c r="F46" s="20">
        <v>363856.0</v>
      </c>
      <c r="G46" s="180" t="s">
        <v>292</v>
      </c>
      <c r="H46" s="313">
        <v>440000.0</v>
      </c>
      <c r="I46" s="43">
        <f t="shared" si="0"/>
        <v>3351809.4784000004</v>
      </c>
    </row>
    <row r="47" spans="8:8">
      <c r="A47" s="15" t="s">
        <v>55</v>
      </c>
      <c r="B47" s="4" t="s">
        <v>13</v>
      </c>
      <c r="C47" s="93">
        <v>1480159.6992000001</v>
      </c>
      <c r="D47" s="93">
        <v>825221.7792</v>
      </c>
      <c r="E47" s="20">
        <v>242572.0</v>
      </c>
      <c r="F47" s="20">
        <v>363856.0</v>
      </c>
      <c r="G47" s="180" t="s">
        <v>292</v>
      </c>
      <c r="H47" s="313">
        <v>440000.0</v>
      </c>
      <c r="I47" s="43">
        <f t="shared" si="0"/>
        <v>3351809.4784000004</v>
      </c>
    </row>
    <row r="48" spans="8:8" s="49" ht="15.0" customFormat="1">
      <c r="A48" s="298" t="s">
        <v>397</v>
      </c>
      <c r="B48" s="16" t="s">
        <v>13</v>
      </c>
      <c r="C48" s="93">
        <v>294722.064</v>
      </c>
      <c r="D48" s="93">
        <v>2161295.136</v>
      </c>
      <c r="E48" s="20">
        <v>242572.0</v>
      </c>
      <c r="F48" s="20">
        <v>363856.0</v>
      </c>
      <c r="G48" s="180" t="s">
        <v>292</v>
      </c>
      <c r="H48" s="313">
        <v>440000.0</v>
      </c>
      <c r="I48" s="241">
        <f t="shared" si="0"/>
        <v>3502445.2</v>
      </c>
    </row>
    <row r="49" spans="8:8">
      <c r="A49" s="3" t="s">
        <v>57</v>
      </c>
      <c r="B49" s="4" t="s">
        <v>60</v>
      </c>
      <c r="C49" s="93">
        <v>0.01</v>
      </c>
      <c r="D49" s="93">
        <v>2043406.3104</v>
      </c>
      <c r="E49" s="20">
        <v>242572.0</v>
      </c>
      <c r="F49" s="20">
        <v>363856.0</v>
      </c>
      <c r="G49" s="180" t="s">
        <v>292</v>
      </c>
      <c r="H49" s="180" t="s">
        <v>292</v>
      </c>
      <c r="I49" s="43">
        <f t="shared" si="1" ref="I49:I54">SUM(C49:F49)</f>
        <v>2649834.3204</v>
      </c>
    </row>
    <row r="50" spans="8:8">
      <c r="A50" s="3" t="s">
        <v>58</v>
      </c>
      <c r="B50" s="4" t="s">
        <v>60</v>
      </c>
      <c r="C50" s="93">
        <v>0.01</v>
      </c>
      <c r="D50" s="93">
        <v>2043406.3104</v>
      </c>
      <c r="E50" s="20">
        <v>242572.0</v>
      </c>
      <c r="F50" s="20">
        <v>363856.0</v>
      </c>
      <c r="G50" s="180" t="s">
        <v>292</v>
      </c>
      <c r="H50" s="180" t="s">
        <v>292</v>
      </c>
      <c r="I50" s="43">
        <f t="shared" si="1"/>
        <v>2649834.3204</v>
      </c>
    </row>
    <row r="51" spans="8:8">
      <c r="A51" s="3" t="s">
        <v>59</v>
      </c>
      <c r="B51" s="4" t="s">
        <v>60</v>
      </c>
      <c r="C51" s="93">
        <v>0.01</v>
      </c>
      <c r="D51" s="93">
        <v>2043406.3104</v>
      </c>
      <c r="E51" s="20">
        <v>242572.0</v>
      </c>
      <c r="F51" s="20">
        <v>363856.0</v>
      </c>
      <c r="G51" s="180" t="s">
        <v>292</v>
      </c>
      <c r="H51" s="180" t="s">
        <v>292</v>
      </c>
      <c r="I51" s="43">
        <f t="shared" si="1"/>
        <v>2649834.3204</v>
      </c>
    </row>
    <row r="52" spans="8:8">
      <c r="A52" s="3" t="s">
        <v>61</v>
      </c>
      <c r="B52" s="4" t="s">
        <v>60</v>
      </c>
      <c r="C52" s="93">
        <v>425709.64800000004</v>
      </c>
      <c r="D52" s="93">
        <v>3575961.0432</v>
      </c>
      <c r="E52" s="20">
        <v>242572.0</v>
      </c>
      <c r="F52" s="20">
        <v>363856.0</v>
      </c>
      <c r="G52" s="180" t="s">
        <v>292</v>
      </c>
      <c r="H52" s="180" t="s">
        <v>292</v>
      </c>
      <c r="I52" s="43">
        <f t="shared" si="1"/>
        <v>4608098.6912</v>
      </c>
    </row>
    <row r="53" spans="8:8">
      <c r="A53" s="3" t="s">
        <v>62</v>
      </c>
      <c r="B53" s="4" t="s">
        <v>60</v>
      </c>
      <c r="C53" s="93">
        <v>0.01</v>
      </c>
      <c r="D53" s="93">
        <v>2043406.3104</v>
      </c>
      <c r="E53" s="20">
        <v>242572.0</v>
      </c>
      <c r="F53" s="20">
        <v>363856.0</v>
      </c>
      <c r="G53" s="180" t="s">
        <v>292</v>
      </c>
      <c r="H53" s="180" t="s">
        <v>292</v>
      </c>
      <c r="I53" s="43">
        <f t="shared" si="1"/>
        <v>2649834.3204</v>
      </c>
    </row>
    <row r="54" spans="8:8">
      <c r="A54" s="3" t="s">
        <v>63</v>
      </c>
      <c r="B54" s="4" t="s">
        <v>60</v>
      </c>
      <c r="C54" s="93">
        <v>0.01</v>
      </c>
      <c r="D54" s="93">
        <v>2043406.3104</v>
      </c>
      <c r="E54" s="20">
        <v>242572.0</v>
      </c>
      <c r="F54" s="20">
        <v>363856.0</v>
      </c>
      <c r="G54" s="180" t="s">
        <v>292</v>
      </c>
      <c r="H54" s="180" t="s">
        <v>292</v>
      </c>
      <c r="I54" s="43">
        <f t="shared" si="1"/>
        <v>2649834.3204</v>
      </c>
    </row>
    <row r="55" spans="8:8">
      <c r="A55" s="3" t="s">
        <v>64</v>
      </c>
      <c r="B55" s="4" t="s">
        <v>65</v>
      </c>
      <c r="C55" s="93">
        <v>0.01</v>
      </c>
      <c r="D55" s="93">
        <v>1504174.0895999998</v>
      </c>
      <c r="E55" s="20">
        <v>242572.0</v>
      </c>
      <c r="F55" s="20">
        <v>363856.0</v>
      </c>
      <c r="G55" s="313">
        <v>950000.0</v>
      </c>
      <c r="H55" s="180" t="s">
        <v>292</v>
      </c>
      <c r="I55" s="43">
        <f t="shared" si="2" ref="I55:I60">SUM(C55:H55)</f>
        <v>3060602.0996</v>
      </c>
    </row>
    <row r="56" spans="8:8">
      <c r="A56" s="3" t="s">
        <v>66</v>
      </c>
      <c r="B56" s="4" t="s">
        <v>65</v>
      </c>
      <c r="C56" s="93">
        <v>0.01</v>
      </c>
      <c r="D56" s="93">
        <v>1600668.27648</v>
      </c>
      <c r="E56" s="20">
        <v>242572.0</v>
      </c>
      <c r="F56" s="20">
        <v>363856.0</v>
      </c>
      <c r="G56" s="313">
        <v>950000.0</v>
      </c>
      <c r="H56" s="180" t="s">
        <v>292</v>
      </c>
      <c r="I56" s="43">
        <f t="shared" si="2"/>
        <v>3157096.2864800002</v>
      </c>
    </row>
    <row r="57" spans="8:8">
      <c r="A57" s="3" t="s">
        <v>67</v>
      </c>
      <c r="B57" s="4" t="s">
        <v>65</v>
      </c>
      <c r="C57" s="93">
        <v>0.01</v>
      </c>
      <c r="D57" s="93">
        <v>1504174.0895999998</v>
      </c>
      <c r="E57" s="20">
        <v>242572.0</v>
      </c>
      <c r="F57" s="20">
        <v>363856.0</v>
      </c>
      <c r="G57" s="313">
        <v>950000.0</v>
      </c>
      <c r="H57" s="180" t="s">
        <v>292</v>
      </c>
      <c r="I57" s="43">
        <f t="shared" si="2"/>
        <v>3060602.0996</v>
      </c>
    </row>
    <row r="58" spans="8:8">
      <c r="A58" s="3" t="s">
        <v>68</v>
      </c>
      <c r="B58" s="4" t="s">
        <v>65</v>
      </c>
      <c r="C58" s="93">
        <v>0.01</v>
      </c>
      <c r="D58" s="93">
        <v>1600668.27648</v>
      </c>
      <c r="E58" s="20">
        <v>242572.0</v>
      </c>
      <c r="F58" s="20">
        <v>363856.0</v>
      </c>
      <c r="G58" s="313">
        <v>950000.0</v>
      </c>
      <c r="H58" s="180" t="s">
        <v>292</v>
      </c>
      <c r="I58" s="43">
        <f t="shared" si="2"/>
        <v>3157096.2864800002</v>
      </c>
    </row>
    <row r="59" spans="8:8">
      <c r="A59" s="3" t="s">
        <v>69</v>
      </c>
      <c r="B59" s="4" t="s">
        <v>65</v>
      </c>
      <c r="C59" s="93">
        <v>0.01</v>
      </c>
      <c r="D59" s="93">
        <v>1952588.2521600001</v>
      </c>
      <c r="E59" s="20">
        <v>242572.0</v>
      </c>
      <c r="F59" s="20">
        <v>363856.0</v>
      </c>
      <c r="G59" s="313">
        <v>950000.0</v>
      </c>
      <c r="H59" s="180" t="s">
        <v>292</v>
      </c>
      <c r="I59" s="43">
        <f t="shared" si="2"/>
        <v>3509016.2621600004</v>
      </c>
    </row>
    <row r="60" spans="8:8">
      <c r="A60" s="3" t="s">
        <v>70</v>
      </c>
      <c r="B60" s="4" t="s">
        <v>65</v>
      </c>
      <c r="C60" s="93">
        <v>0.01</v>
      </c>
      <c r="D60" s="93">
        <v>1504174.0895999998</v>
      </c>
      <c r="E60" s="20">
        <v>242572.0</v>
      </c>
      <c r="F60" s="20">
        <v>363856.0</v>
      </c>
      <c r="G60" s="313">
        <v>950000.0</v>
      </c>
      <c r="H60" s="180" t="s">
        <v>292</v>
      </c>
      <c r="I60" s="43">
        <f t="shared" si="2"/>
        <v>3060602.0996</v>
      </c>
    </row>
    <row r="61" spans="8:8">
      <c r="A61" s="15" t="s">
        <v>71</v>
      </c>
      <c r="B61" s="16" t="s">
        <v>65</v>
      </c>
      <c r="C61" s="93">
        <v>0.01</v>
      </c>
      <c r="D61" s="93">
        <v>1600668.27648</v>
      </c>
      <c r="E61" s="20">
        <v>242572.0</v>
      </c>
      <c r="F61" s="20">
        <v>363856.0</v>
      </c>
      <c r="G61" s="313">
        <v>950000.0</v>
      </c>
      <c r="H61" s="180" t="s">
        <v>292</v>
      </c>
      <c r="I61" s="43">
        <f t="shared" si="3" ref="I61:I73">SUM(C61:G61)</f>
        <v>3157096.2864800002</v>
      </c>
    </row>
    <row r="62" spans="8:8">
      <c r="A62" s="15" t="s">
        <v>72</v>
      </c>
      <c r="B62" s="16" t="s">
        <v>65</v>
      </c>
      <c r="C62" s="93">
        <v>0.01</v>
      </c>
      <c r="D62" s="93">
        <v>1770952.1356800003</v>
      </c>
      <c r="E62" s="20">
        <v>242572.0</v>
      </c>
      <c r="F62" s="20">
        <v>363856.0</v>
      </c>
      <c r="G62" s="313">
        <v>950000.0</v>
      </c>
      <c r="H62" s="180" t="s">
        <v>292</v>
      </c>
      <c r="I62" s="43">
        <f t="shared" si="3"/>
        <v>3327380.14568</v>
      </c>
    </row>
    <row r="63" spans="8:8">
      <c r="A63" s="3" t="s">
        <v>73</v>
      </c>
      <c r="B63" s="4" t="s">
        <v>65</v>
      </c>
      <c r="C63" s="93">
        <v>0.01</v>
      </c>
      <c r="D63" s="93">
        <v>1504174.0895999998</v>
      </c>
      <c r="E63" s="20">
        <v>242572.0</v>
      </c>
      <c r="F63" s="20">
        <v>363856.0</v>
      </c>
      <c r="G63" s="313">
        <v>950000.0</v>
      </c>
      <c r="H63" s="180" t="s">
        <v>292</v>
      </c>
      <c r="I63" s="43">
        <f t="shared" si="3"/>
        <v>3060602.0996</v>
      </c>
    </row>
    <row r="64" spans="8:8">
      <c r="A64" s="3" t="s">
        <v>74</v>
      </c>
      <c r="B64" s="4" t="s">
        <v>65</v>
      </c>
      <c r="C64" s="93">
        <v>0.01</v>
      </c>
      <c r="D64" s="93">
        <v>1600668.27648</v>
      </c>
      <c r="E64" s="20">
        <v>242572.0</v>
      </c>
      <c r="F64" s="20">
        <v>363856.0</v>
      </c>
      <c r="G64" s="313">
        <v>950000.0</v>
      </c>
      <c r="H64" s="180" t="s">
        <v>292</v>
      </c>
      <c r="I64" s="43">
        <f t="shared" si="3"/>
        <v>3157096.2864800002</v>
      </c>
    </row>
    <row r="65" spans="8:8">
      <c r="A65" s="3" t="s">
        <v>75</v>
      </c>
      <c r="B65" s="4" t="s">
        <v>65</v>
      </c>
      <c r="C65" s="93">
        <v>0.01</v>
      </c>
      <c r="D65" s="93">
        <v>2469115.9584</v>
      </c>
      <c r="E65" s="20">
        <v>242572.0</v>
      </c>
      <c r="F65" s="20">
        <v>363856.0</v>
      </c>
      <c r="G65" s="313">
        <v>950000.0</v>
      </c>
      <c r="H65" s="180" t="s">
        <v>292</v>
      </c>
      <c r="I65" s="43">
        <f t="shared" si="3"/>
        <v>4025543.9683999997</v>
      </c>
    </row>
    <row r="66" spans="8:8">
      <c r="A66" s="3" t="s">
        <v>76</v>
      </c>
      <c r="B66" s="4" t="s">
        <v>65</v>
      </c>
      <c r="C66" s="93">
        <v>0.01</v>
      </c>
      <c r="D66" s="93">
        <v>1504174.0895999998</v>
      </c>
      <c r="E66" s="20">
        <v>242572.0</v>
      </c>
      <c r="F66" s="20">
        <v>363856.0</v>
      </c>
      <c r="G66" s="313">
        <v>950000.0</v>
      </c>
      <c r="H66" s="180" t="s">
        <v>292</v>
      </c>
      <c r="I66" s="43">
        <f t="shared" si="3"/>
        <v>3060602.0996</v>
      </c>
    </row>
    <row r="67" spans="8:8">
      <c r="A67" s="3" t="s">
        <v>77</v>
      </c>
      <c r="B67" s="4" t="s">
        <v>65</v>
      </c>
      <c r="C67" s="93">
        <v>0.01</v>
      </c>
      <c r="D67" s="93">
        <v>1600668.27648</v>
      </c>
      <c r="E67" s="20">
        <v>242572.0</v>
      </c>
      <c r="F67" s="20">
        <v>363856.0</v>
      </c>
      <c r="G67" s="313">
        <v>950000.0</v>
      </c>
      <c r="H67" s="180" t="s">
        <v>292</v>
      </c>
      <c r="I67" s="43">
        <f t="shared" si="3"/>
        <v>3157096.2864800002</v>
      </c>
    </row>
    <row r="68" spans="8:8">
      <c r="A68" s="3" t="s">
        <v>78</v>
      </c>
      <c r="B68" s="4" t="s">
        <v>65</v>
      </c>
      <c r="C68" s="93">
        <v>0.01</v>
      </c>
      <c r="D68" s="93">
        <v>1770952.1356800003</v>
      </c>
      <c r="E68" s="20">
        <v>242572.0</v>
      </c>
      <c r="F68" s="20">
        <v>363856.0</v>
      </c>
      <c r="G68" s="313">
        <v>950000.0</v>
      </c>
      <c r="H68" s="180" t="s">
        <v>292</v>
      </c>
      <c r="I68" s="43">
        <f t="shared" si="3"/>
        <v>3327380.14568</v>
      </c>
    </row>
    <row r="69" spans="8:8">
      <c r="A69" s="3" t="s">
        <v>79</v>
      </c>
      <c r="B69" s="4" t="s">
        <v>65</v>
      </c>
      <c r="C69" s="93">
        <v>0.01</v>
      </c>
      <c r="D69" s="93">
        <v>1952588.2521600001</v>
      </c>
      <c r="E69" s="20">
        <v>242572.0</v>
      </c>
      <c r="F69" s="20">
        <v>363856.0</v>
      </c>
      <c r="G69" s="313">
        <v>950000.0</v>
      </c>
      <c r="H69" s="180" t="s">
        <v>292</v>
      </c>
      <c r="I69" s="43">
        <f t="shared" si="3"/>
        <v>3509016.2621600004</v>
      </c>
    </row>
    <row r="70" spans="8:8">
      <c r="A70" s="3" t="s">
        <v>80</v>
      </c>
      <c r="B70" s="4" t="s">
        <v>65</v>
      </c>
      <c r="C70" s="93">
        <v>0.01</v>
      </c>
      <c r="D70" s="93">
        <v>1504174.0895999998</v>
      </c>
      <c r="E70" s="20">
        <v>242572.0</v>
      </c>
      <c r="F70" s="20">
        <v>363856.0</v>
      </c>
      <c r="G70" s="313">
        <v>950000.0</v>
      </c>
      <c r="H70" s="180" t="s">
        <v>292</v>
      </c>
      <c r="I70" s="43">
        <f t="shared" si="3"/>
        <v>3060602.0996</v>
      </c>
    </row>
    <row r="71" spans="8:8">
      <c r="A71" s="3" t="s">
        <v>81</v>
      </c>
      <c r="B71" s="4" t="s">
        <v>65</v>
      </c>
      <c r="C71" s="93">
        <v>0.01</v>
      </c>
      <c r="D71" s="93">
        <v>1600668.27648</v>
      </c>
      <c r="E71" s="20">
        <v>242572.0</v>
      </c>
      <c r="F71" s="20">
        <v>363856.0</v>
      </c>
      <c r="G71" s="313">
        <v>950000.0</v>
      </c>
      <c r="H71" s="180" t="s">
        <v>292</v>
      </c>
      <c r="I71" s="43">
        <f t="shared" si="3"/>
        <v>3157096.2864800002</v>
      </c>
    </row>
    <row r="72" spans="8:8">
      <c r="A72" s="3" t="s">
        <v>82</v>
      </c>
      <c r="B72" s="4" t="s">
        <v>65</v>
      </c>
      <c r="C72" s="93">
        <v>0.01</v>
      </c>
      <c r="D72" s="93">
        <v>3008348.1791999997</v>
      </c>
      <c r="E72" s="20">
        <v>242572.0</v>
      </c>
      <c r="F72" s="20">
        <v>363856.0</v>
      </c>
      <c r="G72" s="313">
        <v>950000.0</v>
      </c>
      <c r="H72" s="180" t="s">
        <v>292</v>
      </c>
      <c r="I72" s="43">
        <f t="shared" si="3"/>
        <v>4564776.189199999</v>
      </c>
    </row>
    <row r="73" spans="8:8">
      <c r="A73" s="3" t="s">
        <v>83</v>
      </c>
      <c r="B73" s="4" t="s">
        <v>65</v>
      </c>
      <c r="C73" s="93">
        <v>0.01</v>
      </c>
      <c r="D73" s="93">
        <v>3201336.55296</v>
      </c>
      <c r="E73" s="20">
        <v>242572.0</v>
      </c>
      <c r="F73" s="20">
        <v>363856.0</v>
      </c>
      <c r="G73" s="313">
        <v>950000.0</v>
      </c>
      <c r="H73" s="180" t="s">
        <v>292</v>
      </c>
      <c r="I73" s="43">
        <f t="shared" si="3"/>
        <v>4757764.56296</v>
      </c>
    </row>
    <row r="74" spans="8:8">
      <c r="A74" s="3" t="s">
        <v>84</v>
      </c>
      <c r="B74" s="4" t="s">
        <v>65</v>
      </c>
      <c r="C74" s="93">
        <v>0.01</v>
      </c>
      <c r="D74" s="93">
        <v>1600668.27648</v>
      </c>
      <c r="E74" s="20">
        <v>242572.0</v>
      </c>
      <c r="F74" s="20">
        <v>363856.0</v>
      </c>
      <c r="G74" s="313">
        <v>950000.0</v>
      </c>
      <c r="H74" s="180" t="s">
        <v>292</v>
      </c>
      <c r="I74" s="43">
        <f>SUM(C74:H74)</f>
        <v>3157096.2864800002</v>
      </c>
    </row>
    <row r="75" spans="8:8">
      <c r="A75" s="3" t="s">
        <v>85</v>
      </c>
      <c r="B75" s="4" t="s">
        <v>65</v>
      </c>
      <c r="C75" s="93">
        <v>0.01</v>
      </c>
      <c r="D75" s="93">
        <v>3201336.55296</v>
      </c>
      <c r="E75" s="20">
        <v>242572.0</v>
      </c>
      <c r="F75" s="20">
        <v>363856.0</v>
      </c>
      <c r="G75" s="313">
        <v>950000.0</v>
      </c>
      <c r="H75" s="180" t="s">
        <v>292</v>
      </c>
      <c r="I75" s="43">
        <f>SUM(C75:H75)</f>
        <v>4757764.56296</v>
      </c>
    </row>
    <row r="76" spans="8:8">
      <c r="A76" s="15" t="s">
        <v>86</v>
      </c>
      <c r="B76" s="16" t="s">
        <v>65</v>
      </c>
      <c r="C76" s="93">
        <v>0.01</v>
      </c>
      <c r="D76" s="93">
        <v>1600668.27648</v>
      </c>
      <c r="E76" s="20">
        <v>242572.0</v>
      </c>
      <c r="F76" s="20">
        <v>363856.0</v>
      </c>
      <c r="G76" s="313">
        <v>950000.0</v>
      </c>
      <c r="H76" s="180" t="s">
        <v>292</v>
      </c>
      <c r="I76" s="43">
        <f t="shared" si="4" ref="I76:I113">SUM(C76:G76)</f>
        <v>3157096.2864800002</v>
      </c>
    </row>
    <row r="77" spans="8:8" s="49" ht="15.0" customFormat="1">
      <c r="A77" s="15" t="s">
        <v>87</v>
      </c>
      <c r="B77" s="16" t="s">
        <v>65</v>
      </c>
      <c r="C77" s="93">
        <v>0.01</v>
      </c>
      <c r="D77" s="93">
        <v>1770952.1356800003</v>
      </c>
      <c r="E77" s="20">
        <v>242572.0</v>
      </c>
      <c r="F77" s="20">
        <v>363856.0</v>
      </c>
      <c r="G77" s="313">
        <v>950000.0</v>
      </c>
      <c r="H77" s="180" t="s">
        <v>292</v>
      </c>
      <c r="I77" s="241">
        <f t="shared" si="4"/>
        <v>3327380.14568</v>
      </c>
    </row>
    <row r="78" spans="8:8">
      <c r="A78" s="15" t="s">
        <v>88</v>
      </c>
      <c r="B78" s="16" t="s">
        <v>65</v>
      </c>
      <c r="C78" s="93">
        <v>0.01</v>
      </c>
      <c r="D78" s="93">
        <v>1952588.2521600001</v>
      </c>
      <c r="E78" s="20">
        <v>242572.0</v>
      </c>
      <c r="F78" s="20">
        <v>363856.0</v>
      </c>
      <c r="G78" s="313">
        <v>950000.0</v>
      </c>
      <c r="H78" s="180" t="s">
        <v>292</v>
      </c>
      <c r="I78" s="43">
        <f t="shared" si="4"/>
        <v>3509016.2621600004</v>
      </c>
    </row>
    <row r="79" spans="8:8">
      <c r="A79" s="15" t="s">
        <v>89</v>
      </c>
      <c r="B79" s="16" t="s">
        <v>65</v>
      </c>
      <c r="C79" s="93">
        <v>0.01</v>
      </c>
      <c r="D79" s="93">
        <v>2213690.1695999997</v>
      </c>
      <c r="E79" s="20">
        <v>242572.0</v>
      </c>
      <c r="F79" s="20">
        <v>363856.0</v>
      </c>
      <c r="G79" s="313">
        <v>950000.0</v>
      </c>
      <c r="H79" s="180" t="s">
        <v>292</v>
      </c>
      <c r="I79" s="43">
        <f t="shared" si="4"/>
        <v>3770118.1795999995</v>
      </c>
    </row>
    <row r="80" spans="8:8">
      <c r="A80" s="15" t="s">
        <v>90</v>
      </c>
      <c r="B80" s="16" t="s">
        <v>65</v>
      </c>
      <c r="C80" s="93">
        <v>0.01</v>
      </c>
      <c r="D80" s="93">
        <v>2378297.9001599997</v>
      </c>
      <c r="E80" s="20">
        <v>242572.0</v>
      </c>
      <c r="F80" s="20">
        <v>363856.0</v>
      </c>
      <c r="G80" s="313">
        <v>950000.0</v>
      </c>
      <c r="H80" s="180" t="s">
        <v>292</v>
      </c>
      <c r="I80" s="43">
        <f t="shared" si="4"/>
        <v>3934725.9101599995</v>
      </c>
    </row>
    <row r="81" spans="8:8">
      <c r="A81" s="15" t="s">
        <v>91</v>
      </c>
      <c r="B81" s="16" t="s">
        <v>65</v>
      </c>
      <c r="C81" s="93">
        <v>0.01</v>
      </c>
      <c r="D81" s="93">
        <v>2520201.1161599997</v>
      </c>
      <c r="E81" s="20">
        <v>242572.0</v>
      </c>
      <c r="F81" s="20">
        <v>363856.0</v>
      </c>
      <c r="G81" s="313">
        <v>950000.0</v>
      </c>
      <c r="H81" s="180" t="s">
        <v>292</v>
      </c>
      <c r="I81" s="43">
        <f t="shared" si="4"/>
        <v>4076629.1261599995</v>
      </c>
    </row>
    <row r="82" spans="8:8">
      <c r="A82" s="15" t="s">
        <v>92</v>
      </c>
      <c r="B82" s="16" t="s">
        <v>65</v>
      </c>
      <c r="C82" s="93">
        <v>0.01</v>
      </c>
      <c r="D82" s="93">
        <v>1504174.0895999998</v>
      </c>
      <c r="E82" s="20">
        <v>242572.0</v>
      </c>
      <c r="F82" s="20">
        <v>363856.0</v>
      </c>
      <c r="G82" s="313">
        <v>950000.0</v>
      </c>
      <c r="H82" s="180" t="s">
        <v>292</v>
      </c>
      <c r="I82" s="43">
        <f t="shared" si="4"/>
        <v>3060602.0996</v>
      </c>
    </row>
    <row r="83" spans="8:8">
      <c r="A83" s="15" t="s">
        <v>93</v>
      </c>
      <c r="B83" s="16" t="s">
        <v>65</v>
      </c>
      <c r="C83" s="93">
        <v>0.01</v>
      </c>
      <c r="D83" s="93">
        <v>1600668.27648</v>
      </c>
      <c r="E83" s="20">
        <v>242572.0</v>
      </c>
      <c r="F83" s="20">
        <v>363856.0</v>
      </c>
      <c r="G83" s="313">
        <v>950000.0</v>
      </c>
      <c r="H83" s="180" t="s">
        <v>292</v>
      </c>
      <c r="I83" s="43">
        <f t="shared" si="4"/>
        <v>3157096.2864800002</v>
      </c>
    </row>
    <row r="84" spans="8:8">
      <c r="A84" s="15" t="s">
        <v>94</v>
      </c>
      <c r="B84" s="16" t="s">
        <v>65</v>
      </c>
      <c r="C84" s="93">
        <v>0.01</v>
      </c>
      <c r="D84" s="93">
        <v>1952588.2521600001</v>
      </c>
      <c r="E84" s="20">
        <v>242572.0</v>
      </c>
      <c r="F84" s="20">
        <v>363856.0</v>
      </c>
      <c r="G84" s="313">
        <v>950000.0</v>
      </c>
      <c r="H84" s="180" t="s">
        <v>292</v>
      </c>
      <c r="I84" s="43">
        <f t="shared" si="4"/>
        <v>3509016.2621600004</v>
      </c>
    </row>
    <row r="85" spans="8:8">
      <c r="A85" s="15" t="s">
        <v>95</v>
      </c>
      <c r="B85" s="16" t="s">
        <v>65</v>
      </c>
      <c r="C85" s="93">
        <v>0.01</v>
      </c>
      <c r="D85" s="93">
        <v>1600668.27648</v>
      </c>
      <c r="E85" s="20">
        <v>242572.0</v>
      </c>
      <c r="F85" s="20">
        <v>363856.0</v>
      </c>
      <c r="G85" s="313">
        <v>950000.0</v>
      </c>
      <c r="H85" s="180" t="s">
        <v>292</v>
      </c>
      <c r="I85" s="43">
        <f t="shared" si="4"/>
        <v>3157096.2864800002</v>
      </c>
    </row>
    <row r="86" spans="8:8">
      <c r="A86" s="15" t="s">
        <v>96</v>
      </c>
      <c r="B86" s="16" t="s">
        <v>65</v>
      </c>
      <c r="C86" s="93">
        <v>0.01</v>
      </c>
      <c r="D86" s="93">
        <v>1952588.2521600001</v>
      </c>
      <c r="E86" s="20">
        <v>242572.0</v>
      </c>
      <c r="F86" s="20">
        <v>363856.0</v>
      </c>
      <c r="G86" s="313">
        <v>950000.0</v>
      </c>
      <c r="H86" s="180" t="s">
        <v>292</v>
      </c>
      <c r="I86" s="43">
        <f t="shared" si="4"/>
        <v>3509016.2621600004</v>
      </c>
    </row>
    <row r="87" spans="8:8">
      <c r="A87" s="15" t="s">
        <v>97</v>
      </c>
      <c r="B87" s="16" t="s">
        <v>65</v>
      </c>
      <c r="C87" s="93">
        <v>0.01</v>
      </c>
      <c r="D87" s="93">
        <v>1504174.0895999998</v>
      </c>
      <c r="E87" s="20">
        <v>242572.0</v>
      </c>
      <c r="F87" s="20">
        <v>363856.0</v>
      </c>
      <c r="G87" s="313">
        <v>950000.0</v>
      </c>
      <c r="H87" s="180" t="s">
        <v>292</v>
      </c>
      <c r="I87" s="43">
        <f t="shared" si="4"/>
        <v>3060602.0996</v>
      </c>
    </row>
    <row r="88" spans="8:8">
      <c r="A88" s="15" t="s">
        <v>98</v>
      </c>
      <c r="B88" s="16" t="s">
        <v>65</v>
      </c>
      <c r="C88" s="93">
        <v>0.01</v>
      </c>
      <c r="D88" s="93">
        <v>1600668.27648</v>
      </c>
      <c r="E88" s="20">
        <v>242572.0</v>
      </c>
      <c r="F88" s="20">
        <v>363856.0</v>
      </c>
      <c r="G88" s="313">
        <v>950000.0</v>
      </c>
      <c r="H88" s="180" t="s">
        <v>292</v>
      </c>
      <c r="I88" s="43">
        <f t="shared" si="4"/>
        <v>3157096.2864800002</v>
      </c>
    </row>
    <row r="89" spans="8:8" s="49" ht="15.0" customFormat="1">
      <c r="A89" s="15" t="s">
        <v>99</v>
      </c>
      <c r="B89" s="16" t="s">
        <v>65</v>
      </c>
      <c r="C89" s="93">
        <v>0.01</v>
      </c>
      <c r="D89" s="93">
        <v>1952588.2521600001</v>
      </c>
      <c r="E89" s="20">
        <v>242572.0</v>
      </c>
      <c r="F89" s="20">
        <v>363856.0</v>
      </c>
      <c r="G89" s="313">
        <v>950000.0</v>
      </c>
      <c r="H89" s="180" t="s">
        <v>292</v>
      </c>
      <c r="I89" s="43">
        <f t="shared" si="4"/>
        <v>3509016.2621600004</v>
      </c>
    </row>
    <row r="90" spans="8:8">
      <c r="A90" s="15" t="s">
        <v>100</v>
      </c>
      <c r="B90" s="16" t="s">
        <v>65</v>
      </c>
      <c r="C90" s="93">
        <v>0.01</v>
      </c>
      <c r="D90" s="93">
        <v>2378297.9001599997</v>
      </c>
      <c r="E90" s="20">
        <v>242572.0</v>
      </c>
      <c r="F90" s="20">
        <v>363856.0</v>
      </c>
      <c r="G90" s="313">
        <v>950000.0</v>
      </c>
      <c r="H90" s="180" t="s">
        <v>292</v>
      </c>
      <c r="I90" s="43">
        <f t="shared" si="4"/>
        <v>3934725.9101599995</v>
      </c>
    </row>
    <row r="91" spans="8:8">
      <c r="A91" s="15" t="s">
        <v>101</v>
      </c>
      <c r="B91" s="16" t="s">
        <v>65</v>
      </c>
      <c r="C91" s="93">
        <v>0.01</v>
      </c>
      <c r="D91" s="93">
        <v>2520201.1161599997</v>
      </c>
      <c r="E91" s="20">
        <v>242572.0</v>
      </c>
      <c r="F91" s="20">
        <v>363856.0</v>
      </c>
      <c r="G91" s="313">
        <v>950000.0</v>
      </c>
      <c r="H91" s="180" t="s">
        <v>292</v>
      </c>
      <c r="I91" s="43">
        <f t="shared" si="4"/>
        <v>4076629.1261599995</v>
      </c>
    </row>
    <row r="92" spans="8:8">
      <c r="A92" s="15" t="s">
        <v>102</v>
      </c>
      <c r="B92" s="16" t="s">
        <v>65</v>
      </c>
      <c r="C92" s="93">
        <v>0.01</v>
      </c>
      <c r="D92" s="93">
        <v>1583639.89056</v>
      </c>
      <c r="E92" s="20">
        <v>242572.0</v>
      </c>
      <c r="F92" s="20">
        <v>363856.0</v>
      </c>
      <c r="G92" s="313">
        <v>950000.0</v>
      </c>
      <c r="H92" s="180" t="s">
        <v>292</v>
      </c>
      <c r="I92" s="43">
        <f t="shared" si="4"/>
        <v>3140067.90056</v>
      </c>
    </row>
    <row r="93" spans="8:8">
      <c r="A93" s="15" t="s">
        <v>103</v>
      </c>
      <c r="B93" s="16" t="s">
        <v>65</v>
      </c>
      <c r="C93" s="93">
        <v>0.01</v>
      </c>
      <c r="D93" s="93">
        <v>1504174.0895999998</v>
      </c>
      <c r="E93" s="20">
        <v>242572.0</v>
      </c>
      <c r="F93" s="20">
        <v>363856.0</v>
      </c>
      <c r="G93" s="313">
        <v>950000.0</v>
      </c>
      <c r="H93" s="180" t="s">
        <v>292</v>
      </c>
      <c r="I93" s="43">
        <f t="shared" si="4"/>
        <v>3060602.0996</v>
      </c>
    </row>
    <row r="94" spans="8:8">
      <c r="A94" s="15" t="s">
        <v>104</v>
      </c>
      <c r="B94" s="16" t="s">
        <v>65</v>
      </c>
      <c r="C94" s="93">
        <v>0.01</v>
      </c>
      <c r="D94" s="93">
        <v>1600668.27648</v>
      </c>
      <c r="E94" s="20">
        <v>242572.0</v>
      </c>
      <c r="F94" s="20">
        <v>363856.0</v>
      </c>
      <c r="G94" s="313">
        <v>950000.0</v>
      </c>
      <c r="H94" s="180" t="s">
        <v>292</v>
      </c>
      <c r="I94" s="43">
        <f t="shared" si="4"/>
        <v>3157096.2864800002</v>
      </c>
    </row>
    <row r="95" spans="8:8" s="49" ht="15.0" customFormat="1">
      <c r="A95" s="3" t="s">
        <v>105</v>
      </c>
      <c r="B95" s="4" t="s">
        <v>65</v>
      </c>
      <c r="C95" s="93">
        <v>0.01</v>
      </c>
      <c r="D95" s="93">
        <v>1770952.1356800003</v>
      </c>
      <c r="E95" s="20">
        <v>242572.0</v>
      </c>
      <c r="F95" s="20">
        <v>363856.0</v>
      </c>
      <c r="G95" s="313">
        <v>950000.0</v>
      </c>
      <c r="H95" s="180" t="s">
        <v>292</v>
      </c>
      <c r="I95" s="241">
        <f t="shared" si="4"/>
        <v>3327380.14568</v>
      </c>
    </row>
    <row r="96" spans="8:8">
      <c r="A96" s="3" t="s">
        <v>108</v>
      </c>
      <c r="B96" s="4" t="s">
        <v>65</v>
      </c>
      <c r="C96" s="93">
        <v>0.01</v>
      </c>
      <c r="D96" s="93">
        <v>1600668.27648</v>
      </c>
      <c r="E96" s="20">
        <v>242572.0</v>
      </c>
      <c r="F96" s="20">
        <v>363856.0</v>
      </c>
      <c r="G96" s="313">
        <v>950000.0</v>
      </c>
      <c r="H96" s="180" t="s">
        <v>292</v>
      </c>
      <c r="I96" s="43">
        <f t="shared" si="4"/>
        <v>3157096.2864800002</v>
      </c>
    </row>
    <row r="97" spans="8:8">
      <c r="A97" s="3" t="s">
        <v>109</v>
      </c>
      <c r="B97" s="4" t="s">
        <v>65</v>
      </c>
      <c r="C97" s="93">
        <v>0.01</v>
      </c>
      <c r="D97" s="93">
        <v>1770952.1356800003</v>
      </c>
      <c r="E97" s="20">
        <v>242572.0</v>
      </c>
      <c r="F97" s="20">
        <v>363856.0</v>
      </c>
      <c r="G97" s="313">
        <v>950000.0</v>
      </c>
      <c r="H97" s="180" t="s">
        <v>292</v>
      </c>
      <c r="I97" s="43">
        <f t="shared" si="4"/>
        <v>3327380.14568</v>
      </c>
    </row>
    <row r="98" spans="8:8">
      <c r="A98" s="3" t="s">
        <v>110</v>
      </c>
      <c r="B98" s="4" t="s">
        <v>65</v>
      </c>
      <c r="C98" s="93">
        <v>8580000.0</v>
      </c>
      <c r="D98" s="93">
        <v>1470117.3177599998</v>
      </c>
      <c r="E98" s="20">
        <v>242572.0</v>
      </c>
      <c r="F98" s="20">
        <v>363856.0</v>
      </c>
      <c r="G98" s="313">
        <v>950000.0</v>
      </c>
      <c r="H98" s="180" t="s">
        <v>292</v>
      </c>
      <c r="I98" s="43">
        <f t="shared" si="4"/>
        <v>1.160654531776E7</v>
      </c>
    </row>
    <row r="99" spans="8:8">
      <c r="A99" s="3" t="s">
        <v>111</v>
      </c>
      <c r="B99" s="4" t="s">
        <v>65</v>
      </c>
      <c r="C99" s="93">
        <v>0.01</v>
      </c>
      <c r="D99" s="93">
        <v>1504174.0895999998</v>
      </c>
      <c r="E99" s="20">
        <v>242572.0</v>
      </c>
      <c r="F99" s="20">
        <v>363856.0</v>
      </c>
      <c r="G99" s="313">
        <v>950000.0</v>
      </c>
      <c r="H99" s="180" t="s">
        <v>292</v>
      </c>
      <c r="I99" s="43">
        <f t="shared" si="4"/>
        <v>3060602.0996</v>
      </c>
    </row>
    <row r="100" spans="8:8">
      <c r="A100" s="3" t="s">
        <v>112</v>
      </c>
      <c r="B100" s="4" t="s">
        <v>65</v>
      </c>
      <c r="C100" s="93">
        <v>0.01</v>
      </c>
      <c r="D100" s="93">
        <v>1600668.27648</v>
      </c>
      <c r="E100" s="20">
        <v>242572.0</v>
      </c>
      <c r="F100" s="20">
        <v>363856.0</v>
      </c>
      <c r="G100" s="313">
        <v>950000.0</v>
      </c>
      <c r="H100" s="180" t="s">
        <v>292</v>
      </c>
      <c r="I100" s="43">
        <f t="shared" si="4"/>
        <v>3157096.2864800002</v>
      </c>
    </row>
    <row r="101" spans="8:8">
      <c r="A101" s="3" t="s">
        <v>113</v>
      </c>
      <c r="B101" s="4" t="s">
        <v>65</v>
      </c>
      <c r="C101" s="93">
        <v>0.01</v>
      </c>
      <c r="D101" s="93">
        <v>1770952.1356800003</v>
      </c>
      <c r="E101" s="20">
        <v>242572.0</v>
      </c>
      <c r="F101" s="20">
        <v>363856.0</v>
      </c>
      <c r="G101" s="313">
        <v>950000.0</v>
      </c>
      <c r="H101" s="180" t="s">
        <v>292</v>
      </c>
      <c r="I101" s="43">
        <f t="shared" si="4"/>
        <v>3327380.14568</v>
      </c>
    </row>
    <row r="102" spans="8:8">
      <c r="A102" s="3" t="s">
        <v>114</v>
      </c>
      <c r="B102" s="4" t="s">
        <v>65</v>
      </c>
      <c r="C102" s="93">
        <v>0.01</v>
      </c>
      <c r="D102" s="93">
        <v>1504174.0895999998</v>
      </c>
      <c r="E102" s="20">
        <v>242572.0</v>
      </c>
      <c r="F102" s="20">
        <v>363856.0</v>
      </c>
      <c r="G102" s="313">
        <v>950000.0</v>
      </c>
      <c r="H102" s="180" t="s">
        <v>292</v>
      </c>
      <c r="I102" s="43">
        <f t="shared" si="4"/>
        <v>3060602.0996</v>
      </c>
    </row>
    <row r="103" spans="8:8">
      <c r="A103" s="3" t="s">
        <v>115</v>
      </c>
      <c r="B103" s="4" t="s">
        <v>65</v>
      </c>
      <c r="C103" s="93">
        <v>0.01</v>
      </c>
      <c r="D103" s="93">
        <v>1600668.27648</v>
      </c>
      <c r="E103" s="20">
        <v>242572.0</v>
      </c>
      <c r="F103" s="20">
        <v>363856.0</v>
      </c>
      <c r="G103" s="313">
        <v>950000.0</v>
      </c>
      <c r="H103" s="180" t="s">
        <v>292</v>
      </c>
      <c r="I103" s="43">
        <f t="shared" si="4"/>
        <v>3157096.2864800002</v>
      </c>
    </row>
    <row r="104" spans="8:8">
      <c r="A104" s="3" t="s">
        <v>116</v>
      </c>
      <c r="B104" s="4" t="s">
        <v>65</v>
      </c>
      <c r="C104" s="93">
        <v>0.01</v>
      </c>
      <c r="D104" s="93">
        <v>1770952.1356800003</v>
      </c>
      <c r="E104" s="20">
        <v>242572.0</v>
      </c>
      <c r="F104" s="20">
        <v>363856.0</v>
      </c>
      <c r="G104" s="313">
        <v>950000.0</v>
      </c>
      <c r="H104" s="180" t="s">
        <v>292</v>
      </c>
      <c r="I104" s="43">
        <f t="shared" si="4"/>
        <v>3327380.14568</v>
      </c>
    </row>
    <row r="105" spans="8:8">
      <c r="A105" s="3" t="s">
        <v>117</v>
      </c>
      <c r="B105" s="4" t="s">
        <v>65</v>
      </c>
      <c r="C105" s="93">
        <v>0.01</v>
      </c>
      <c r="D105" s="93">
        <v>1600668.27648</v>
      </c>
      <c r="E105" s="20">
        <v>242572.0</v>
      </c>
      <c r="F105" s="20">
        <v>363856.0</v>
      </c>
      <c r="G105" s="313">
        <v>950000.0</v>
      </c>
      <c r="H105" s="180" t="s">
        <v>292</v>
      </c>
      <c r="I105" s="43">
        <f t="shared" si="4"/>
        <v>3157096.2864800002</v>
      </c>
    </row>
    <row r="106" spans="8:8">
      <c r="A106" s="3" t="s">
        <v>118</v>
      </c>
      <c r="B106" s="4" t="s">
        <v>65</v>
      </c>
      <c r="C106" s="93">
        <v>0.01</v>
      </c>
      <c r="D106" s="93">
        <v>1504174.0895999998</v>
      </c>
      <c r="E106" s="20">
        <v>242572.0</v>
      </c>
      <c r="F106" s="20">
        <v>363856.0</v>
      </c>
      <c r="G106" s="313">
        <v>950000.0</v>
      </c>
      <c r="H106" s="180" t="s">
        <v>292</v>
      </c>
      <c r="I106" s="43">
        <f t="shared" si="4"/>
        <v>3060602.0996</v>
      </c>
    </row>
    <row r="107" spans="8:8">
      <c r="A107" s="3" t="s">
        <v>119</v>
      </c>
      <c r="B107" s="4" t="s">
        <v>65</v>
      </c>
      <c r="C107" s="93">
        <v>0.01</v>
      </c>
      <c r="D107" s="93">
        <v>1600668.27648</v>
      </c>
      <c r="E107" s="20">
        <v>242572.0</v>
      </c>
      <c r="F107" s="20">
        <v>363856.0</v>
      </c>
      <c r="G107" s="313">
        <v>950000.0</v>
      </c>
      <c r="H107" s="180" t="s">
        <v>292</v>
      </c>
      <c r="I107" s="43">
        <f t="shared" si="4"/>
        <v>3157096.2864800002</v>
      </c>
    </row>
    <row r="108" spans="8:8">
      <c r="A108" s="3" t="s">
        <v>120</v>
      </c>
      <c r="B108" s="4" t="s">
        <v>65</v>
      </c>
      <c r="C108" s="93">
        <v>0.01</v>
      </c>
      <c r="D108" s="93">
        <v>3008348.1791999997</v>
      </c>
      <c r="E108" s="20">
        <v>242572.0</v>
      </c>
      <c r="F108" s="20">
        <v>363856.0</v>
      </c>
      <c r="G108" s="313">
        <v>950000.0</v>
      </c>
      <c r="H108" s="180" t="s">
        <v>292</v>
      </c>
      <c r="I108" s="43">
        <f t="shared" si="4"/>
        <v>4564776.189199999</v>
      </c>
    </row>
    <row r="109" spans="8:8">
      <c r="A109" s="3" t="s">
        <v>121</v>
      </c>
      <c r="B109" s="4" t="s">
        <v>65</v>
      </c>
      <c r="C109" s="93">
        <v>0.01</v>
      </c>
      <c r="D109" s="93">
        <v>3201336.55296</v>
      </c>
      <c r="E109" s="20">
        <v>242572.0</v>
      </c>
      <c r="F109" s="20">
        <v>363856.0</v>
      </c>
      <c r="G109" s="313">
        <v>950000.0</v>
      </c>
      <c r="H109" s="180" t="s">
        <v>292</v>
      </c>
      <c r="I109" s="43">
        <f t="shared" si="4"/>
        <v>4757764.56296</v>
      </c>
    </row>
    <row r="110" spans="8:8">
      <c r="A110" s="3" t="s">
        <v>122</v>
      </c>
      <c r="B110" s="4" t="s">
        <v>65</v>
      </c>
      <c r="C110" s="93">
        <v>0.01</v>
      </c>
      <c r="D110" s="93">
        <v>1504174.0895999998</v>
      </c>
      <c r="E110" s="20">
        <v>242572.0</v>
      </c>
      <c r="F110" s="20">
        <v>363856.0</v>
      </c>
      <c r="G110" s="313">
        <v>950000.0</v>
      </c>
      <c r="H110" s="180" t="s">
        <v>292</v>
      </c>
      <c r="I110" s="43">
        <f t="shared" si="4"/>
        <v>3060602.0996</v>
      </c>
    </row>
    <row r="111" spans="8:8">
      <c r="A111" s="3" t="s">
        <v>123</v>
      </c>
      <c r="B111" s="4" t="s">
        <v>65</v>
      </c>
      <c r="C111" s="93">
        <v>0.01</v>
      </c>
      <c r="D111" s="93">
        <v>1600668.27648</v>
      </c>
      <c r="E111" s="20">
        <v>242572.0</v>
      </c>
      <c r="F111" s="20">
        <v>363856.0</v>
      </c>
      <c r="G111" s="313">
        <v>950000.0</v>
      </c>
      <c r="H111" s="180" t="s">
        <v>292</v>
      </c>
      <c r="I111" s="43">
        <f t="shared" si="4"/>
        <v>3157096.2864800002</v>
      </c>
    </row>
    <row r="112" spans="8:8">
      <c r="A112" s="3" t="s">
        <v>124</v>
      </c>
      <c r="B112" s="4" t="s">
        <v>65</v>
      </c>
      <c r="C112" s="93">
        <v>0.01</v>
      </c>
      <c r="D112" s="93">
        <v>1770952.1356800003</v>
      </c>
      <c r="E112" s="20">
        <v>242572.0</v>
      </c>
      <c r="F112" s="20">
        <v>363856.0</v>
      </c>
      <c r="G112" s="313">
        <v>950000.0</v>
      </c>
      <c r="H112" s="180" t="s">
        <v>292</v>
      </c>
      <c r="I112" s="43">
        <f t="shared" si="4"/>
        <v>3327380.14568</v>
      </c>
    </row>
    <row r="113" spans="8:8">
      <c r="A113" s="3" t="s">
        <v>125</v>
      </c>
      <c r="B113" s="4" t="s">
        <v>65</v>
      </c>
      <c r="C113" s="93">
        <v>0.01</v>
      </c>
      <c r="D113" s="93">
        <v>1952588.2521600001</v>
      </c>
      <c r="E113" s="20">
        <v>242572.0</v>
      </c>
      <c r="F113" s="20">
        <v>363856.0</v>
      </c>
      <c r="G113" s="313">
        <v>950000.0</v>
      </c>
      <c r="H113" s="180" t="s">
        <v>292</v>
      </c>
      <c r="I113" s="43">
        <f t="shared" si="4"/>
        <v>3509016.2621600004</v>
      </c>
    </row>
    <row r="114" spans="8:8">
      <c r="A114" s="3" t="s">
        <v>126</v>
      </c>
      <c r="B114" s="4" t="s">
        <v>65</v>
      </c>
      <c r="C114" s="93">
        <v>0.01</v>
      </c>
      <c r="D114" s="93">
        <v>2213690.1695999997</v>
      </c>
      <c r="E114" s="20">
        <v>242572.0</v>
      </c>
      <c r="F114" s="20">
        <v>363856.0</v>
      </c>
      <c r="G114" s="313">
        <v>950000.0</v>
      </c>
      <c r="H114" s="180" t="s">
        <v>292</v>
      </c>
      <c r="I114" s="43">
        <f t="shared" si="5" ref="I114:I177">SUM(C114:H114)</f>
        <v>3770118.1795999995</v>
      </c>
    </row>
    <row r="115" spans="8:8">
      <c r="A115" s="3" t="s">
        <v>127</v>
      </c>
      <c r="B115" s="4" t="s">
        <v>65</v>
      </c>
      <c r="C115" s="93">
        <v>0.01</v>
      </c>
      <c r="D115" s="93">
        <v>3008348.1791999997</v>
      </c>
      <c r="E115" s="20">
        <v>242572.0</v>
      </c>
      <c r="F115" s="20">
        <v>363856.0</v>
      </c>
      <c r="G115" s="313">
        <v>950000.0</v>
      </c>
      <c r="H115" s="180" t="s">
        <v>292</v>
      </c>
      <c r="I115" s="43">
        <f t="shared" si="5"/>
        <v>4564776.189199999</v>
      </c>
    </row>
    <row r="116" spans="8:8">
      <c r="A116" s="3" t="s">
        <v>128</v>
      </c>
      <c r="B116" s="4" t="s">
        <v>65</v>
      </c>
      <c r="C116" s="93">
        <v>0.01</v>
      </c>
      <c r="D116" s="93">
        <v>3201336.55296</v>
      </c>
      <c r="E116" s="20">
        <v>242572.0</v>
      </c>
      <c r="F116" s="20">
        <v>363856.0</v>
      </c>
      <c r="G116" s="313">
        <v>950000.0</v>
      </c>
      <c r="H116" s="180" t="s">
        <v>292</v>
      </c>
      <c r="I116" s="43">
        <f t="shared" si="5"/>
        <v>4757764.56296</v>
      </c>
    </row>
    <row r="117" spans="8:8">
      <c r="A117" s="3" t="s">
        <v>129</v>
      </c>
      <c r="B117" s="4" t="s">
        <v>65</v>
      </c>
      <c r="C117" s="93">
        <v>0.01</v>
      </c>
      <c r="D117" s="93">
        <v>3541904.2713600006</v>
      </c>
      <c r="E117" s="20">
        <v>242572.0</v>
      </c>
      <c r="F117" s="20">
        <v>363856.0</v>
      </c>
      <c r="G117" s="313">
        <v>950000.0</v>
      </c>
      <c r="H117" s="180" t="s">
        <v>292</v>
      </c>
      <c r="I117" s="43">
        <f t="shared" si="5"/>
        <v>5098332.28136</v>
      </c>
    </row>
    <row r="118" spans="8:8">
      <c r="A118" s="3" t="s">
        <v>130</v>
      </c>
      <c r="B118" s="4" t="s">
        <v>65</v>
      </c>
      <c r="C118" s="93">
        <v>0.01</v>
      </c>
      <c r="D118" s="93">
        <v>3905176.5043200003</v>
      </c>
      <c r="E118" s="20">
        <v>242572.0</v>
      </c>
      <c r="F118" s="20">
        <v>363856.0</v>
      </c>
      <c r="G118" s="313">
        <v>950000.0</v>
      </c>
      <c r="H118" s="180" t="s">
        <v>292</v>
      </c>
      <c r="I118" s="43">
        <f t="shared" si="5"/>
        <v>5461604.51432</v>
      </c>
    </row>
    <row r="119" spans="8:8">
      <c r="A119" s="3" t="s">
        <v>131</v>
      </c>
      <c r="B119" s="4" t="s">
        <v>65</v>
      </c>
      <c r="C119" s="93">
        <v>0.01</v>
      </c>
      <c r="D119" s="93">
        <v>4427380.339199999</v>
      </c>
      <c r="E119" s="20">
        <v>242572.0</v>
      </c>
      <c r="F119" s="20">
        <v>363856.0</v>
      </c>
      <c r="G119" s="313">
        <v>950000.0</v>
      </c>
      <c r="H119" s="180" t="s">
        <v>292</v>
      </c>
      <c r="I119" s="43">
        <f t="shared" si="5"/>
        <v>5983808.349199999</v>
      </c>
    </row>
    <row r="120" spans="8:8">
      <c r="A120" s="3" t="s">
        <v>132</v>
      </c>
      <c r="B120" s="4" t="s">
        <v>65</v>
      </c>
      <c r="C120" s="93">
        <v>0.01</v>
      </c>
      <c r="D120" s="93">
        <v>1504174.0895999998</v>
      </c>
      <c r="E120" s="20">
        <v>242572.0</v>
      </c>
      <c r="F120" s="20">
        <v>363856.0</v>
      </c>
      <c r="G120" s="313">
        <v>950000.0</v>
      </c>
      <c r="H120" s="180" t="s">
        <v>292</v>
      </c>
      <c r="I120" s="43">
        <f t="shared" si="5"/>
        <v>3060602.0996</v>
      </c>
    </row>
    <row r="121" spans="8:8">
      <c r="A121" s="3" t="s">
        <v>133</v>
      </c>
      <c r="B121" s="4" t="s">
        <v>65</v>
      </c>
      <c r="C121" s="93">
        <v>0.01</v>
      </c>
      <c r="D121" s="93">
        <v>1600668.27648</v>
      </c>
      <c r="E121" s="20">
        <v>242572.0</v>
      </c>
      <c r="F121" s="20">
        <v>363856.0</v>
      </c>
      <c r="G121" s="313">
        <v>950000.0</v>
      </c>
      <c r="H121" s="180" t="s">
        <v>292</v>
      </c>
      <c r="I121" s="43">
        <f t="shared" si="5"/>
        <v>3157096.2864800002</v>
      </c>
    </row>
    <row r="122" spans="8:8">
      <c r="A122" s="3" t="s">
        <v>134</v>
      </c>
      <c r="B122" s="4" t="s">
        <v>65</v>
      </c>
      <c r="C122" s="93">
        <v>0.01</v>
      </c>
      <c r="D122" s="93">
        <v>1770952.1356800003</v>
      </c>
      <c r="E122" s="20">
        <v>242572.0</v>
      </c>
      <c r="F122" s="20">
        <v>363856.0</v>
      </c>
      <c r="G122" s="313">
        <v>950000.0</v>
      </c>
      <c r="H122" s="180" t="s">
        <v>292</v>
      </c>
      <c r="I122" s="43">
        <f t="shared" si="5"/>
        <v>3327380.14568</v>
      </c>
    </row>
    <row r="123" spans="8:8">
      <c r="A123" s="3" t="s">
        <v>135</v>
      </c>
      <c r="B123" s="4" t="s">
        <v>65</v>
      </c>
      <c r="C123" s="93">
        <v>0.01</v>
      </c>
      <c r="D123" s="93">
        <v>1504174.0895999998</v>
      </c>
      <c r="E123" s="20">
        <v>242572.0</v>
      </c>
      <c r="F123" s="20">
        <v>363856.0</v>
      </c>
      <c r="G123" s="313">
        <v>950000.0</v>
      </c>
      <c r="H123" s="180" t="s">
        <v>292</v>
      </c>
      <c r="I123" s="43">
        <f t="shared" si="5"/>
        <v>3060602.0996</v>
      </c>
    </row>
    <row r="124" spans="8:8">
      <c r="A124" s="3" t="s">
        <v>136</v>
      </c>
      <c r="B124" s="4" t="s">
        <v>65</v>
      </c>
      <c r="C124" s="93">
        <v>0.01</v>
      </c>
      <c r="D124" s="93">
        <v>1600668.27648</v>
      </c>
      <c r="E124" s="20">
        <v>242572.0</v>
      </c>
      <c r="F124" s="20">
        <v>363856.0</v>
      </c>
      <c r="G124" s="313">
        <v>950000.0</v>
      </c>
      <c r="H124" s="180" t="s">
        <v>292</v>
      </c>
      <c r="I124" s="43">
        <f t="shared" si="5"/>
        <v>3157096.2864800002</v>
      </c>
    </row>
    <row r="125" spans="8:8">
      <c r="A125" s="3" t="s">
        <v>137</v>
      </c>
      <c r="B125" s="4" t="s">
        <v>65</v>
      </c>
      <c r="C125" s="93">
        <v>0.01</v>
      </c>
      <c r="D125" s="93">
        <v>3008348.1791999997</v>
      </c>
      <c r="E125" s="20">
        <v>242572.0</v>
      </c>
      <c r="F125" s="20">
        <v>363856.0</v>
      </c>
      <c r="G125" s="313">
        <v>950000.0</v>
      </c>
      <c r="H125" s="180" t="s">
        <v>292</v>
      </c>
      <c r="I125" s="43">
        <f t="shared" si="5"/>
        <v>4564776.189199999</v>
      </c>
    </row>
    <row r="126" spans="8:8">
      <c r="A126" s="3" t="s">
        <v>138</v>
      </c>
      <c r="B126" s="4" t="s">
        <v>65</v>
      </c>
      <c r="C126" s="93">
        <v>0.01</v>
      </c>
      <c r="D126" s="93">
        <v>3201336.55296</v>
      </c>
      <c r="E126" s="20">
        <v>242572.0</v>
      </c>
      <c r="F126" s="20">
        <v>363856.0</v>
      </c>
      <c r="G126" s="313">
        <v>950000.0</v>
      </c>
      <c r="H126" s="180" t="s">
        <v>292</v>
      </c>
      <c r="I126" s="43">
        <f t="shared" si="5"/>
        <v>4757764.56296</v>
      </c>
    </row>
    <row r="127" spans="8:8">
      <c r="A127" s="3" t="s">
        <v>139</v>
      </c>
      <c r="B127" s="4" t="s">
        <v>65</v>
      </c>
      <c r="C127" s="93">
        <v>0.01</v>
      </c>
      <c r="D127" s="93">
        <v>1504174.0895999998</v>
      </c>
      <c r="E127" s="20">
        <v>242572.0</v>
      </c>
      <c r="F127" s="20">
        <v>363856.0</v>
      </c>
      <c r="G127" s="313">
        <v>950000.0</v>
      </c>
      <c r="H127" s="180" t="s">
        <v>292</v>
      </c>
      <c r="I127" s="43">
        <f t="shared" si="5"/>
        <v>3060602.0996</v>
      </c>
    </row>
    <row r="128" spans="8:8">
      <c r="A128" s="3" t="s">
        <v>140</v>
      </c>
      <c r="B128" s="4" t="s">
        <v>65</v>
      </c>
      <c r="C128" s="93">
        <v>0.01</v>
      </c>
      <c r="D128" s="93">
        <v>1600668.27648</v>
      </c>
      <c r="E128" s="20">
        <v>242572.0</v>
      </c>
      <c r="F128" s="20">
        <v>363856.0</v>
      </c>
      <c r="G128" s="313">
        <v>950000.0</v>
      </c>
      <c r="H128" s="180" t="s">
        <v>292</v>
      </c>
      <c r="I128" s="43">
        <f t="shared" si="5"/>
        <v>3157096.2864800002</v>
      </c>
    </row>
    <row r="129" spans="8:8">
      <c r="A129" s="3" t="s">
        <v>141</v>
      </c>
      <c r="B129" s="4" t="s">
        <v>65</v>
      </c>
      <c r="C129" s="93">
        <v>0.01</v>
      </c>
      <c r="D129" s="93">
        <v>1770952.1356800003</v>
      </c>
      <c r="E129" s="20">
        <v>242572.0</v>
      </c>
      <c r="F129" s="20">
        <v>363856.0</v>
      </c>
      <c r="G129" s="313">
        <v>950000.0</v>
      </c>
      <c r="H129" s="180" t="s">
        <v>292</v>
      </c>
      <c r="I129" s="43">
        <f t="shared" si="5"/>
        <v>3327380.14568</v>
      </c>
    </row>
    <row r="130" spans="8:8">
      <c r="A130" s="3" t="s">
        <v>142</v>
      </c>
      <c r="B130" s="4" t="s">
        <v>65</v>
      </c>
      <c r="C130" s="93">
        <v>0.01</v>
      </c>
      <c r="D130" s="93">
        <v>3008348.1791999997</v>
      </c>
      <c r="E130" s="20">
        <v>242572.0</v>
      </c>
      <c r="F130" s="20">
        <v>363856.0</v>
      </c>
      <c r="G130" s="313">
        <v>950000.0</v>
      </c>
      <c r="H130" s="180" t="s">
        <v>292</v>
      </c>
      <c r="I130" s="43">
        <f t="shared" si="5"/>
        <v>4564776.189199999</v>
      </c>
    </row>
    <row r="131" spans="8:8">
      <c r="A131" s="3" t="s">
        <v>143</v>
      </c>
      <c r="B131" s="4" t="s">
        <v>65</v>
      </c>
      <c r="C131" s="93">
        <v>0.01</v>
      </c>
      <c r="D131" s="93">
        <v>3201336.55296</v>
      </c>
      <c r="E131" s="20">
        <v>242572.0</v>
      </c>
      <c r="F131" s="20">
        <v>363856.0</v>
      </c>
      <c r="G131" s="313">
        <v>950000.0</v>
      </c>
      <c r="H131" s="180" t="s">
        <v>292</v>
      </c>
      <c r="I131" s="43">
        <f t="shared" si="5"/>
        <v>4757764.56296</v>
      </c>
    </row>
    <row r="132" spans="8:8">
      <c r="A132" s="3" t="s">
        <v>144</v>
      </c>
      <c r="B132" s="4" t="s">
        <v>65</v>
      </c>
      <c r="C132" s="93">
        <v>0.01</v>
      </c>
      <c r="D132" s="93">
        <v>3541904.2713600006</v>
      </c>
      <c r="E132" s="20">
        <v>242572.0</v>
      </c>
      <c r="F132" s="20">
        <v>363856.0</v>
      </c>
      <c r="G132" s="313">
        <v>950000.0</v>
      </c>
      <c r="H132" s="180" t="s">
        <v>292</v>
      </c>
      <c r="I132" s="43">
        <f t="shared" si="5"/>
        <v>5098332.28136</v>
      </c>
    </row>
    <row r="133" spans="8:8">
      <c r="A133" s="3" t="s">
        <v>145</v>
      </c>
      <c r="B133" s="4" t="s">
        <v>65</v>
      </c>
      <c r="C133" s="93">
        <v>0.01</v>
      </c>
      <c r="D133" s="93">
        <v>1504174.0895999998</v>
      </c>
      <c r="E133" s="20">
        <v>242572.0</v>
      </c>
      <c r="F133" s="20">
        <v>363856.0</v>
      </c>
      <c r="G133" s="313">
        <v>950000.0</v>
      </c>
      <c r="H133" s="180" t="s">
        <v>292</v>
      </c>
      <c r="I133" s="43">
        <f t="shared" si="5"/>
        <v>3060602.0996</v>
      </c>
    </row>
    <row r="134" spans="8:8">
      <c r="A134" s="3" t="s">
        <v>146</v>
      </c>
      <c r="B134" s="4" t="s">
        <v>65</v>
      </c>
      <c r="C134" s="93">
        <v>0.01</v>
      </c>
      <c r="D134" s="93">
        <v>1600668.27648</v>
      </c>
      <c r="E134" s="20">
        <v>242572.0</v>
      </c>
      <c r="F134" s="20">
        <v>363856.0</v>
      </c>
      <c r="G134" s="313">
        <v>950000.0</v>
      </c>
      <c r="H134" s="180" t="s">
        <v>292</v>
      </c>
      <c r="I134" s="43">
        <f t="shared" si="5"/>
        <v>3157096.2864800002</v>
      </c>
    </row>
    <row r="135" spans="8:8">
      <c r="A135" s="3" t="s">
        <v>147</v>
      </c>
      <c r="B135" s="4" t="s">
        <v>65</v>
      </c>
      <c r="C135" s="93">
        <v>0.01</v>
      </c>
      <c r="D135" s="93">
        <v>1770952.1356800003</v>
      </c>
      <c r="E135" s="20">
        <v>242572.0</v>
      </c>
      <c r="F135" s="20">
        <v>363856.0</v>
      </c>
      <c r="G135" s="313">
        <v>950000.0</v>
      </c>
      <c r="H135" s="180" t="s">
        <v>292</v>
      </c>
      <c r="I135" s="43">
        <f t="shared" si="5"/>
        <v>3327380.14568</v>
      </c>
    </row>
    <row r="136" spans="8:8">
      <c r="A136" s="3" t="s">
        <v>148</v>
      </c>
      <c r="B136" s="4" t="s">
        <v>65</v>
      </c>
      <c r="C136" s="93">
        <v>0.01</v>
      </c>
      <c r="D136" s="93">
        <v>1600668.27648</v>
      </c>
      <c r="E136" s="20">
        <v>242572.0</v>
      </c>
      <c r="F136" s="20">
        <v>363856.0</v>
      </c>
      <c r="G136" s="313">
        <v>950000.0</v>
      </c>
      <c r="H136" s="180" t="s">
        <v>292</v>
      </c>
      <c r="I136" s="43">
        <f t="shared" si="5"/>
        <v>3157096.2864800002</v>
      </c>
    </row>
    <row r="137" spans="8:8">
      <c r="A137" s="3" t="s">
        <v>149</v>
      </c>
      <c r="B137" s="4" t="s">
        <v>65</v>
      </c>
      <c r="C137" s="93">
        <v>0.01</v>
      </c>
      <c r="D137" s="93">
        <v>1770952.1356800003</v>
      </c>
      <c r="E137" s="20">
        <v>242572.0</v>
      </c>
      <c r="F137" s="20">
        <v>363856.0</v>
      </c>
      <c r="G137" s="313">
        <v>950000.0</v>
      </c>
      <c r="H137" s="180" t="s">
        <v>292</v>
      </c>
      <c r="I137" s="43">
        <f t="shared" si="5"/>
        <v>3327380.14568</v>
      </c>
    </row>
    <row r="138" spans="8:8">
      <c r="A138" s="3" t="s">
        <v>150</v>
      </c>
      <c r="B138" s="4" t="s">
        <v>65</v>
      </c>
      <c r="C138" s="93">
        <v>0.01</v>
      </c>
      <c r="D138" s="93">
        <v>2378297.9001599997</v>
      </c>
      <c r="E138" s="20">
        <v>242572.0</v>
      </c>
      <c r="F138" s="20">
        <v>363856.0</v>
      </c>
      <c r="G138" s="313">
        <v>950000.0</v>
      </c>
      <c r="H138" s="180" t="s">
        <v>292</v>
      </c>
      <c r="I138" s="43">
        <f t="shared" si="5"/>
        <v>3934725.9101599995</v>
      </c>
    </row>
    <row r="139" spans="8:8">
      <c r="A139" s="3" t="s">
        <v>151</v>
      </c>
      <c r="B139" s="4" t="s">
        <v>65</v>
      </c>
      <c r="C139" s="93">
        <v>0.01</v>
      </c>
      <c r="D139" s="93">
        <v>3201336.55296</v>
      </c>
      <c r="E139" s="20">
        <v>242572.0</v>
      </c>
      <c r="F139" s="20">
        <v>363856.0</v>
      </c>
      <c r="G139" s="313">
        <v>950000.0</v>
      </c>
      <c r="H139" s="180" t="s">
        <v>292</v>
      </c>
      <c r="I139" s="43">
        <f t="shared" si="5"/>
        <v>4757764.56296</v>
      </c>
    </row>
    <row r="140" spans="8:8">
      <c r="A140" s="3" t="s">
        <v>152</v>
      </c>
      <c r="B140" s="4" t="s">
        <v>65</v>
      </c>
      <c r="C140" s="93">
        <v>0.01</v>
      </c>
      <c r="D140" s="93">
        <v>3541904.2713600006</v>
      </c>
      <c r="E140" s="20">
        <v>242572.0</v>
      </c>
      <c r="F140" s="20">
        <v>363856.0</v>
      </c>
      <c r="G140" s="313">
        <v>950000.0</v>
      </c>
      <c r="H140" s="180" t="s">
        <v>292</v>
      </c>
      <c r="I140" s="43">
        <f t="shared" si="5"/>
        <v>5098332.28136</v>
      </c>
    </row>
    <row r="141" spans="8:8">
      <c r="A141" s="3" t="s">
        <v>153</v>
      </c>
      <c r="B141" s="4" t="s">
        <v>65</v>
      </c>
      <c r="C141" s="93">
        <v>0.01</v>
      </c>
      <c r="D141" s="93">
        <v>7378967.232</v>
      </c>
      <c r="E141" s="20">
        <v>242572.0</v>
      </c>
      <c r="F141" s="20">
        <v>363856.0</v>
      </c>
      <c r="G141" s="313">
        <v>950000.0</v>
      </c>
      <c r="H141" s="180" t="s">
        <v>292</v>
      </c>
      <c r="I141" s="43">
        <f t="shared" si="5"/>
        <v>8935395.241999999</v>
      </c>
    </row>
    <row r="142" spans="8:8">
      <c r="A142" s="3" t="s">
        <v>154</v>
      </c>
      <c r="B142" s="4" t="s">
        <v>65</v>
      </c>
      <c r="C142" s="93">
        <v>0.01</v>
      </c>
      <c r="D142" s="93">
        <v>1419032.1600000001</v>
      </c>
      <c r="E142" s="20">
        <v>242572.0</v>
      </c>
      <c r="F142" s="20">
        <v>363856.0</v>
      </c>
      <c r="G142" s="313">
        <v>950000.0</v>
      </c>
      <c r="H142" s="180" t="s">
        <v>292</v>
      </c>
      <c r="I142" s="43">
        <f t="shared" si="5"/>
        <v>2975460.17</v>
      </c>
    </row>
    <row r="143" spans="8:8">
      <c r="A143" s="3" t="s">
        <v>155</v>
      </c>
      <c r="B143" s="4" t="s">
        <v>65</v>
      </c>
      <c r="C143" s="93">
        <v>0.01</v>
      </c>
      <c r="D143" s="93">
        <v>1504174.0895999998</v>
      </c>
      <c r="E143" s="20">
        <v>242572.0</v>
      </c>
      <c r="F143" s="20">
        <v>363856.0</v>
      </c>
      <c r="G143" s="313">
        <v>950000.0</v>
      </c>
      <c r="H143" s="180" t="s">
        <v>292</v>
      </c>
      <c r="I143" s="43">
        <f t="shared" si="5"/>
        <v>3060602.0996</v>
      </c>
    </row>
    <row r="144" spans="8:8">
      <c r="A144" s="3" t="s">
        <v>156</v>
      </c>
      <c r="B144" s="4" t="s">
        <v>65</v>
      </c>
      <c r="C144" s="93">
        <v>0.01</v>
      </c>
      <c r="D144" s="93">
        <v>1600668.27648</v>
      </c>
      <c r="E144" s="20">
        <v>242572.0</v>
      </c>
      <c r="F144" s="20">
        <v>363856.0</v>
      </c>
      <c r="G144" s="313">
        <v>950000.0</v>
      </c>
      <c r="H144" s="180" t="s">
        <v>292</v>
      </c>
      <c r="I144" s="43">
        <f t="shared" si="5"/>
        <v>3157096.2864800002</v>
      </c>
    </row>
    <row r="145" spans="8:8">
      <c r="A145" s="3" t="s">
        <v>157</v>
      </c>
      <c r="B145" s="4" t="s">
        <v>65</v>
      </c>
      <c r="C145" s="93">
        <v>0.01</v>
      </c>
      <c r="D145" s="93">
        <v>1504174.0895999998</v>
      </c>
      <c r="E145" s="20">
        <v>242572.0</v>
      </c>
      <c r="F145" s="20">
        <v>363856.0</v>
      </c>
      <c r="G145" s="313">
        <v>950000.0</v>
      </c>
      <c r="H145" s="180" t="s">
        <v>292</v>
      </c>
      <c r="I145" s="43">
        <f t="shared" si="5"/>
        <v>3060602.0996</v>
      </c>
    </row>
    <row r="146" spans="8:8">
      <c r="A146" s="3" t="s">
        <v>158</v>
      </c>
      <c r="B146" s="4" t="s">
        <v>65</v>
      </c>
      <c r="C146" s="93">
        <v>0.01</v>
      </c>
      <c r="D146" s="93">
        <v>1600668.27648</v>
      </c>
      <c r="E146" s="20">
        <v>242572.0</v>
      </c>
      <c r="F146" s="20">
        <v>363856.0</v>
      </c>
      <c r="G146" s="313">
        <v>950000.0</v>
      </c>
      <c r="H146" s="180" t="s">
        <v>292</v>
      </c>
      <c r="I146" s="43">
        <f t="shared" si="5"/>
        <v>3157096.2864800002</v>
      </c>
    </row>
    <row r="147" spans="8:8">
      <c r="A147" s="3" t="s">
        <v>159</v>
      </c>
      <c r="B147" s="4" t="s">
        <v>65</v>
      </c>
      <c r="C147" s="93">
        <v>0.01</v>
      </c>
      <c r="D147" s="93">
        <v>1770952.1356800003</v>
      </c>
      <c r="E147" s="20">
        <v>242572.0</v>
      </c>
      <c r="F147" s="20">
        <v>363856.0</v>
      </c>
      <c r="G147" s="313">
        <v>950000.0</v>
      </c>
      <c r="H147" s="180" t="s">
        <v>292</v>
      </c>
      <c r="I147" s="43">
        <f t="shared" si="5"/>
        <v>3327380.14568</v>
      </c>
    </row>
    <row r="148" spans="8:8">
      <c r="A148" s="3" t="s">
        <v>160</v>
      </c>
      <c r="B148" s="4" t="s">
        <v>65</v>
      </c>
      <c r="C148" s="93">
        <v>0.01</v>
      </c>
      <c r="D148" s="93">
        <v>1600668.27648</v>
      </c>
      <c r="E148" s="20">
        <v>242572.0</v>
      </c>
      <c r="F148" s="20">
        <v>363856.0</v>
      </c>
      <c r="G148" s="313">
        <v>950000.0</v>
      </c>
      <c r="H148" s="180" t="s">
        <v>292</v>
      </c>
      <c r="I148" s="43">
        <f t="shared" si="5"/>
        <v>3157096.2864800002</v>
      </c>
    </row>
    <row r="149" spans="8:8">
      <c r="A149" s="15" t="s">
        <v>161</v>
      </c>
      <c r="B149" s="16" t="s">
        <v>65</v>
      </c>
      <c r="C149" s="93">
        <v>0.01</v>
      </c>
      <c r="D149" s="93">
        <v>1770952.1356800003</v>
      </c>
      <c r="E149" s="20">
        <v>242572.0</v>
      </c>
      <c r="F149" s="20">
        <v>363856.0</v>
      </c>
      <c r="G149" s="313">
        <v>950000.0</v>
      </c>
      <c r="H149" s="180" t="s">
        <v>292</v>
      </c>
      <c r="I149" s="43">
        <f t="shared" si="5"/>
        <v>3327380.14568</v>
      </c>
    </row>
    <row r="150" spans="8:8">
      <c r="A150" s="15" t="s">
        <v>162</v>
      </c>
      <c r="B150" s="16" t="s">
        <v>65</v>
      </c>
      <c r="C150" s="93">
        <v>0.01</v>
      </c>
      <c r="D150" s="93">
        <v>3201336.55296</v>
      </c>
      <c r="E150" s="20">
        <v>242572.0</v>
      </c>
      <c r="F150" s="20">
        <v>363856.0</v>
      </c>
      <c r="G150" s="313">
        <v>950000.0</v>
      </c>
      <c r="H150" s="180" t="s">
        <v>292</v>
      </c>
      <c r="I150" s="43">
        <f t="shared" si="5"/>
        <v>4757764.56296</v>
      </c>
    </row>
    <row r="151" spans="8:8">
      <c r="A151" s="15" t="s">
        <v>163</v>
      </c>
      <c r="B151" s="16" t="s">
        <v>65</v>
      </c>
      <c r="C151" s="93">
        <v>0.01</v>
      </c>
      <c r="D151" s="93">
        <v>3541904.2713600006</v>
      </c>
      <c r="E151" s="20">
        <v>242572.0</v>
      </c>
      <c r="F151" s="20">
        <v>363856.0</v>
      </c>
      <c r="G151" s="313">
        <v>950000.0</v>
      </c>
      <c r="H151" s="180" t="s">
        <v>292</v>
      </c>
      <c r="I151" s="43">
        <f t="shared" si="5"/>
        <v>5098332.28136</v>
      </c>
    </row>
    <row r="152" spans="8:8">
      <c r="A152" s="3" t="s">
        <v>164</v>
      </c>
      <c r="B152" s="4" t="s">
        <v>65</v>
      </c>
      <c r="C152" s="93">
        <v>0.01</v>
      </c>
      <c r="D152" s="93">
        <v>1384975.3881599999</v>
      </c>
      <c r="E152" s="20">
        <v>242572.0</v>
      </c>
      <c r="F152" s="20">
        <v>363856.0</v>
      </c>
      <c r="G152" s="313">
        <v>950000.0</v>
      </c>
      <c r="H152" s="180" t="s">
        <v>292</v>
      </c>
      <c r="I152" s="43">
        <f t="shared" si="5"/>
        <v>2941403.39816</v>
      </c>
    </row>
    <row r="153" spans="8:8">
      <c r="A153" s="3" t="s">
        <v>165</v>
      </c>
      <c r="B153" s="4" t="s">
        <v>65</v>
      </c>
      <c r="C153" s="93">
        <v>0.01</v>
      </c>
      <c r="D153" s="93">
        <v>1555259.2473600002</v>
      </c>
      <c r="E153" s="20">
        <v>242572.0</v>
      </c>
      <c r="F153" s="20">
        <v>363856.0</v>
      </c>
      <c r="G153" s="313">
        <v>950000.0</v>
      </c>
      <c r="H153" s="180" t="s">
        <v>292</v>
      </c>
      <c r="I153" s="43">
        <f t="shared" si="5"/>
        <v>3111687.25736</v>
      </c>
    </row>
    <row r="154" spans="8:8">
      <c r="A154" s="3" t="s">
        <v>166</v>
      </c>
      <c r="B154" s="4" t="s">
        <v>65</v>
      </c>
      <c r="C154" s="93">
        <v>0.01</v>
      </c>
      <c r="D154" s="93">
        <v>1504174.0895999998</v>
      </c>
      <c r="E154" s="20">
        <v>242572.0</v>
      </c>
      <c r="F154" s="20">
        <v>363856.0</v>
      </c>
      <c r="G154" s="313">
        <v>950000.0</v>
      </c>
      <c r="H154" s="180" t="s">
        <v>292</v>
      </c>
      <c r="I154" s="43">
        <f t="shared" si="5"/>
        <v>3060602.0996</v>
      </c>
    </row>
    <row r="155" spans="8:8">
      <c r="A155" s="3" t="s">
        <v>167</v>
      </c>
      <c r="B155" s="4" t="s">
        <v>65</v>
      </c>
      <c r="C155" s="93">
        <v>0.01</v>
      </c>
      <c r="D155" s="93">
        <v>1600668.27648</v>
      </c>
      <c r="E155" s="20">
        <v>242572.0</v>
      </c>
      <c r="F155" s="20">
        <v>363856.0</v>
      </c>
      <c r="G155" s="313">
        <v>950000.0</v>
      </c>
      <c r="H155" s="180" t="s">
        <v>292</v>
      </c>
      <c r="I155" s="43">
        <f t="shared" si="5"/>
        <v>3157096.2864800002</v>
      </c>
    </row>
    <row r="156" spans="8:8">
      <c r="A156" s="3" t="s">
        <v>168</v>
      </c>
      <c r="B156" s="4" t="s">
        <v>65</v>
      </c>
      <c r="C156" s="93">
        <v>0.01</v>
      </c>
      <c r="D156" s="93">
        <v>3008348.1791999997</v>
      </c>
      <c r="E156" s="20">
        <v>242572.0</v>
      </c>
      <c r="F156" s="20">
        <v>363856.0</v>
      </c>
      <c r="G156" s="313">
        <v>950000.0</v>
      </c>
      <c r="H156" s="180" t="s">
        <v>292</v>
      </c>
      <c r="I156" s="43">
        <f t="shared" si="5"/>
        <v>4564776.189199999</v>
      </c>
    </row>
    <row r="157" spans="8:8">
      <c r="A157" s="3" t="s">
        <v>169</v>
      </c>
      <c r="B157" s="4" t="s">
        <v>65</v>
      </c>
      <c r="C157" s="93">
        <v>0.01</v>
      </c>
      <c r="D157" s="93">
        <v>3201336.55296</v>
      </c>
      <c r="E157" s="20">
        <v>242572.0</v>
      </c>
      <c r="F157" s="20">
        <v>363856.0</v>
      </c>
      <c r="G157" s="313">
        <v>950000.0</v>
      </c>
      <c r="H157" s="180" t="s">
        <v>292</v>
      </c>
      <c r="I157" s="43">
        <f t="shared" si="5"/>
        <v>4757764.56296</v>
      </c>
    </row>
    <row r="158" spans="8:8">
      <c r="A158" s="3" t="s">
        <v>170</v>
      </c>
      <c r="B158" s="4" t="s">
        <v>65</v>
      </c>
      <c r="C158" s="93">
        <v>0.01</v>
      </c>
      <c r="D158" s="93">
        <v>1504174.0895999998</v>
      </c>
      <c r="E158" s="20">
        <v>242572.0</v>
      </c>
      <c r="F158" s="20">
        <v>363856.0</v>
      </c>
      <c r="G158" s="313">
        <v>950000.0</v>
      </c>
      <c r="H158" s="180" t="s">
        <v>292</v>
      </c>
      <c r="I158" s="43">
        <f t="shared" si="5"/>
        <v>3060602.0996</v>
      </c>
    </row>
    <row r="159" spans="8:8">
      <c r="A159" s="3" t="s">
        <v>171</v>
      </c>
      <c r="B159" s="4" t="s">
        <v>65</v>
      </c>
      <c r="C159" s="93">
        <v>0.01</v>
      </c>
      <c r="D159" s="93">
        <v>1600668.27648</v>
      </c>
      <c r="E159" s="20">
        <v>242572.0</v>
      </c>
      <c r="F159" s="20">
        <v>363856.0</v>
      </c>
      <c r="G159" s="313">
        <v>950000.0</v>
      </c>
      <c r="H159" s="180" t="s">
        <v>292</v>
      </c>
      <c r="I159" s="43">
        <f t="shared" si="5"/>
        <v>3157096.2864800002</v>
      </c>
    </row>
    <row r="160" spans="8:8">
      <c r="A160" s="3" t="s">
        <v>172</v>
      </c>
      <c r="B160" s="4" t="s">
        <v>65</v>
      </c>
      <c r="C160" s="93">
        <v>0.01</v>
      </c>
      <c r="D160" s="93">
        <v>1770952.1356800003</v>
      </c>
      <c r="E160" s="20">
        <v>242572.0</v>
      </c>
      <c r="F160" s="20">
        <v>363856.0</v>
      </c>
      <c r="G160" s="313">
        <v>950000.0</v>
      </c>
      <c r="H160" s="180" t="s">
        <v>292</v>
      </c>
      <c r="I160" s="43">
        <f t="shared" si="5"/>
        <v>3327380.14568</v>
      </c>
    </row>
    <row r="161" spans="8:8">
      <c r="A161" s="3" t="s">
        <v>173</v>
      </c>
      <c r="B161" s="4" t="s">
        <v>65</v>
      </c>
      <c r="C161" s="93">
        <v>0.01</v>
      </c>
      <c r="D161" s="93">
        <v>3008348.1791999997</v>
      </c>
      <c r="E161" s="20">
        <v>242572.0</v>
      </c>
      <c r="F161" s="20">
        <v>363856.0</v>
      </c>
      <c r="G161" s="313">
        <v>950000.0</v>
      </c>
      <c r="H161" s="180" t="s">
        <v>292</v>
      </c>
      <c r="I161" s="43">
        <f t="shared" si="5"/>
        <v>4564776.189199999</v>
      </c>
    </row>
    <row r="162" spans="8:8">
      <c r="A162" s="3" t="s">
        <v>174</v>
      </c>
      <c r="B162" s="4" t="s">
        <v>65</v>
      </c>
      <c r="C162" s="93">
        <v>0.01</v>
      </c>
      <c r="D162" s="93">
        <v>3201336.55296</v>
      </c>
      <c r="E162" s="20">
        <v>242572.0</v>
      </c>
      <c r="F162" s="20">
        <v>363856.0</v>
      </c>
      <c r="G162" s="313">
        <v>950000.0</v>
      </c>
      <c r="H162" s="180" t="s">
        <v>292</v>
      </c>
      <c r="I162" s="43">
        <f t="shared" si="5"/>
        <v>4757764.56296</v>
      </c>
    </row>
    <row r="163" spans="8:8">
      <c r="A163" s="3" t="s">
        <v>175</v>
      </c>
      <c r="B163" s="4" t="s">
        <v>65</v>
      </c>
      <c r="C163" s="93">
        <v>0.01</v>
      </c>
      <c r="D163" s="93">
        <v>3541904.2713600006</v>
      </c>
      <c r="E163" s="20">
        <v>242572.0</v>
      </c>
      <c r="F163" s="20">
        <v>363856.0</v>
      </c>
      <c r="G163" s="313">
        <v>950000.0</v>
      </c>
      <c r="H163" s="180" t="s">
        <v>292</v>
      </c>
      <c r="I163" s="43">
        <f t="shared" si="5"/>
        <v>5098332.28136</v>
      </c>
    </row>
    <row r="164" spans="8:8">
      <c r="A164" s="3" t="s">
        <v>176</v>
      </c>
      <c r="B164" s="4" t="s">
        <v>65</v>
      </c>
      <c r="C164" s="93">
        <v>0.01</v>
      </c>
      <c r="D164" s="93">
        <v>1402003.7740800001</v>
      </c>
      <c r="E164" s="20">
        <v>242572.0</v>
      </c>
      <c r="F164" s="20">
        <v>363856.0</v>
      </c>
      <c r="G164" s="313">
        <v>950000.0</v>
      </c>
      <c r="H164" s="180" t="s">
        <v>292</v>
      </c>
      <c r="I164" s="43">
        <f t="shared" si="5"/>
        <v>2958431.78408</v>
      </c>
    </row>
    <row r="165" spans="8:8">
      <c r="A165" s="3" t="s">
        <v>177</v>
      </c>
      <c r="B165" s="4" t="s">
        <v>65</v>
      </c>
      <c r="C165" s="93">
        <v>0.01</v>
      </c>
      <c r="D165" s="93">
        <v>1770952.1356800003</v>
      </c>
      <c r="E165" s="20">
        <v>242572.0</v>
      </c>
      <c r="F165" s="20">
        <v>363856.0</v>
      </c>
      <c r="G165" s="313">
        <v>950000.0</v>
      </c>
      <c r="H165" s="180" t="s">
        <v>292</v>
      </c>
      <c r="I165" s="43">
        <f t="shared" si="5"/>
        <v>3327380.14568</v>
      </c>
    </row>
    <row r="166" spans="8:8">
      <c r="A166" s="3" t="s">
        <v>178</v>
      </c>
      <c r="B166" s="4" t="s">
        <v>65</v>
      </c>
      <c r="C166" s="93">
        <v>8580000.0</v>
      </c>
      <c r="D166" s="93">
        <v>2.6604014935680002E7</v>
      </c>
      <c r="E166" s="20">
        <v>242572.0</v>
      </c>
      <c r="F166" s="20">
        <v>363856.0</v>
      </c>
      <c r="G166" s="313">
        <v>950000.0</v>
      </c>
      <c r="H166" s="180" t="s">
        <v>292</v>
      </c>
      <c r="I166" s="43">
        <f t="shared" si="5"/>
        <v>3.674044293568E7</v>
      </c>
    </row>
    <row r="167" spans="8:8">
      <c r="A167" s="3" t="s">
        <v>179</v>
      </c>
      <c r="B167" s="4" t="s">
        <v>65</v>
      </c>
      <c r="C167" s="93">
        <v>0.01</v>
      </c>
      <c r="D167" s="93">
        <v>3411353.3126400006</v>
      </c>
      <c r="E167" s="20">
        <v>242572.0</v>
      </c>
      <c r="F167" s="20">
        <v>363856.0</v>
      </c>
      <c r="G167" s="313">
        <v>950000.0</v>
      </c>
      <c r="H167" s="180" t="s">
        <v>292</v>
      </c>
      <c r="I167" s="43">
        <f t="shared" si="5"/>
        <v>4967781.32264</v>
      </c>
    </row>
    <row r="168" spans="8:8">
      <c r="A168" s="3" t="s">
        <v>180</v>
      </c>
      <c r="B168" s="4" t="s">
        <v>65</v>
      </c>
      <c r="C168" s="93">
        <v>0.01</v>
      </c>
      <c r="D168" s="93">
        <v>1600668.27648</v>
      </c>
      <c r="E168" s="20">
        <v>242572.0</v>
      </c>
      <c r="F168" s="20">
        <v>363856.0</v>
      </c>
      <c r="G168" s="313">
        <v>950000.0</v>
      </c>
      <c r="H168" s="180" t="s">
        <v>292</v>
      </c>
      <c r="I168" s="43">
        <f t="shared" si="5"/>
        <v>3157096.2864800002</v>
      </c>
    </row>
    <row r="169" spans="8:8">
      <c r="A169" s="3" t="s">
        <v>181</v>
      </c>
      <c r="B169" s="4" t="s">
        <v>65</v>
      </c>
      <c r="C169" s="93">
        <v>0.01</v>
      </c>
      <c r="D169" s="93">
        <v>3201336.55296</v>
      </c>
      <c r="E169" s="20">
        <v>242572.0</v>
      </c>
      <c r="F169" s="20">
        <v>363856.0</v>
      </c>
      <c r="G169" s="313">
        <v>950000.0</v>
      </c>
      <c r="H169" s="180" t="s">
        <v>292</v>
      </c>
      <c r="I169" s="43">
        <f t="shared" si="5"/>
        <v>4757764.56296</v>
      </c>
    </row>
    <row r="170" spans="8:8">
      <c r="A170" s="3" t="s">
        <v>182</v>
      </c>
      <c r="B170" s="4" t="s">
        <v>65</v>
      </c>
      <c r="C170" s="93">
        <v>0.01</v>
      </c>
      <c r="D170" s="93">
        <v>1504174.0895999998</v>
      </c>
      <c r="E170" s="20">
        <v>242572.0</v>
      </c>
      <c r="F170" s="20">
        <v>363856.0</v>
      </c>
      <c r="G170" s="313">
        <v>950000.0</v>
      </c>
      <c r="H170" s="180" t="s">
        <v>292</v>
      </c>
      <c r="I170" s="43">
        <f t="shared" si="5"/>
        <v>3060602.0996</v>
      </c>
    </row>
    <row r="171" spans="8:8">
      <c r="A171" s="3" t="s">
        <v>183</v>
      </c>
      <c r="B171" s="4" t="s">
        <v>65</v>
      </c>
      <c r="C171" s="93">
        <v>0.01</v>
      </c>
      <c r="D171" s="93">
        <v>1600668.27648</v>
      </c>
      <c r="E171" s="20">
        <v>242572.0</v>
      </c>
      <c r="F171" s="20">
        <v>363856.0</v>
      </c>
      <c r="G171" s="313">
        <v>950000.0</v>
      </c>
      <c r="H171" s="180" t="s">
        <v>292</v>
      </c>
      <c r="I171" s="43">
        <f t="shared" si="5"/>
        <v>3157096.2864800002</v>
      </c>
    </row>
    <row r="172" spans="8:8">
      <c r="A172" s="3" t="s">
        <v>184</v>
      </c>
      <c r="B172" s="4" t="s">
        <v>65</v>
      </c>
      <c r="C172" s="93">
        <v>0.01</v>
      </c>
      <c r="D172" s="93">
        <v>1770952.1356800003</v>
      </c>
      <c r="E172" s="20">
        <v>242572.0</v>
      </c>
      <c r="F172" s="20">
        <v>363856.0</v>
      </c>
      <c r="G172" s="313">
        <v>950000.0</v>
      </c>
      <c r="H172" s="180" t="s">
        <v>292</v>
      </c>
      <c r="I172" s="43">
        <f t="shared" si="5"/>
        <v>3327380.14568</v>
      </c>
    </row>
    <row r="173" spans="8:8">
      <c r="A173" s="3" t="s">
        <v>185</v>
      </c>
      <c r="B173" s="4" t="s">
        <v>65</v>
      </c>
      <c r="C173" s="93">
        <v>0.01</v>
      </c>
      <c r="D173" s="93">
        <v>3008348.1791999997</v>
      </c>
      <c r="E173" s="20">
        <v>242572.0</v>
      </c>
      <c r="F173" s="20">
        <v>363856.0</v>
      </c>
      <c r="G173" s="313">
        <v>950000.0</v>
      </c>
      <c r="H173" s="180" t="s">
        <v>292</v>
      </c>
      <c r="I173" s="43">
        <f t="shared" si="5"/>
        <v>4564776.189199999</v>
      </c>
    </row>
    <row r="174" spans="8:8">
      <c r="A174" s="3" t="s">
        <v>186</v>
      </c>
      <c r="B174" s="4" t="s">
        <v>65</v>
      </c>
      <c r="C174" s="93">
        <v>0.01</v>
      </c>
      <c r="D174" s="93">
        <v>3201336.55296</v>
      </c>
      <c r="E174" s="20">
        <v>242572.0</v>
      </c>
      <c r="F174" s="20">
        <v>363856.0</v>
      </c>
      <c r="G174" s="313">
        <v>950000.0</v>
      </c>
      <c r="H174" s="180" t="s">
        <v>292</v>
      </c>
      <c r="I174" s="43">
        <f t="shared" si="5"/>
        <v>4757764.56296</v>
      </c>
    </row>
    <row r="175" spans="8:8">
      <c r="A175" s="3" t="s">
        <v>187</v>
      </c>
      <c r="B175" s="4" t="s">
        <v>65</v>
      </c>
      <c r="C175" s="93">
        <v>0.01</v>
      </c>
      <c r="D175" s="93">
        <v>3541904.2713600006</v>
      </c>
      <c r="E175" s="20">
        <v>242572.0</v>
      </c>
      <c r="F175" s="20">
        <v>363856.0</v>
      </c>
      <c r="G175" s="313">
        <v>950000.0</v>
      </c>
      <c r="H175" s="180" t="s">
        <v>292</v>
      </c>
      <c r="I175" s="43">
        <f t="shared" si="5"/>
        <v>5098332.28136</v>
      </c>
    </row>
    <row r="176" spans="8:8">
      <c r="A176" s="15" t="s">
        <v>188</v>
      </c>
      <c r="B176" s="16" t="s">
        <v>65</v>
      </c>
      <c r="C176" s="93">
        <v>0.01</v>
      </c>
      <c r="D176" s="93">
        <v>1504174.0895999998</v>
      </c>
      <c r="E176" s="20">
        <v>242572.0</v>
      </c>
      <c r="F176" s="20">
        <v>363856.0</v>
      </c>
      <c r="G176" s="313">
        <v>950000.0</v>
      </c>
      <c r="H176" s="180" t="s">
        <v>292</v>
      </c>
      <c r="I176" s="43">
        <f t="shared" si="5"/>
        <v>3060602.0996</v>
      </c>
    </row>
    <row r="177" spans="8:8">
      <c r="A177" s="3" t="s">
        <v>189</v>
      </c>
      <c r="B177" s="4" t="s">
        <v>65</v>
      </c>
      <c r="C177" s="93">
        <v>0.01</v>
      </c>
      <c r="D177" s="93">
        <v>1600668.27648</v>
      </c>
      <c r="E177" s="20">
        <v>242572.0</v>
      </c>
      <c r="F177" s="20">
        <v>363856.0</v>
      </c>
      <c r="G177" s="313">
        <v>950000.0</v>
      </c>
      <c r="H177" s="180" t="s">
        <v>292</v>
      </c>
      <c r="I177" s="43">
        <f t="shared" si="5"/>
        <v>3157096.2864800002</v>
      </c>
    </row>
    <row r="178" spans="8:8">
      <c r="A178" s="3" t="s">
        <v>190</v>
      </c>
      <c r="B178" s="16" t="s">
        <v>65</v>
      </c>
      <c r="C178" s="93">
        <v>0.01</v>
      </c>
      <c r="D178" s="93">
        <v>1504174.0895999998</v>
      </c>
      <c r="E178" s="20">
        <v>242572.0</v>
      </c>
      <c r="F178" s="20">
        <v>363856.0</v>
      </c>
      <c r="G178" s="313">
        <v>950000.0</v>
      </c>
      <c r="H178" s="180" t="s">
        <v>292</v>
      </c>
      <c r="I178" s="43">
        <f t="shared" si="6" ref="I178:I182">SUM(C178:H178)</f>
        <v>3060602.0996</v>
      </c>
    </row>
    <row r="179" spans="8:8" s="49" ht="15.0" customFormat="1">
      <c r="A179" s="3" t="s">
        <v>191</v>
      </c>
      <c r="B179" s="4" t="s">
        <v>65</v>
      </c>
      <c r="C179" s="93">
        <v>0.01</v>
      </c>
      <c r="D179" s="93">
        <v>1600668.27648</v>
      </c>
      <c r="E179" s="20">
        <v>242572.0</v>
      </c>
      <c r="F179" s="20">
        <v>363856.0</v>
      </c>
      <c r="G179" s="313">
        <v>950000.0</v>
      </c>
      <c r="H179" s="180" t="s">
        <v>292</v>
      </c>
      <c r="I179" s="241">
        <f t="shared" si="6"/>
        <v>3157096.2864800002</v>
      </c>
    </row>
    <row r="180" spans="8:8">
      <c r="A180" s="3" t="s">
        <v>192</v>
      </c>
      <c r="B180" s="4" t="s">
        <v>65</v>
      </c>
      <c r="C180" s="93">
        <v>0.01</v>
      </c>
      <c r="D180" s="93">
        <v>1770952.1356800003</v>
      </c>
      <c r="E180" s="20">
        <v>242572.0</v>
      </c>
      <c r="F180" s="20">
        <v>363856.0</v>
      </c>
      <c r="G180" s="313">
        <v>950000.0</v>
      </c>
      <c r="H180" s="180" t="s">
        <v>292</v>
      </c>
      <c r="I180" s="43">
        <f t="shared" si="6"/>
        <v>3327380.14568</v>
      </c>
    </row>
    <row r="181" spans="8:8">
      <c r="A181" s="3" t="s">
        <v>193</v>
      </c>
      <c r="B181" s="4" t="s">
        <v>65</v>
      </c>
      <c r="C181" s="93">
        <v>0.01</v>
      </c>
      <c r="D181" s="93">
        <v>1504174.0895999998</v>
      </c>
      <c r="E181" s="20">
        <v>242572.0</v>
      </c>
      <c r="F181" s="20">
        <v>363856.0</v>
      </c>
      <c r="G181" s="313">
        <v>950000.0</v>
      </c>
      <c r="H181" s="180" t="s">
        <v>292</v>
      </c>
      <c r="I181" s="43">
        <f t="shared" si="6"/>
        <v>3060602.0996</v>
      </c>
    </row>
    <row r="182" spans="8:8">
      <c r="A182" s="3" t="s">
        <v>194</v>
      </c>
      <c r="B182" s="4" t="s">
        <v>65</v>
      </c>
      <c r="C182" s="93">
        <v>0.01</v>
      </c>
      <c r="D182" s="93">
        <v>1600668.27648</v>
      </c>
      <c r="E182" s="20">
        <v>242572.0</v>
      </c>
      <c r="F182" s="20">
        <v>363856.0</v>
      </c>
      <c r="G182" s="313">
        <v>950000.0</v>
      </c>
      <c r="H182" s="180" t="s">
        <v>292</v>
      </c>
      <c r="I182" s="43">
        <f t="shared" si="6"/>
        <v>3157096.2864800002</v>
      </c>
    </row>
    <row r="183" spans="8:8">
      <c r="A183" s="3" t="s">
        <v>197</v>
      </c>
      <c r="B183" s="4" t="s">
        <v>196</v>
      </c>
      <c r="C183" s="93">
        <v>0.01</v>
      </c>
      <c r="D183" s="93">
        <v>3726648.744</v>
      </c>
      <c r="E183" s="20">
        <v>242572.0</v>
      </c>
      <c r="F183" s="20">
        <v>363856.0</v>
      </c>
      <c r="G183" s="180" t="s">
        <v>292</v>
      </c>
      <c r="H183" s="180" t="s">
        <v>292</v>
      </c>
      <c r="I183" s="43">
        <f t="shared" si="7" ref="I183:I246">SUM(C183:F183)</f>
        <v>4333076.754</v>
      </c>
    </row>
    <row r="184" spans="8:8">
      <c r="A184" s="3" t="s">
        <v>198</v>
      </c>
      <c r="B184" s="4" t="s">
        <v>196</v>
      </c>
      <c r="C184" s="93">
        <v>0.01</v>
      </c>
      <c r="D184" s="93">
        <v>3.7107690984E7</v>
      </c>
      <c r="E184" s="20">
        <v>242572.0</v>
      </c>
      <c r="F184" s="20">
        <v>363856.0</v>
      </c>
      <c r="G184" s="180" t="s">
        <v>292</v>
      </c>
      <c r="H184" s="180" t="s">
        <v>292</v>
      </c>
      <c r="I184" s="43">
        <f t="shared" si="7"/>
        <v>3.7714118993999995E7</v>
      </c>
    </row>
    <row r="185" spans="8:8">
      <c r="A185" s="298" t="s">
        <v>398</v>
      </c>
      <c r="B185" s="4" t="s">
        <v>196</v>
      </c>
      <c r="C185" s="93">
        <v>0.01</v>
      </c>
      <c r="D185" s="93">
        <v>1.0628261280000001E7</v>
      </c>
      <c r="E185" s="20">
        <v>242572.0</v>
      </c>
      <c r="F185" s="20">
        <v>363856.0</v>
      </c>
      <c r="G185" s="180" t="s">
        <v>292</v>
      </c>
      <c r="H185" s="180" t="s">
        <v>292</v>
      </c>
      <c r="I185" s="43">
        <f t="shared" si="7"/>
        <v>1.1234689290000001E7</v>
      </c>
      <c r="M185" s="233"/>
      <c r="N185" s="238"/>
    </row>
    <row r="186" spans="8:8">
      <c r="A186" s="3" t="s">
        <v>201</v>
      </c>
      <c r="B186" s="4" t="s">
        <v>196</v>
      </c>
      <c r="C186" s="93">
        <v>0.01</v>
      </c>
      <c r="D186" s="93">
        <v>1.0628261280000001E7</v>
      </c>
      <c r="E186" s="20">
        <v>242572.0</v>
      </c>
      <c r="F186" s="20">
        <v>363856.0</v>
      </c>
      <c r="G186" s="180" t="s">
        <v>292</v>
      </c>
      <c r="H186" s="180" t="s">
        <v>292</v>
      </c>
      <c r="I186" s="43">
        <f t="shared" si="7"/>
        <v>1.1234689290000001E7</v>
      </c>
    </row>
    <row r="187" spans="8:8">
      <c r="A187" s="3" t="s">
        <v>202</v>
      </c>
      <c r="B187" s="16" t="s">
        <v>196</v>
      </c>
      <c r="C187" s="93">
        <v>0.01</v>
      </c>
      <c r="D187" s="93">
        <v>1.0628261280000001E7</v>
      </c>
      <c r="E187" s="20">
        <v>242572.0</v>
      </c>
      <c r="F187" s="20">
        <v>363856.0</v>
      </c>
      <c r="G187" s="180" t="s">
        <v>292</v>
      </c>
      <c r="H187" s="180" t="s">
        <v>292</v>
      </c>
      <c r="I187" s="43">
        <f t="shared" si="7"/>
        <v>1.1234689290000001E7</v>
      </c>
    </row>
    <row r="188" spans="8:8">
      <c r="A188" s="3" t="s">
        <v>203</v>
      </c>
      <c r="B188" s="4" t="s">
        <v>196</v>
      </c>
      <c r="C188" s="93">
        <v>0.01</v>
      </c>
      <c r="D188" s="93">
        <v>1.0628261280000001E7</v>
      </c>
      <c r="E188" s="20">
        <v>242572.0</v>
      </c>
      <c r="F188" s="20">
        <v>363856.0</v>
      </c>
      <c r="G188" s="180" t="s">
        <v>292</v>
      </c>
      <c r="H188" s="180" t="s">
        <v>292</v>
      </c>
      <c r="I188" s="43">
        <f t="shared" si="7"/>
        <v>1.1234689290000001E7</v>
      </c>
    </row>
    <row r="189" spans="8:8">
      <c r="A189" s="3" t="s">
        <v>204</v>
      </c>
      <c r="B189" s="4" t="s">
        <v>196</v>
      </c>
      <c r="C189" s="93">
        <v>0.01</v>
      </c>
      <c r="D189" s="93">
        <v>1.0628261280000001E7</v>
      </c>
      <c r="E189" s="20">
        <v>242572.0</v>
      </c>
      <c r="F189" s="20">
        <v>363856.0</v>
      </c>
      <c r="G189" s="180" t="s">
        <v>292</v>
      </c>
      <c r="H189" s="180" t="s">
        <v>292</v>
      </c>
      <c r="I189" s="43">
        <f t="shared" si="7"/>
        <v>1.1234689290000001E7</v>
      </c>
      <c r="P189" s="233"/>
      <c r="Q189" s="76"/>
    </row>
    <row r="190" spans="8:8">
      <c r="A190" s="3" t="s">
        <v>206</v>
      </c>
      <c r="B190" s="4" t="s">
        <v>196</v>
      </c>
      <c r="C190" s="93">
        <v>0.01</v>
      </c>
      <c r="D190" s="93">
        <v>1.0628261280000001E7</v>
      </c>
      <c r="E190" s="20">
        <v>242572.0</v>
      </c>
      <c r="F190" s="20">
        <v>363856.0</v>
      </c>
      <c r="G190" s="180" t="s">
        <v>292</v>
      </c>
      <c r="H190" s="180" t="s">
        <v>292</v>
      </c>
      <c r="I190" s="43">
        <f t="shared" si="7"/>
        <v>1.1234689290000001E7</v>
      </c>
    </row>
    <row r="191" spans="8:8">
      <c r="A191" s="3" t="s">
        <v>207</v>
      </c>
      <c r="B191" s="4" t="s">
        <v>196</v>
      </c>
      <c r="C191" s="93">
        <v>0.01</v>
      </c>
      <c r="D191" s="93">
        <v>1.0628261280000001E7</v>
      </c>
      <c r="E191" s="20">
        <v>242572.0</v>
      </c>
      <c r="F191" s="20">
        <v>363856.0</v>
      </c>
      <c r="G191" s="180" t="s">
        <v>292</v>
      </c>
      <c r="H191" s="180" t="s">
        <v>292</v>
      </c>
      <c r="I191" s="43">
        <f t="shared" si="7"/>
        <v>1.1234689290000001E7</v>
      </c>
      <c r="N191" s="233"/>
      <c r="O191" s="76"/>
    </row>
    <row r="192" spans="8:8">
      <c r="A192" s="3" t="s">
        <v>208</v>
      </c>
      <c r="B192" s="4" t="s">
        <v>196</v>
      </c>
      <c r="C192" s="93">
        <v>0.01</v>
      </c>
      <c r="D192" s="93">
        <v>1.0628261280000001E7</v>
      </c>
      <c r="E192" s="20">
        <v>242572.0</v>
      </c>
      <c r="F192" s="20">
        <v>363856.0</v>
      </c>
      <c r="G192" s="180" t="s">
        <v>292</v>
      </c>
      <c r="H192" s="180" t="s">
        <v>292</v>
      </c>
      <c r="I192" s="43">
        <f t="shared" si="7"/>
        <v>1.1234689290000001E7</v>
      </c>
    </row>
    <row r="193" spans="8:8">
      <c r="A193" s="3" t="s">
        <v>209</v>
      </c>
      <c r="B193" s="4" t="s">
        <v>196</v>
      </c>
      <c r="C193" s="93">
        <v>0.01</v>
      </c>
      <c r="D193" s="93">
        <v>1.0628261280000001E7</v>
      </c>
      <c r="E193" s="20">
        <v>242572.0</v>
      </c>
      <c r="F193" s="20">
        <v>363856.0</v>
      </c>
      <c r="G193" s="180" t="s">
        <v>292</v>
      </c>
      <c r="H193" s="180" t="s">
        <v>292</v>
      </c>
      <c r="I193" s="43">
        <f t="shared" si="7"/>
        <v>1.1234689290000001E7</v>
      </c>
    </row>
    <row r="194" spans="8:8">
      <c r="A194" s="3" t="s">
        <v>210</v>
      </c>
      <c r="B194" s="4" t="s">
        <v>196</v>
      </c>
      <c r="C194" s="93">
        <v>0.01</v>
      </c>
      <c r="D194" s="93">
        <v>1.0628261280000001E7</v>
      </c>
      <c r="E194" s="20">
        <v>242572.0</v>
      </c>
      <c r="F194" s="20">
        <v>363856.0</v>
      </c>
      <c r="G194" s="180" t="s">
        <v>292</v>
      </c>
      <c r="H194" s="180" t="s">
        <v>292</v>
      </c>
      <c r="I194" s="43">
        <f t="shared" si="7"/>
        <v>1.1234689290000001E7</v>
      </c>
    </row>
    <row r="195" spans="8:8">
      <c r="A195" s="3" t="s">
        <v>211</v>
      </c>
      <c r="B195" s="4" t="s">
        <v>196</v>
      </c>
      <c r="C195" s="93">
        <v>0.01</v>
      </c>
      <c r="D195" s="93">
        <v>1.0628261280000001E7</v>
      </c>
      <c r="E195" s="20">
        <v>242572.0</v>
      </c>
      <c r="F195" s="20">
        <v>363856.0</v>
      </c>
      <c r="G195" s="180" t="s">
        <v>292</v>
      </c>
      <c r="H195" s="180" t="s">
        <v>292</v>
      </c>
      <c r="I195" s="43">
        <f t="shared" si="7"/>
        <v>1.1234689290000001E7</v>
      </c>
    </row>
    <row r="196" spans="8:8">
      <c r="A196" s="3" t="s">
        <v>212</v>
      </c>
      <c r="B196" s="4" t="s">
        <v>196</v>
      </c>
      <c r="C196" s="93">
        <v>0.01</v>
      </c>
      <c r="D196" s="93">
        <v>1.0628261280000001E7</v>
      </c>
      <c r="E196" s="20">
        <v>242572.0</v>
      </c>
      <c r="F196" s="20">
        <v>363856.0</v>
      </c>
      <c r="G196" s="180" t="s">
        <v>292</v>
      </c>
      <c r="H196" s="180" t="s">
        <v>292</v>
      </c>
      <c r="I196" s="43">
        <f t="shared" si="7"/>
        <v>1.1234689290000001E7</v>
      </c>
    </row>
    <row r="197" spans="8:8">
      <c r="A197" s="3" t="s">
        <v>214</v>
      </c>
      <c r="B197" s="4" t="s">
        <v>196</v>
      </c>
      <c r="C197" s="93">
        <v>0.01</v>
      </c>
      <c r="D197" s="93">
        <v>1.0628261280000001E7</v>
      </c>
      <c r="E197" s="20">
        <v>242572.0</v>
      </c>
      <c r="F197" s="20">
        <v>363856.0</v>
      </c>
      <c r="G197" s="180" t="s">
        <v>292</v>
      </c>
      <c r="H197" s="180" t="s">
        <v>292</v>
      </c>
      <c r="I197" s="43">
        <f t="shared" si="7"/>
        <v>1.1234689290000001E7</v>
      </c>
    </row>
    <row r="198" spans="8:8">
      <c r="A198" s="3" t="s">
        <v>215</v>
      </c>
      <c r="B198" s="4" t="s">
        <v>196</v>
      </c>
      <c r="C198" s="93">
        <v>0.01</v>
      </c>
      <c r="D198" s="93">
        <v>1.0628261280000001E7</v>
      </c>
      <c r="E198" s="20">
        <v>242572.0</v>
      </c>
      <c r="F198" s="20">
        <v>363856.0</v>
      </c>
      <c r="G198" s="180" t="s">
        <v>292</v>
      </c>
      <c r="H198" s="180" t="s">
        <v>292</v>
      </c>
      <c r="I198" s="43">
        <f t="shared" si="7"/>
        <v>1.1234689290000001E7</v>
      </c>
    </row>
    <row r="199" spans="8:8">
      <c r="A199" s="3" t="s">
        <v>216</v>
      </c>
      <c r="B199" s="4" t="s">
        <v>196</v>
      </c>
      <c r="C199" s="93">
        <v>0.01</v>
      </c>
      <c r="D199" s="93">
        <v>1.0628261280000001E7</v>
      </c>
      <c r="E199" s="20">
        <v>242572.0</v>
      </c>
      <c r="F199" s="20">
        <v>363856.0</v>
      </c>
      <c r="G199" s="180" t="s">
        <v>292</v>
      </c>
      <c r="H199" s="180" t="s">
        <v>292</v>
      </c>
      <c r="I199" s="43">
        <f t="shared" si="7"/>
        <v>1.1234689290000001E7</v>
      </c>
    </row>
    <row r="200" spans="8:8">
      <c r="A200" s="3" t="s">
        <v>217</v>
      </c>
      <c r="B200" s="4" t="s">
        <v>196</v>
      </c>
      <c r="C200" s="93">
        <v>0.01</v>
      </c>
      <c r="D200" s="93">
        <v>1.0628261280000001E7</v>
      </c>
      <c r="E200" s="20">
        <v>242572.0</v>
      </c>
      <c r="F200" s="20">
        <v>363856.0</v>
      </c>
      <c r="G200" s="180" t="s">
        <v>292</v>
      </c>
      <c r="H200" s="180" t="s">
        <v>292</v>
      </c>
      <c r="I200" s="43">
        <f t="shared" si="7"/>
        <v>1.1234689290000001E7</v>
      </c>
    </row>
    <row r="201" spans="8:8">
      <c r="A201" s="3" t="s">
        <v>218</v>
      </c>
      <c r="B201" s="4" t="s">
        <v>196</v>
      </c>
      <c r="C201" s="93">
        <v>0.01</v>
      </c>
      <c r="D201" s="93">
        <v>1.0628261280000001E7</v>
      </c>
      <c r="E201" s="20">
        <v>242572.0</v>
      </c>
      <c r="F201" s="20">
        <v>363856.0</v>
      </c>
      <c r="G201" s="180" t="s">
        <v>292</v>
      </c>
      <c r="H201" s="180" t="s">
        <v>292</v>
      </c>
      <c r="I201" s="43">
        <f t="shared" si="7"/>
        <v>1.1234689290000001E7</v>
      </c>
    </row>
    <row r="202" spans="8:8">
      <c r="A202" s="3" t="s">
        <v>219</v>
      </c>
      <c r="B202" s="4" t="s">
        <v>196</v>
      </c>
      <c r="C202" s="93">
        <v>0.01</v>
      </c>
      <c r="D202" s="93">
        <v>1.0628261280000001E7</v>
      </c>
      <c r="E202" s="20">
        <v>242572.0</v>
      </c>
      <c r="F202" s="20">
        <v>363856.0</v>
      </c>
      <c r="G202" s="180" t="s">
        <v>292</v>
      </c>
      <c r="H202" s="180" t="s">
        <v>292</v>
      </c>
      <c r="I202" s="43">
        <f t="shared" si="7"/>
        <v>1.1234689290000001E7</v>
      </c>
    </row>
    <row r="203" spans="8:8">
      <c r="A203" s="3" t="s">
        <v>220</v>
      </c>
      <c r="B203" s="4" t="s">
        <v>196</v>
      </c>
      <c r="C203" s="93">
        <v>0.01</v>
      </c>
      <c r="D203" s="93">
        <v>1.0628261280000001E7</v>
      </c>
      <c r="E203" s="20">
        <v>242572.0</v>
      </c>
      <c r="F203" s="20">
        <v>363856.0</v>
      </c>
      <c r="G203" s="180" t="s">
        <v>292</v>
      </c>
      <c r="H203" s="180" t="s">
        <v>292</v>
      </c>
      <c r="I203" s="43">
        <f t="shared" si="7"/>
        <v>1.1234689290000001E7</v>
      </c>
    </row>
    <row r="204" spans="8:8">
      <c r="A204" s="299" t="s">
        <v>399</v>
      </c>
      <c r="B204" s="4" t="s">
        <v>196</v>
      </c>
      <c r="C204" s="93">
        <v>0.01</v>
      </c>
      <c r="D204" s="93">
        <v>1.0628261280000001E7</v>
      </c>
      <c r="E204" s="20">
        <v>242572.0</v>
      </c>
      <c r="F204" s="20">
        <v>363856.0</v>
      </c>
      <c r="G204" s="180" t="s">
        <v>292</v>
      </c>
      <c r="H204" s="180" t="s">
        <v>292</v>
      </c>
      <c r="I204" s="43">
        <f t="shared" si="7"/>
        <v>1.1234689290000001E7</v>
      </c>
    </row>
    <row r="205" spans="8:8">
      <c r="A205" s="3" t="s">
        <v>222</v>
      </c>
      <c r="B205" s="4" t="s">
        <v>196</v>
      </c>
      <c r="C205" s="93">
        <v>0.01</v>
      </c>
      <c r="D205" s="93">
        <v>2.1256522560000002E7</v>
      </c>
      <c r="E205" s="20">
        <v>242572.0</v>
      </c>
      <c r="F205" s="20">
        <v>363856.0</v>
      </c>
      <c r="G205" s="180" t="s">
        <v>292</v>
      </c>
      <c r="H205" s="180" t="s">
        <v>292</v>
      </c>
      <c r="I205" s="43">
        <f t="shared" si="7"/>
        <v>2.1862950570000004E7</v>
      </c>
    </row>
    <row r="206" spans="8:8">
      <c r="A206" s="3" t="s">
        <v>223</v>
      </c>
      <c r="B206" s="4" t="s">
        <v>196</v>
      </c>
      <c r="C206" s="93">
        <v>0.01</v>
      </c>
      <c r="D206" s="93">
        <v>1.0628261280000001E7</v>
      </c>
      <c r="E206" s="20">
        <v>242572.0</v>
      </c>
      <c r="F206" s="20">
        <v>363856.0</v>
      </c>
      <c r="G206" s="180" t="s">
        <v>292</v>
      </c>
      <c r="H206" s="180" t="s">
        <v>292</v>
      </c>
      <c r="I206" s="43">
        <f t="shared" si="7"/>
        <v>1.1234689290000001E7</v>
      </c>
    </row>
    <row r="207" spans="8:8">
      <c r="A207" s="3" t="s">
        <v>224</v>
      </c>
      <c r="B207" s="4" t="s">
        <v>196</v>
      </c>
      <c r="C207" s="93">
        <v>0.01</v>
      </c>
      <c r="D207" s="93">
        <v>1.0628261280000001E7</v>
      </c>
      <c r="E207" s="20">
        <v>242572.0</v>
      </c>
      <c r="F207" s="20">
        <v>363856.0</v>
      </c>
      <c r="G207" s="180" t="s">
        <v>292</v>
      </c>
      <c r="H207" s="180" t="s">
        <v>292</v>
      </c>
      <c r="I207" s="43">
        <f t="shared" si="7"/>
        <v>1.1234689290000001E7</v>
      </c>
    </row>
    <row r="208" spans="8:8">
      <c r="A208" s="3" t="s">
        <v>225</v>
      </c>
      <c r="B208" s="4" t="s">
        <v>196</v>
      </c>
      <c r="C208" s="93">
        <v>0.01</v>
      </c>
      <c r="D208" s="93">
        <v>1.0628261280000001E7</v>
      </c>
      <c r="E208" s="20">
        <v>242572.0</v>
      </c>
      <c r="F208" s="20">
        <v>363856.0</v>
      </c>
      <c r="G208" s="180" t="s">
        <v>292</v>
      </c>
      <c r="H208" s="180" t="s">
        <v>292</v>
      </c>
      <c r="I208" s="43">
        <f t="shared" si="7"/>
        <v>1.1234689290000001E7</v>
      </c>
    </row>
    <row r="209" spans="8:8">
      <c r="A209" s="298" t="s">
        <v>400</v>
      </c>
      <c r="B209" s="4" t="s">
        <v>196</v>
      </c>
      <c r="C209" s="93">
        <v>0.01</v>
      </c>
      <c r="D209" s="93">
        <v>1.396829616E7</v>
      </c>
      <c r="E209" s="20">
        <v>242572.0</v>
      </c>
      <c r="F209" s="20">
        <v>363856.0</v>
      </c>
      <c r="G209" s="180" t="s">
        <v>292</v>
      </c>
      <c r="H209" s="180" t="s">
        <v>292</v>
      </c>
      <c r="I209" s="43">
        <f t="shared" si="7"/>
        <v>1.457472417E7</v>
      </c>
    </row>
    <row r="210" spans="8:8">
      <c r="A210" s="3" t="s">
        <v>228</v>
      </c>
      <c r="B210" s="4" t="s">
        <v>196</v>
      </c>
      <c r="C210" s="93">
        <v>0.01</v>
      </c>
      <c r="D210" s="93">
        <v>1.0628261280000001E7</v>
      </c>
      <c r="E210" s="20">
        <v>242572.0</v>
      </c>
      <c r="F210" s="20">
        <v>363856.0</v>
      </c>
      <c r="G210" s="180" t="s">
        <v>292</v>
      </c>
      <c r="H210" s="180" t="s">
        <v>292</v>
      </c>
      <c r="I210" s="43">
        <f t="shared" si="7"/>
        <v>1.1234689290000001E7</v>
      </c>
    </row>
    <row r="211" spans="8:8">
      <c r="A211" s="3" t="s">
        <v>229</v>
      </c>
      <c r="B211" s="4" t="s">
        <v>196</v>
      </c>
      <c r="C211" s="93">
        <v>0.01</v>
      </c>
      <c r="D211" s="93">
        <v>1.0628261280000001E7</v>
      </c>
      <c r="E211" s="20">
        <v>242572.0</v>
      </c>
      <c r="F211" s="20">
        <v>363856.0</v>
      </c>
      <c r="G211" s="180" t="s">
        <v>292</v>
      </c>
      <c r="H211" s="180" t="s">
        <v>292</v>
      </c>
      <c r="I211" s="43">
        <f t="shared" si="7"/>
        <v>1.1234689290000001E7</v>
      </c>
    </row>
    <row r="212" spans="8:8">
      <c r="A212" s="3" t="s">
        <v>230</v>
      </c>
      <c r="B212" s="4" t="s">
        <v>196</v>
      </c>
      <c r="C212" s="93">
        <v>0.01</v>
      </c>
      <c r="D212" s="93">
        <v>1.0628261280000001E7</v>
      </c>
      <c r="E212" s="20">
        <v>242572.0</v>
      </c>
      <c r="F212" s="20">
        <v>363856.0</v>
      </c>
      <c r="G212" s="180" t="s">
        <v>292</v>
      </c>
      <c r="H212" s="180" t="s">
        <v>292</v>
      </c>
      <c r="I212" s="43">
        <f t="shared" si="7"/>
        <v>1.1234689290000001E7</v>
      </c>
    </row>
    <row r="213" spans="8:8">
      <c r="A213" s="3" t="s">
        <v>231</v>
      </c>
      <c r="B213" s="4" t="s">
        <v>196</v>
      </c>
      <c r="C213" s="93">
        <v>0.01</v>
      </c>
      <c r="D213" s="93">
        <v>1.0628261280000001E7</v>
      </c>
      <c r="E213" s="20">
        <v>242572.0</v>
      </c>
      <c r="F213" s="20">
        <v>363856.0</v>
      </c>
      <c r="G213" s="180" t="s">
        <v>292</v>
      </c>
      <c r="H213" s="180" t="s">
        <v>292</v>
      </c>
      <c r="I213" s="43">
        <f t="shared" si="7"/>
        <v>1.1234689290000001E7</v>
      </c>
    </row>
    <row r="214" spans="8:8">
      <c r="A214" s="3" t="s">
        <v>232</v>
      </c>
      <c r="B214" s="4" t="s">
        <v>196</v>
      </c>
      <c r="C214" s="93">
        <v>0.01</v>
      </c>
      <c r="D214" s="93">
        <v>1.0628261280000001E7</v>
      </c>
      <c r="E214" s="20">
        <v>242572.0</v>
      </c>
      <c r="F214" s="20">
        <v>363856.0</v>
      </c>
      <c r="G214" s="180" t="s">
        <v>292</v>
      </c>
      <c r="H214" s="180" t="s">
        <v>292</v>
      </c>
      <c r="I214" s="43">
        <f t="shared" si="7"/>
        <v>1.1234689290000001E7</v>
      </c>
    </row>
    <row r="215" spans="8:8">
      <c r="A215" s="3" t="s">
        <v>233</v>
      </c>
      <c r="B215" s="4" t="s">
        <v>196</v>
      </c>
      <c r="C215" s="93">
        <v>0.01</v>
      </c>
      <c r="D215" s="93">
        <v>1.0628261280000001E7</v>
      </c>
      <c r="E215" s="20">
        <v>242572.0</v>
      </c>
      <c r="F215" s="20">
        <v>363856.0</v>
      </c>
      <c r="G215" s="180" t="s">
        <v>292</v>
      </c>
      <c r="H215" s="180" t="s">
        <v>292</v>
      </c>
      <c r="I215" s="43">
        <f t="shared" si="7"/>
        <v>1.1234689290000001E7</v>
      </c>
    </row>
    <row r="216" spans="8:8">
      <c r="A216" s="3" t="s">
        <v>234</v>
      </c>
      <c r="B216" s="4" t="s">
        <v>196</v>
      </c>
      <c r="C216" s="93">
        <v>0.01</v>
      </c>
      <c r="D216" s="93">
        <v>1.0628261280000001E7</v>
      </c>
      <c r="E216" s="20">
        <v>242572.0</v>
      </c>
      <c r="F216" s="20">
        <v>363856.0</v>
      </c>
      <c r="G216" s="180" t="s">
        <v>292</v>
      </c>
      <c r="H216" s="180" t="s">
        <v>292</v>
      </c>
      <c r="I216" s="43">
        <f t="shared" si="7"/>
        <v>1.1234689290000001E7</v>
      </c>
    </row>
    <row r="217" spans="8:8">
      <c r="A217" s="3" t="s">
        <v>235</v>
      </c>
      <c r="B217" s="4" t="s">
        <v>196</v>
      </c>
      <c r="C217" s="93">
        <v>0.01</v>
      </c>
      <c r="D217" s="93">
        <v>1.0628261280000001E7</v>
      </c>
      <c r="E217" s="20">
        <v>242572.0</v>
      </c>
      <c r="F217" s="20">
        <v>363856.0</v>
      </c>
      <c r="G217" s="180" t="s">
        <v>292</v>
      </c>
      <c r="H217" s="180" t="s">
        <v>292</v>
      </c>
      <c r="I217" s="43">
        <f t="shared" si="7"/>
        <v>1.1234689290000001E7</v>
      </c>
    </row>
    <row r="218" spans="8:8">
      <c r="A218" s="3" t="s">
        <v>236</v>
      </c>
      <c r="B218" s="4" t="s">
        <v>196</v>
      </c>
      <c r="C218" s="93">
        <v>0.01</v>
      </c>
      <c r="D218" s="93">
        <v>1.0628261280000001E7</v>
      </c>
      <c r="E218" s="20">
        <v>242572.0</v>
      </c>
      <c r="F218" s="20">
        <v>363856.0</v>
      </c>
      <c r="G218" s="180" t="s">
        <v>292</v>
      </c>
      <c r="H218" s="180" t="s">
        <v>292</v>
      </c>
      <c r="I218" s="43">
        <f t="shared" si="7"/>
        <v>1.1234689290000001E7</v>
      </c>
    </row>
    <row r="219" spans="8:8">
      <c r="A219" s="3" t="s">
        <v>237</v>
      </c>
      <c r="B219" s="4" t="s">
        <v>196</v>
      </c>
      <c r="C219" s="93">
        <v>0.01</v>
      </c>
      <c r="D219" s="93">
        <v>1.0628261280000001E7</v>
      </c>
      <c r="E219" s="20">
        <v>242572.0</v>
      </c>
      <c r="F219" s="20">
        <v>363856.0</v>
      </c>
      <c r="G219" s="180" t="s">
        <v>292</v>
      </c>
      <c r="H219" s="180" t="s">
        <v>292</v>
      </c>
      <c r="I219" s="43">
        <f t="shared" si="7"/>
        <v>1.1234689290000001E7</v>
      </c>
    </row>
    <row r="220" spans="8:8">
      <c r="A220" s="3" t="s">
        <v>238</v>
      </c>
      <c r="B220" s="4" t="s">
        <v>196</v>
      </c>
      <c r="C220" s="93">
        <v>0.01</v>
      </c>
      <c r="D220" s="93">
        <v>1.0628261280000001E7</v>
      </c>
      <c r="E220" s="20">
        <v>242572.0</v>
      </c>
      <c r="F220" s="20">
        <v>363856.0</v>
      </c>
      <c r="G220" s="180" t="s">
        <v>292</v>
      </c>
      <c r="H220" s="180" t="s">
        <v>292</v>
      </c>
      <c r="I220" s="43">
        <f t="shared" si="7"/>
        <v>1.1234689290000001E7</v>
      </c>
    </row>
    <row r="221" spans="8:8">
      <c r="A221" s="3" t="s">
        <v>239</v>
      </c>
      <c r="B221" s="4" t="s">
        <v>196</v>
      </c>
      <c r="C221" s="93">
        <v>0.01</v>
      </c>
      <c r="D221" s="93">
        <v>1.0628261280000001E7</v>
      </c>
      <c r="E221" s="20">
        <v>242572.0</v>
      </c>
      <c r="F221" s="20">
        <v>363856.0</v>
      </c>
      <c r="G221" s="180" t="s">
        <v>292</v>
      </c>
      <c r="H221" s="180" t="s">
        <v>292</v>
      </c>
      <c r="I221" s="43">
        <f t="shared" si="7"/>
        <v>1.1234689290000001E7</v>
      </c>
    </row>
    <row r="222" spans="8:8">
      <c r="A222" s="3" t="s">
        <v>240</v>
      </c>
      <c r="B222" s="4" t="s">
        <v>196</v>
      </c>
      <c r="C222" s="93">
        <v>0.01</v>
      </c>
      <c r="D222" s="93">
        <v>1.0628261280000001E7</v>
      </c>
      <c r="E222" s="20">
        <v>242572.0</v>
      </c>
      <c r="F222" s="20">
        <v>363856.0</v>
      </c>
      <c r="G222" s="180" t="s">
        <v>292</v>
      </c>
      <c r="H222" s="180" t="s">
        <v>292</v>
      </c>
      <c r="I222" s="43">
        <f t="shared" si="7"/>
        <v>1.1234689290000001E7</v>
      </c>
    </row>
    <row r="223" spans="8:8">
      <c r="A223" s="3" t="s">
        <v>241</v>
      </c>
      <c r="B223" s="16" t="s">
        <v>196</v>
      </c>
      <c r="C223" s="93">
        <v>0.01</v>
      </c>
      <c r="D223" s="93">
        <v>1.0628261280000001E7</v>
      </c>
      <c r="E223" s="20">
        <v>242572.0</v>
      </c>
      <c r="F223" s="20">
        <v>363856.0</v>
      </c>
      <c r="G223" s="180" t="s">
        <v>292</v>
      </c>
      <c r="H223" s="180" t="s">
        <v>292</v>
      </c>
      <c r="I223" s="43">
        <f t="shared" si="7"/>
        <v>1.1234689290000001E7</v>
      </c>
    </row>
    <row r="224" spans="8:8">
      <c r="A224" s="3" t="s">
        <v>242</v>
      </c>
      <c r="B224" s="4" t="s">
        <v>196</v>
      </c>
      <c r="C224" s="93">
        <v>0.01</v>
      </c>
      <c r="D224" s="93">
        <v>1.0628261280000001E7</v>
      </c>
      <c r="E224" s="20">
        <v>242572.0</v>
      </c>
      <c r="F224" s="20">
        <v>363856.0</v>
      </c>
      <c r="G224" s="180" t="s">
        <v>292</v>
      </c>
      <c r="H224" s="180" t="s">
        <v>292</v>
      </c>
      <c r="I224" s="43">
        <f t="shared" si="7"/>
        <v>1.1234689290000001E7</v>
      </c>
    </row>
    <row r="225" spans="8:8">
      <c r="A225" s="3" t="s">
        <v>243</v>
      </c>
      <c r="B225" s="4" t="s">
        <v>196</v>
      </c>
      <c r="C225" s="93">
        <v>0.01</v>
      </c>
      <c r="D225" s="93">
        <v>1.0628261280000001E7</v>
      </c>
      <c r="E225" s="20">
        <v>242572.0</v>
      </c>
      <c r="F225" s="20">
        <v>363856.0</v>
      </c>
      <c r="G225" s="180" t="s">
        <v>292</v>
      </c>
      <c r="H225" s="180" t="s">
        <v>292</v>
      </c>
      <c r="I225" s="43">
        <f t="shared" si="7"/>
        <v>1.1234689290000001E7</v>
      </c>
      <c r="J225" s="49"/>
    </row>
    <row r="226" spans="8:8" s="49" ht="15.0" customFormat="1">
      <c r="A226" s="3" t="s">
        <v>244</v>
      </c>
      <c r="B226" s="4" t="s">
        <v>196</v>
      </c>
      <c r="C226" s="93">
        <v>0.01</v>
      </c>
      <c r="D226" s="93">
        <v>1.0628261280000001E7</v>
      </c>
      <c r="E226" s="20">
        <v>242572.0</v>
      </c>
      <c r="F226" s="20">
        <v>363856.0</v>
      </c>
      <c r="G226" s="180" t="s">
        <v>292</v>
      </c>
      <c r="H226" s="180" t="s">
        <v>292</v>
      </c>
      <c r="I226" s="241">
        <f t="shared" si="7"/>
        <v>1.1234689290000001E7</v>
      </c>
      <c r="J226" s="39"/>
    </row>
    <row r="227" spans="8:8">
      <c r="A227" s="3" t="s">
        <v>246</v>
      </c>
      <c r="B227" s="4" t="s">
        <v>196</v>
      </c>
      <c r="C227" s="93">
        <v>0.01</v>
      </c>
      <c r="D227" s="93">
        <v>1.0628261280000001E7</v>
      </c>
      <c r="E227" s="20">
        <v>242572.0</v>
      </c>
      <c r="F227" s="20">
        <v>363856.0</v>
      </c>
      <c r="G227" s="180" t="s">
        <v>292</v>
      </c>
      <c r="H227" s="180" t="s">
        <v>292</v>
      </c>
      <c r="I227" s="43">
        <f t="shared" si="7"/>
        <v>1.1234689290000001E7</v>
      </c>
    </row>
    <row r="228" spans="8:8">
      <c r="A228" s="3" t="s">
        <v>247</v>
      </c>
      <c r="B228" s="4" t="s">
        <v>196</v>
      </c>
      <c r="C228" s="93">
        <v>0.01</v>
      </c>
      <c r="D228" s="93">
        <v>1.0628261280000001E7</v>
      </c>
      <c r="E228" s="20">
        <v>242572.0</v>
      </c>
      <c r="F228" s="20">
        <v>363856.0</v>
      </c>
      <c r="G228" s="180" t="s">
        <v>292</v>
      </c>
      <c r="H228" s="180" t="s">
        <v>292</v>
      </c>
      <c r="I228" s="43">
        <f t="shared" si="7"/>
        <v>1.1234689290000001E7</v>
      </c>
    </row>
    <row r="229" spans="8:8">
      <c r="A229" s="3" t="s">
        <v>248</v>
      </c>
      <c r="B229" s="4" t="s">
        <v>196</v>
      </c>
      <c r="C229" s="93">
        <v>0.01</v>
      </c>
      <c r="D229" s="93">
        <v>1.0628261280000001E7</v>
      </c>
      <c r="E229" s="20">
        <v>242572.0</v>
      </c>
      <c r="F229" s="20">
        <v>363856.0</v>
      </c>
      <c r="G229" s="180" t="s">
        <v>292</v>
      </c>
      <c r="H229" s="180" t="s">
        <v>292</v>
      </c>
      <c r="I229" s="43">
        <f t="shared" si="7"/>
        <v>1.1234689290000001E7</v>
      </c>
    </row>
    <row r="230" spans="8:8">
      <c r="A230" s="3" t="s">
        <v>249</v>
      </c>
      <c r="B230" s="4" t="s">
        <v>196</v>
      </c>
      <c r="C230" s="93">
        <v>0.01</v>
      </c>
      <c r="D230" s="93">
        <v>1.0628261280000001E7</v>
      </c>
      <c r="E230" s="20">
        <v>242572.0</v>
      </c>
      <c r="F230" s="20">
        <v>363856.0</v>
      </c>
      <c r="G230" s="180" t="s">
        <v>292</v>
      </c>
      <c r="H230" s="180" t="s">
        <v>292</v>
      </c>
      <c r="I230" s="43">
        <f t="shared" si="7"/>
        <v>1.1234689290000001E7</v>
      </c>
    </row>
    <row r="231" spans="8:8">
      <c r="A231" s="3" t="s">
        <v>250</v>
      </c>
      <c r="B231" s="4" t="s">
        <v>196</v>
      </c>
      <c r="C231" s="93">
        <v>0.01</v>
      </c>
      <c r="D231" s="93">
        <v>1.0628261280000001E7</v>
      </c>
      <c r="E231" s="20">
        <v>242572.0</v>
      </c>
      <c r="F231" s="20">
        <v>363856.0</v>
      </c>
      <c r="G231" s="180" t="s">
        <v>292</v>
      </c>
      <c r="H231" s="180" t="s">
        <v>292</v>
      </c>
      <c r="I231" s="43">
        <f t="shared" si="7"/>
        <v>1.1234689290000001E7</v>
      </c>
    </row>
    <row r="232" spans="8:8">
      <c r="A232" s="3" t="s">
        <v>251</v>
      </c>
      <c r="B232" s="4" t="s">
        <v>196</v>
      </c>
      <c r="C232" s="93">
        <v>0.01</v>
      </c>
      <c r="D232" s="93">
        <v>1.0628261280000001E7</v>
      </c>
      <c r="E232" s="20">
        <v>242572.0</v>
      </c>
      <c r="F232" s="20">
        <v>363856.0</v>
      </c>
      <c r="G232" s="180" t="s">
        <v>292</v>
      </c>
      <c r="H232" s="180" t="s">
        <v>292</v>
      </c>
      <c r="I232" s="43">
        <f t="shared" si="7"/>
        <v>1.1234689290000001E7</v>
      </c>
    </row>
    <row r="233" spans="8:8">
      <c r="A233" s="3" t="s">
        <v>252</v>
      </c>
      <c r="B233" s="4" t="s">
        <v>196</v>
      </c>
      <c r="C233" s="93">
        <v>0.01</v>
      </c>
      <c r="D233" s="93">
        <v>1.0628261280000001E7</v>
      </c>
      <c r="E233" s="20">
        <v>242572.0</v>
      </c>
      <c r="F233" s="20">
        <v>363856.0</v>
      </c>
      <c r="G233" s="180" t="s">
        <v>292</v>
      </c>
      <c r="H233" s="180" t="s">
        <v>292</v>
      </c>
      <c r="I233" s="43">
        <f t="shared" si="7"/>
        <v>1.1234689290000001E7</v>
      </c>
    </row>
    <row r="234" spans="8:8" ht="15.75">
      <c r="A234" s="298" t="s">
        <v>401</v>
      </c>
      <c r="B234" s="4" t="s">
        <v>196</v>
      </c>
      <c r="C234" s="93">
        <v>0.01</v>
      </c>
      <c r="D234" s="93">
        <v>1.0628261280000001E7</v>
      </c>
      <c r="E234" s="20">
        <v>242572.0</v>
      </c>
      <c r="F234" s="20">
        <v>363856.0</v>
      </c>
      <c r="G234" s="180" t="s">
        <v>292</v>
      </c>
      <c r="H234" s="180" t="s">
        <v>292</v>
      </c>
      <c r="I234" s="43">
        <f t="shared" si="7"/>
        <v>1.1234689290000001E7</v>
      </c>
    </row>
    <row r="235" spans="8:8">
      <c r="A235" s="3" t="s">
        <v>254</v>
      </c>
      <c r="B235" s="4" t="s">
        <v>196</v>
      </c>
      <c r="C235" s="93">
        <v>0.01</v>
      </c>
      <c r="D235" s="93">
        <v>1.0628261280000001E7</v>
      </c>
      <c r="E235" s="20">
        <v>242572.0</v>
      </c>
      <c r="F235" s="20">
        <v>363856.0</v>
      </c>
      <c r="G235" s="180" t="s">
        <v>292</v>
      </c>
      <c r="H235" s="180" t="s">
        <v>292</v>
      </c>
      <c r="I235" s="43">
        <f t="shared" si="7"/>
        <v>1.1234689290000001E7</v>
      </c>
    </row>
    <row r="236" spans="8:8">
      <c r="A236" s="3" t="s">
        <v>255</v>
      </c>
      <c r="B236" s="4" t="s">
        <v>196</v>
      </c>
      <c r="C236" s="93">
        <v>0.01</v>
      </c>
      <c r="D236" s="93">
        <v>1.0628261280000001E7</v>
      </c>
      <c r="E236" s="20">
        <v>242572.0</v>
      </c>
      <c r="F236" s="20">
        <v>363856.0</v>
      </c>
      <c r="G236" s="180" t="s">
        <v>292</v>
      </c>
      <c r="H236" s="180" t="s">
        <v>292</v>
      </c>
      <c r="I236" s="43">
        <f t="shared" si="7"/>
        <v>1.1234689290000001E7</v>
      </c>
    </row>
    <row r="237" spans="8:8">
      <c r="A237" s="3" t="s">
        <v>256</v>
      </c>
      <c r="B237" s="4" t="s">
        <v>196</v>
      </c>
      <c r="C237" s="93">
        <v>0.01</v>
      </c>
      <c r="D237" s="93">
        <v>1.0628261280000001E7</v>
      </c>
      <c r="E237" s="20">
        <v>242572.0</v>
      </c>
      <c r="F237" s="20">
        <v>363856.0</v>
      </c>
      <c r="G237" s="180" t="s">
        <v>292</v>
      </c>
      <c r="H237" s="180" t="s">
        <v>292</v>
      </c>
      <c r="I237" s="43">
        <f t="shared" si="7"/>
        <v>1.1234689290000001E7</v>
      </c>
    </row>
    <row r="238" spans="8:8">
      <c r="A238" s="3" t="s">
        <v>257</v>
      </c>
      <c r="B238" s="4" t="s">
        <v>196</v>
      </c>
      <c r="C238" s="93">
        <v>0.01</v>
      </c>
      <c r="D238" s="93">
        <v>1.0628261280000001E7</v>
      </c>
      <c r="E238" s="20">
        <v>242572.0</v>
      </c>
      <c r="F238" s="20">
        <v>363856.0</v>
      </c>
      <c r="G238" s="180" t="s">
        <v>292</v>
      </c>
      <c r="H238" s="180" t="s">
        <v>292</v>
      </c>
      <c r="I238" s="43">
        <f t="shared" si="7"/>
        <v>1.1234689290000001E7</v>
      </c>
    </row>
    <row r="239" spans="8:8">
      <c r="A239" s="3" t="s">
        <v>258</v>
      </c>
      <c r="B239" s="4" t="s">
        <v>196</v>
      </c>
      <c r="C239" s="93">
        <v>0.01</v>
      </c>
      <c r="D239" s="93">
        <v>1.0628261280000001E7</v>
      </c>
      <c r="E239" s="20">
        <v>242572.0</v>
      </c>
      <c r="F239" s="20">
        <v>363856.0</v>
      </c>
      <c r="G239" s="180" t="s">
        <v>292</v>
      </c>
      <c r="H239" s="180" t="s">
        <v>292</v>
      </c>
      <c r="I239" s="43">
        <f t="shared" si="7"/>
        <v>1.1234689290000001E7</v>
      </c>
    </row>
    <row r="240" spans="8:8">
      <c r="A240" s="3" t="s">
        <v>259</v>
      </c>
      <c r="B240" s="4" t="s">
        <v>196</v>
      </c>
      <c r="C240" s="93">
        <v>0.01</v>
      </c>
      <c r="D240" s="93">
        <v>1.0628261280000001E7</v>
      </c>
      <c r="E240" s="20">
        <v>242572.0</v>
      </c>
      <c r="F240" s="20">
        <v>363856.0</v>
      </c>
      <c r="G240" s="180" t="s">
        <v>292</v>
      </c>
      <c r="H240" s="180" t="s">
        <v>292</v>
      </c>
      <c r="I240" s="43">
        <f t="shared" si="7"/>
        <v>1.1234689290000001E7</v>
      </c>
    </row>
    <row r="241" spans="8:8">
      <c r="A241" s="3" t="s">
        <v>260</v>
      </c>
      <c r="B241" s="4" t="s">
        <v>196</v>
      </c>
      <c r="C241" s="93">
        <v>5429622.4944</v>
      </c>
      <c r="D241" s="93">
        <v>1.2765497472E7</v>
      </c>
      <c r="E241" s="20">
        <v>242572.0</v>
      </c>
      <c r="F241" s="20">
        <v>363856.0</v>
      </c>
      <c r="G241" s="180" t="s">
        <v>292</v>
      </c>
      <c r="H241" s="180" t="s">
        <v>292</v>
      </c>
      <c r="I241" s="43">
        <f t="shared" si="7"/>
        <v>1.8801547966399997E7</v>
      </c>
    </row>
    <row r="242" spans="8:8">
      <c r="A242" s="3" t="s">
        <v>262</v>
      </c>
      <c r="B242" s="4" t="s">
        <v>196</v>
      </c>
      <c r="C242" s="93">
        <v>0.01</v>
      </c>
      <c r="D242" s="93">
        <v>1.2753913535999998E7</v>
      </c>
      <c r="E242" s="20">
        <v>242572.0</v>
      </c>
      <c r="F242" s="20">
        <v>363856.0</v>
      </c>
      <c r="G242" s="180" t="s">
        <v>292</v>
      </c>
      <c r="H242" s="180" t="s">
        <v>292</v>
      </c>
      <c r="I242" s="43">
        <f t="shared" si="7"/>
        <v>1.3360341545999998E7</v>
      </c>
    </row>
    <row r="243" spans="8:8">
      <c r="A243" s="3" t="s">
        <v>265</v>
      </c>
      <c r="B243" s="4" t="s">
        <v>196</v>
      </c>
      <c r="C243" s="93">
        <v>0.01</v>
      </c>
      <c r="D243" s="93">
        <v>1.0628261280000001E7</v>
      </c>
      <c r="E243" s="20">
        <v>242572.0</v>
      </c>
      <c r="F243" s="20">
        <v>363856.0</v>
      </c>
      <c r="G243" s="180" t="s">
        <v>292</v>
      </c>
      <c r="H243" s="180" t="s">
        <v>292</v>
      </c>
      <c r="I243" s="43">
        <f t="shared" si="7"/>
        <v>1.1234689290000001E7</v>
      </c>
    </row>
    <row r="244" spans="8:8">
      <c r="A244" s="3" t="s">
        <v>266</v>
      </c>
      <c r="B244" s="4" t="s">
        <v>196</v>
      </c>
      <c r="C244" s="93">
        <v>0.01</v>
      </c>
      <c r="D244" s="93">
        <v>1.0628261280000001E7</v>
      </c>
      <c r="E244" s="20">
        <v>242572.0</v>
      </c>
      <c r="F244" s="20">
        <v>363856.0</v>
      </c>
      <c r="G244" s="180" t="s">
        <v>292</v>
      </c>
      <c r="H244" s="180" t="s">
        <v>292</v>
      </c>
      <c r="I244" s="43">
        <f t="shared" si="7"/>
        <v>1.1234689290000001E7</v>
      </c>
    </row>
    <row r="245" spans="8:8">
      <c r="A245" s="3" t="s">
        <v>267</v>
      </c>
      <c r="B245" s="4" t="s">
        <v>196</v>
      </c>
      <c r="C245" s="93">
        <v>0.01</v>
      </c>
      <c r="D245" s="93">
        <v>1.0628261280000001E7</v>
      </c>
      <c r="E245" s="20">
        <v>242572.0</v>
      </c>
      <c r="F245" s="20">
        <v>363856.0</v>
      </c>
      <c r="G245" s="180" t="s">
        <v>292</v>
      </c>
      <c r="H245" s="180" t="s">
        <v>292</v>
      </c>
      <c r="I245" s="43">
        <f t="shared" si="7"/>
        <v>1.1234689290000001E7</v>
      </c>
    </row>
    <row r="246" spans="8:8">
      <c r="A246" s="3" t="s">
        <v>268</v>
      </c>
      <c r="B246" s="4" t="s">
        <v>196</v>
      </c>
      <c r="C246" s="93">
        <v>0.01</v>
      </c>
      <c r="D246" s="93">
        <v>1.0628261280000001E7</v>
      </c>
      <c r="E246" s="20">
        <v>242572.0</v>
      </c>
      <c r="F246" s="20">
        <v>363856.0</v>
      </c>
      <c r="G246" s="180" t="s">
        <v>292</v>
      </c>
      <c r="H246" s="180" t="s">
        <v>292</v>
      </c>
      <c r="I246" s="43">
        <f t="shared" si="7"/>
        <v>1.1234689290000001E7</v>
      </c>
    </row>
    <row r="247" spans="8:8">
      <c r="A247" s="3" t="s">
        <v>269</v>
      </c>
      <c r="B247" s="4" t="s">
        <v>196</v>
      </c>
      <c r="C247" s="93">
        <v>0.01</v>
      </c>
      <c r="D247" s="93">
        <v>1.0628261280000001E7</v>
      </c>
      <c r="E247" s="20">
        <v>242572.0</v>
      </c>
      <c r="F247" s="20">
        <v>363856.0</v>
      </c>
      <c r="G247" s="180" t="s">
        <v>292</v>
      </c>
      <c r="H247" s="180" t="s">
        <v>292</v>
      </c>
      <c r="I247" s="43">
        <f t="shared" si="8" ref="I247:I266">SUM(C247:F247)</f>
        <v>1.1234689290000001E7</v>
      </c>
    </row>
    <row r="248" spans="8:8">
      <c r="A248" s="3" t="s">
        <v>270</v>
      </c>
      <c r="B248" s="4" t="s">
        <v>196</v>
      </c>
      <c r="C248" s="93">
        <v>0.01</v>
      </c>
      <c r="D248" s="93">
        <v>1.0628261280000001E7</v>
      </c>
      <c r="E248" s="20">
        <v>242572.0</v>
      </c>
      <c r="F248" s="20">
        <v>363856.0</v>
      </c>
      <c r="G248" s="180" t="s">
        <v>292</v>
      </c>
      <c r="H248" s="180" t="s">
        <v>292</v>
      </c>
      <c r="I248" s="43">
        <f t="shared" si="8"/>
        <v>1.1234689290000001E7</v>
      </c>
    </row>
    <row r="249" spans="8:8">
      <c r="A249" s="3" t="s">
        <v>271</v>
      </c>
      <c r="B249" s="4" t="s">
        <v>196</v>
      </c>
      <c r="C249" s="93">
        <v>0.01</v>
      </c>
      <c r="D249" s="93">
        <v>1.0628261280000001E7</v>
      </c>
      <c r="E249" s="20">
        <v>242572.0</v>
      </c>
      <c r="F249" s="20">
        <v>363856.0</v>
      </c>
      <c r="G249" s="180" t="s">
        <v>292</v>
      </c>
      <c r="H249" s="180" t="s">
        <v>292</v>
      </c>
      <c r="I249" s="43">
        <f t="shared" si="8"/>
        <v>1.1234689290000001E7</v>
      </c>
    </row>
    <row r="250" spans="8:8">
      <c r="A250" s="3" t="s">
        <v>272</v>
      </c>
      <c r="B250" s="4" t="s">
        <v>196</v>
      </c>
      <c r="C250" s="93">
        <v>0.01</v>
      </c>
      <c r="D250" s="93">
        <v>1.0628261280000001E7</v>
      </c>
      <c r="E250" s="20">
        <v>242572.0</v>
      </c>
      <c r="F250" s="20">
        <v>363856.0</v>
      </c>
      <c r="G250" s="180" t="s">
        <v>292</v>
      </c>
      <c r="H250" s="180" t="s">
        <v>292</v>
      </c>
      <c r="I250" s="43">
        <f t="shared" si="8"/>
        <v>1.1234689290000001E7</v>
      </c>
    </row>
    <row r="251" spans="8:8">
      <c r="A251" s="3" t="s">
        <v>273</v>
      </c>
      <c r="B251" s="4" t="s">
        <v>196</v>
      </c>
      <c r="C251" s="93">
        <v>0.01</v>
      </c>
      <c r="D251" s="93">
        <v>1.0628261280000001E7</v>
      </c>
      <c r="E251" s="20">
        <v>242572.0</v>
      </c>
      <c r="F251" s="20">
        <v>363856.0</v>
      </c>
      <c r="G251" s="180" t="s">
        <v>292</v>
      </c>
      <c r="H251" s="180" t="s">
        <v>292</v>
      </c>
      <c r="I251" s="43">
        <f t="shared" si="8"/>
        <v>1.1234689290000001E7</v>
      </c>
    </row>
    <row r="252" spans="8:8">
      <c r="A252" s="3" t="s">
        <v>274</v>
      </c>
      <c r="B252" s="4" t="s">
        <v>196</v>
      </c>
      <c r="C252" s="93">
        <v>0.01</v>
      </c>
      <c r="D252" s="93">
        <v>1.0628261280000001E7</v>
      </c>
      <c r="E252" s="20">
        <v>242572.0</v>
      </c>
      <c r="F252" s="20">
        <v>363856.0</v>
      </c>
      <c r="G252" s="180" t="s">
        <v>292</v>
      </c>
      <c r="H252" s="180" t="s">
        <v>292</v>
      </c>
      <c r="I252" s="43">
        <f t="shared" si="8"/>
        <v>1.1234689290000001E7</v>
      </c>
    </row>
    <row r="253" spans="8:8">
      <c r="A253" s="3" t="s">
        <v>275</v>
      </c>
      <c r="B253" s="4" t="s">
        <v>196</v>
      </c>
      <c r="C253" s="93">
        <v>0.01</v>
      </c>
      <c r="D253" s="93">
        <v>1.0628261280000001E7</v>
      </c>
      <c r="E253" s="20">
        <v>242572.0</v>
      </c>
      <c r="F253" s="20">
        <v>363856.0</v>
      </c>
      <c r="G253" s="180" t="s">
        <v>292</v>
      </c>
      <c r="H253" s="180" t="s">
        <v>292</v>
      </c>
      <c r="I253" s="43">
        <f t="shared" si="8"/>
        <v>1.1234689290000001E7</v>
      </c>
    </row>
    <row r="254" spans="8:8">
      <c r="A254" s="3" t="s">
        <v>276</v>
      </c>
      <c r="B254" s="4" t="s">
        <v>196</v>
      </c>
      <c r="C254" s="93">
        <v>0.01</v>
      </c>
      <c r="D254" s="93">
        <v>1.0628261280000001E7</v>
      </c>
      <c r="E254" s="20">
        <v>242572.0</v>
      </c>
      <c r="F254" s="20">
        <v>363856.0</v>
      </c>
      <c r="G254" s="180" t="s">
        <v>292</v>
      </c>
      <c r="H254" s="180" t="s">
        <v>292</v>
      </c>
      <c r="I254" s="43">
        <f t="shared" si="8"/>
        <v>1.1234689290000001E7</v>
      </c>
    </row>
    <row r="255" spans="8:8">
      <c r="A255" s="15" t="s">
        <v>277</v>
      </c>
      <c r="B255" s="4" t="s">
        <v>196</v>
      </c>
      <c r="C255" s="93">
        <v>0.01</v>
      </c>
      <c r="D255" s="93">
        <v>1.0628261280000001E7</v>
      </c>
      <c r="E255" s="20">
        <v>242572.0</v>
      </c>
      <c r="F255" s="20">
        <v>363856.0</v>
      </c>
      <c r="G255" s="180" t="s">
        <v>292</v>
      </c>
      <c r="H255" s="180" t="s">
        <v>292</v>
      </c>
      <c r="I255" s="43">
        <f t="shared" si="8"/>
        <v>1.1234689290000001E7</v>
      </c>
    </row>
    <row r="256" spans="8:8">
      <c r="A256" s="3" t="s">
        <v>280</v>
      </c>
      <c r="B256" s="4" t="s">
        <v>196</v>
      </c>
      <c r="C256" s="93">
        <v>5429622.481920001</v>
      </c>
      <c r="D256" s="93">
        <v>1.2765497472E7</v>
      </c>
      <c r="E256" s="20">
        <v>242572.0</v>
      </c>
      <c r="F256" s="20">
        <v>363856.0</v>
      </c>
      <c r="G256" s="180" t="s">
        <v>292</v>
      </c>
      <c r="H256" s="180" t="s">
        <v>292</v>
      </c>
      <c r="I256" s="43">
        <f t="shared" si="8"/>
        <v>1.880154795392E7</v>
      </c>
    </row>
    <row r="257" spans="8:8">
      <c r="A257" s="207" t="s">
        <v>281</v>
      </c>
      <c r="B257" s="208" t="s">
        <v>282</v>
      </c>
      <c r="C257" s="243">
        <v>1.0E7</v>
      </c>
      <c r="D257" s="218" t="s">
        <v>292</v>
      </c>
      <c r="E257" s="180" t="s">
        <v>292</v>
      </c>
      <c r="F257" s="180" t="s">
        <v>292</v>
      </c>
      <c r="G257" s="180" t="s">
        <v>292</v>
      </c>
      <c r="H257" s="180" t="s">
        <v>292</v>
      </c>
      <c r="I257" s="210">
        <f t="shared" si="8"/>
        <v>1.0E7</v>
      </c>
    </row>
    <row r="258" spans="8:8">
      <c r="A258" s="207" t="s">
        <v>283</v>
      </c>
      <c r="B258" s="208" t="s">
        <v>282</v>
      </c>
      <c r="C258" s="243">
        <v>1.0E7</v>
      </c>
      <c r="D258" s="218" t="s">
        <v>292</v>
      </c>
      <c r="E258" s="180" t="s">
        <v>292</v>
      </c>
      <c r="F258" s="180" t="s">
        <v>292</v>
      </c>
      <c r="G258" s="180" t="s">
        <v>292</v>
      </c>
      <c r="H258" s="180" t="s">
        <v>292</v>
      </c>
      <c r="I258" s="210">
        <f t="shared" si="8"/>
        <v>1.0E7</v>
      </c>
    </row>
    <row r="259" spans="8:8">
      <c r="A259" s="207" t="s">
        <v>284</v>
      </c>
      <c r="B259" s="208" t="s">
        <v>285</v>
      </c>
      <c r="C259" s="211">
        <v>80000.0</v>
      </c>
      <c r="D259" s="218" t="s">
        <v>292</v>
      </c>
      <c r="E259" s="180" t="s">
        <v>292</v>
      </c>
      <c r="F259" s="180" t="s">
        <v>292</v>
      </c>
      <c r="G259" s="180" t="s">
        <v>292</v>
      </c>
      <c r="H259" s="180" t="s">
        <v>292</v>
      </c>
      <c r="I259" s="210">
        <f t="shared" si="8"/>
        <v>80000.0</v>
      </c>
    </row>
    <row r="260" spans="8:8">
      <c r="A260" s="207" t="s">
        <v>286</v>
      </c>
      <c r="B260" s="208" t="s">
        <v>285</v>
      </c>
      <c r="C260" s="211">
        <v>120800.0</v>
      </c>
      <c r="D260" s="218" t="s">
        <v>292</v>
      </c>
      <c r="E260" s="180" t="s">
        <v>292</v>
      </c>
      <c r="F260" s="180" t="s">
        <v>292</v>
      </c>
      <c r="G260" s="180" t="s">
        <v>292</v>
      </c>
      <c r="H260" s="180" t="s">
        <v>292</v>
      </c>
      <c r="I260" s="210">
        <f t="shared" si="8"/>
        <v>120800.0</v>
      </c>
    </row>
    <row r="261" spans="8:8">
      <c r="A261" s="15" t="s">
        <v>4</v>
      </c>
      <c r="B261" s="16" t="s">
        <v>285</v>
      </c>
      <c r="C261" s="20">
        <v>242572.0</v>
      </c>
      <c r="D261" s="218" t="s">
        <v>292</v>
      </c>
      <c r="E261" s="180" t="s">
        <v>292</v>
      </c>
      <c r="F261" s="180" t="s">
        <v>292</v>
      </c>
      <c r="G261" s="180" t="s">
        <v>292</v>
      </c>
      <c r="H261" s="180" t="s">
        <v>292</v>
      </c>
      <c r="I261" s="210">
        <f t="shared" si="8"/>
        <v>242572.0</v>
      </c>
    </row>
    <row r="262" spans="8:8">
      <c r="A262" s="15" t="s">
        <v>406</v>
      </c>
      <c r="B262" s="16" t="s">
        <v>285</v>
      </c>
      <c r="C262" s="20">
        <v>950000.0</v>
      </c>
      <c r="D262" s="218" t="s">
        <v>292</v>
      </c>
      <c r="E262" s="180" t="s">
        <v>292</v>
      </c>
      <c r="F262" s="180" t="s">
        <v>292</v>
      </c>
      <c r="G262" s="180" t="s">
        <v>292</v>
      </c>
      <c r="H262" s="180" t="s">
        <v>292</v>
      </c>
      <c r="I262" s="210">
        <f t="shared" si="8"/>
        <v>950000.0</v>
      </c>
    </row>
    <row r="263" spans="8:8">
      <c r="A263" s="15" t="s">
        <v>319</v>
      </c>
      <c r="B263" s="16" t="s">
        <v>285</v>
      </c>
      <c r="C263" s="20">
        <v>440000.0</v>
      </c>
      <c r="D263" s="218" t="s">
        <v>292</v>
      </c>
      <c r="E263" s="180" t="s">
        <v>292</v>
      </c>
      <c r="F263" s="180" t="s">
        <v>292</v>
      </c>
      <c r="G263" s="180" t="s">
        <v>292</v>
      </c>
      <c r="H263" s="180" t="s">
        <v>292</v>
      </c>
      <c r="I263" s="210">
        <f t="shared" si="8"/>
        <v>440000.0</v>
      </c>
    </row>
    <row r="264" spans="8:8">
      <c r="A264" s="15" t="s">
        <v>5</v>
      </c>
      <c r="B264" s="16" t="s">
        <v>285</v>
      </c>
      <c r="C264" s="20">
        <v>363856.0</v>
      </c>
      <c r="D264" s="218" t="s">
        <v>292</v>
      </c>
      <c r="E264" s="180" t="s">
        <v>292</v>
      </c>
      <c r="F264" s="180" t="s">
        <v>292</v>
      </c>
      <c r="G264" s="180" t="s">
        <v>292</v>
      </c>
      <c r="H264" s="180" t="s">
        <v>292</v>
      </c>
      <c r="I264" s="210">
        <f t="shared" si="8"/>
        <v>363856.0</v>
      </c>
    </row>
    <row r="265" spans="8:8">
      <c r="A265" s="15" t="s">
        <v>288</v>
      </c>
      <c r="B265" s="16" t="s">
        <v>285</v>
      </c>
      <c r="C265" s="20">
        <v>1212848.0</v>
      </c>
      <c r="D265" s="218" t="s">
        <v>292</v>
      </c>
      <c r="E265" s="180" t="s">
        <v>292</v>
      </c>
      <c r="F265" s="180" t="s">
        <v>292</v>
      </c>
      <c r="G265" s="180" t="s">
        <v>292</v>
      </c>
      <c r="H265" s="180" t="s">
        <v>292</v>
      </c>
      <c r="I265" s="210">
        <f t="shared" si="8"/>
        <v>1212848.0</v>
      </c>
    </row>
    <row r="266" spans="8:8">
      <c r="A266" s="207" t="s">
        <v>291</v>
      </c>
      <c r="B266" s="208" t="s">
        <v>290</v>
      </c>
      <c r="C266" s="93">
        <v>4314731.01696</v>
      </c>
      <c r="D266" s="93">
        <v>4314731.01696</v>
      </c>
      <c r="E266" s="17">
        <v>242572.0</v>
      </c>
      <c r="F266" s="17">
        <v>363856.0</v>
      </c>
      <c r="G266" s="180" t="s">
        <v>292</v>
      </c>
      <c r="H266" s="180" t="s">
        <v>292</v>
      </c>
      <c r="I266" s="210">
        <f t="shared" si="8"/>
        <v>9235890.03392</v>
      </c>
    </row>
    <row r="267" spans="8:8">
      <c r="B267" s="71"/>
      <c r="C267" s="161"/>
      <c r="D267" s="161"/>
      <c r="E267" s="191"/>
    </row>
    <row r="268" spans="8:8">
      <c r="B268" s="71"/>
      <c r="C268" s="161"/>
      <c r="D268" s="161"/>
      <c r="E268" s="191"/>
    </row>
    <row r="269" spans="8:8">
      <c r="E269" s="191"/>
    </row>
    <row r="272" spans="8:8">
      <c r="A272" s="38" t="s">
        <v>351</v>
      </c>
    </row>
    <row r="275" spans="8:8">
      <c r="D275" s="233"/>
    </row>
    <row r="281" spans="8:8">
      <c r="J281" s="49"/>
    </row>
    <row r="282" spans="8:8" s="49" ht="15.0" customFormat="1">
      <c r="A282" s="38"/>
      <c r="B282" s="39"/>
      <c r="C282" s="40"/>
      <c r="D282" s="40"/>
      <c r="E282" s="163"/>
      <c r="F282" s="163"/>
      <c r="G282" s="163"/>
      <c r="H282" s="163"/>
      <c r="I282" s="161"/>
    </row>
    <row r="290" spans="8:8" s="49" ht="15.0" customFormat="1">
      <c r="A290" s="38"/>
      <c r="B290" s="39"/>
      <c r="C290" s="40"/>
      <c r="D290" s="40"/>
      <c r="E290" s="163"/>
      <c r="F290" s="163"/>
      <c r="G290" s="163"/>
      <c r="H290" s="163"/>
      <c r="I290" s="161"/>
    </row>
    <row r="293" spans="8:8" s="49" ht="15.0" customFormat="1">
      <c r="A293" s="38"/>
      <c r="B293" s="39"/>
      <c r="C293" s="40"/>
      <c r="D293" s="40"/>
      <c r="E293" s="163"/>
      <c r="F293" s="163"/>
      <c r="G293" s="163"/>
      <c r="H293" s="163"/>
      <c r="I293" s="161"/>
    </row>
    <row r="294" spans="8:8" s="49" ht="15.0" customFormat="1">
      <c r="A294" s="38"/>
      <c r="B294" s="39"/>
      <c r="C294" s="40"/>
      <c r="D294" s="40"/>
      <c r="E294" s="163"/>
      <c r="F294" s="163"/>
      <c r="G294" s="163"/>
      <c r="H294" s="163"/>
      <c r="I294" s="161"/>
    </row>
    <row r="295" spans="8:8">
      <c r="J295" s="71"/>
    </row>
    <row r="296" spans="8:8">
      <c r="J296" s="71"/>
    </row>
  </sheetData>
  <pageMargins left="0.7" right="0.7" top="0.45" bottom="0.31" header="0.3" footer="0.15"/>
</worksheet>
</file>

<file path=xl/worksheets/sheet23.xml><?xml version="1.0" encoding="utf-8"?>
<worksheet xmlns:r="http://schemas.openxmlformats.org/officeDocument/2006/relationships" xmlns="http://schemas.openxmlformats.org/spreadsheetml/2006/main">
  <dimension ref="A1:R299"/>
  <sheetViews>
    <sheetView workbookViewId="0">
      <pane ySplit="1" topLeftCell="A246" state="frozen" activePane="bottomLeft"/>
      <selection pane="bottomLeft" activeCell="A263" sqref="A263:XFD263"/>
    </sheetView>
  </sheetViews>
  <sheetFormatPr defaultRowHeight="15.0" defaultColWidth="10"/>
  <cols>
    <col min="1" max="1" customWidth="1" bestFit="1" width="60.285156" style="38"/>
    <col min="2" max="2" customWidth="1" width="13.7109375" style="39"/>
    <col min="3" max="3" customWidth="1" width="13.7109375" style="40"/>
    <col min="4" max="6" customWidth="1" width="13.7109375" style="163"/>
    <col min="7" max="7" customWidth="1" width="13.7109375" style="314"/>
    <col min="8" max="8" customWidth="1" width="1.5703125" style="244"/>
    <col min="9" max="9" customWidth="1" bestFit="1" width="14.5703125" style="39"/>
    <col min="10" max="10" customWidth="1" bestFit="1" width="12.5703125" style="39"/>
    <col min="11" max="16384" customWidth="0" width="11.425781" style="39"/>
  </cols>
  <sheetData>
    <row r="1" spans="8:8">
      <c r="A1" s="1" t="s">
        <v>0</v>
      </c>
      <c r="B1" s="1" t="s">
        <v>1</v>
      </c>
      <c r="C1" s="2" t="s">
        <v>2</v>
      </c>
      <c r="D1" s="2" t="s">
        <v>3</v>
      </c>
      <c r="E1" s="80" t="s">
        <v>4</v>
      </c>
      <c r="F1" s="80" t="s">
        <v>5</v>
      </c>
      <c r="G1" s="80" t="s">
        <v>406</v>
      </c>
      <c r="H1" s="80" t="s">
        <v>319</v>
      </c>
      <c r="I1" s="2" t="s">
        <v>294</v>
      </c>
    </row>
    <row r="2" spans="8:8">
      <c r="A2" s="3" t="s">
        <v>7</v>
      </c>
      <c r="B2" s="164" t="s">
        <v>8</v>
      </c>
      <c r="C2" s="315">
        <v>0.01</v>
      </c>
      <c r="D2" s="315">
        <v>2612154.400128</v>
      </c>
      <c r="E2" s="20">
        <v>315344.0</v>
      </c>
      <c r="F2" s="20">
        <v>473013.0</v>
      </c>
      <c r="G2" s="316"/>
      <c r="H2" s="316"/>
      <c r="I2" s="43">
        <f>SUM(C2:H2)</f>
        <v>3400511.4101279997</v>
      </c>
    </row>
    <row r="3" spans="8:8">
      <c r="A3" s="3" t="s">
        <v>9</v>
      </c>
      <c r="B3" s="164" t="s">
        <v>8</v>
      </c>
      <c r="C3" s="315">
        <v>0.01</v>
      </c>
      <c r="D3" s="315">
        <v>2612154.400128</v>
      </c>
      <c r="E3" s="20">
        <v>315344.0</v>
      </c>
      <c r="F3" s="20">
        <v>473013.0</v>
      </c>
      <c r="G3" s="316"/>
      <c r="H3" s="316"/>
      <c r="I3" s="43">
        <f>SUM(C3:F3)</f>
        <v>3400511.4101279997</v>
      </c>
    </row>
    <row r="4" spans="8:8">
      <c r="A4" s="3" t="s">
        <v>10</v>
      </c>
      <c r="B4" s="164" t="s">
        <v>8</v>
      </c>
      <c r="C4" s="315">
        <v>0.01</v>
      </c>
      <c r="D4" s="315">
        <v>2612154.400128</v>
      </c>
      <c r="E4" s="20">
        <v>315344.0</v>
      </c>
      <c r="F4" s="20">
        <v>473013.0</v>
      </c>
      <c r="G4" s="316"/>
      <c r="H4" s="316"/>
      <c r="I4" s="43">
        <f>SUM(C4:F4)</f>
        <v>3400511.4101279997</v>
      </c>
    </row>
    <row r="5" spans="8:8" ht="15.75">
      <c r="A5" s="51" t="s">
        <v>11</v>
      </c>
      <c r="B5" s="317" t="s">
        <v>8</v>
      </c>
      <c r="C5" s="315">
        <v>0.01</v>
      </c>
      <c r="D5" s="315">
        <v>5224308.819755999</v>
      </c>
      <c r="E5" s="54">
        <v>315344.0</v>
      </c>
      <c r="F5" s="54">
        <v>473013.0</v>
      </c>
      <c r="G5" s="318"/>
      <c r="H5" s="319"/>
      <c r="I5" s="55">
        <f t="shared" si="0" ref="I5:I49">SUM(C5:H5)</f>
        <v>6012665.829755999</v>
      </c>
    </row>
    <row r="6" spans="8:8">
      <c r="A6" s="320" t="s">
        <v>12</v>
      </c>
      <c r="B6" s="181" t="s">
        <v>13</v>
      </c>
      <c r="C6" s="315">
        <v>1924207.60896</v>
      </c>
      <c r="D6" s="315">
        <v>1072788.31296</v>
      </c>
      <c r="E6" s="321">
        <v>315344.0</v>
      </c>
      <c r="F6" s="321">
        <v>473013.0</v>
      </c>
      <c r="G6" s="316"/>
      <c r="H6" s="322">
        <v>572000.0</v>
      </c>
      <c r="I6" s="46">
        <f t="shared" si="0"/>
        <v>4357352.92192</v>
      </c>
      <c r="J6" s="71"/>
      <c r="K6" s="71"/>
      <c r="L6" s="71"/>
      <c r="M6" s="71"/>
      <c r="N6" s="71"/>
      <c r="O6" s="71"/>
    </row>
    <row r="7" spans="8:8">
      <c r="A7" s="3" t="s">
        <v>15</v>
      </c>
      <c r="B7" s="164" t="s">
        <v>13</v>
      </c>
      <c r="C7" s="315">
        <v>1924207.60896</v>
      </c>
      <c r="D7" s="315">
        <v>1072788.31296</v>
      </c>
      <c r="E7" s="20">
        <v>315344.0</v>
      </c>
      <c r="F7" s="20">
        <v>473013.0</v>
      </c>
      <c r="G7" s="316"/>
      <c r="H7" s="323">
        <v>572000.0</v>
      </c>
      <c r="I7" s="43">
        <f t="shared" si="0"/>
        <v>4357352.92192</v>
      </c>
      <c r="J7" s="71"/>
      <c r="K7" s="71"/>
      <c r="L7" s="71"/>
      <c r="M7" s="71"/>
      <c r="N7" s="71"/>
      <c r="O7" s="71"/>
    </row>
    <row r="8" spans="8:8">
      <c r="A8" s="3" t="s">
        <v>16</v>
      </c>
      <c r="B8" s="164" t="s">
        <v>13</v>
      </c>
      <c r="C8" s="315">
        <v>1924207.60896</v>
      </c>
      <c r="D8" s="315">
        <v>1072788.31296</v>
      </c>
      <c r="E8" s="20">
        <v>315344.0</v>
      </c>
      <c r="F8" s="20">
        <v>473013.0</v>
      </c>
      <c r="G8" s="316"/>
      <c r="H8" s="323">
        <v>572000.0</v>
      </c>
      <c r="I8" s="43">
        <f t="shared" si="0"/>
        <v>4357352.92192</v>
      </c>
      <c r="J8" s="71"/>
      <c r="K8" s="71"/>
      <c r="M8" s="71"/>
      <c r="N8" s="71"/>
      <c r="O8" s="71"/>
    </row>
    <row r="9" spans="8:8">
      <c r="A9" s="3" t="s">
        <v>17</v>
      </c>
      <c r="B9" s="164" t="s">
        <v>13</v>
      </c>
      <c r="C9" s="315">
        <v>6700669.859519999</v>
      </c>
      <c r="D9" s="315">
        <v>2452087.5724799996</v>
      </c>
      <c r="E9" s="20">
        <v>315344.0</v>
      </c>
      <c r="F9" s="20">
        <v>473013.0</v>
      </c>
      <c r="G9" s="316"/>
      <c r="H9" s="323">
        <v>572000.0</v>
      </c>
      <c r="I9" s="43">
        <f t="shared" si="0"/>
        <v>1.0513114431999998E7</v>
      </c>
      <c r="J9" s="71"/>
      <c r="K9" s="71"/>
      <c r="L9" s="71"/>
      <c r="M9" s="71"/>
      <c r="N9" s="71"/>
      <c r="O9" s="71"/>
    </row>
    <row r="10" spans="8:8">
      <c r="A10" s="3" t="s">
        <v>18</v>
      </c>
      <c r="B10" s="164" t="s">
        <v>13</v>
      </c>
      <c r="C10" s="315">
        <v>2281803.71328</v>
      </c>
      <c r="D10" s="315">
        <v>2452087.5724799996</v>
      </c>
      <c r="E10" s="20">
        <v>315344.0</v>
      </c>
      <c r="F10" s="20">
        <v>473013.0</v>
      </c>
      <c r="G10" s="316"/>
      <c r="H10" s="323">
        <v>572000.0</v>
      </c>
      <c r="I10" s="43">
        <f t="shared" si="0"/>
        <v>6094248.285759999</v>
      </c>
      <c r="J10" s="71"/>
      <c r="K10" s="71"/>
      <c r="L10" s="71"/>
      <c r="M10" s="71"/>
      <c r="N10" s="71"/>
      <c r="O10" s="71"/>
    </row>
    <row r="11" spans="8:8">
      <c r="A11" s="3" t="s">
        <v>19</v>
      </c>
      <c r="B11" s="164" t="s">
        <v>13</v>
      </c>
      <c r="C11" s="315">
        <v>2281803.71328</v>
      </c>
      <c r="D11" s="315">
        <v>2452087.5724799996</v>
      </c>
      <c r="E11" s="20">
        <v>315344.0</v>
      </c>
      <c r="F11" s="20">
        <v>473013.0</v>
      </c>
      <c r="G11" s="316"/>
      <c r="H11" s="323">
        <v>572000.0</v>
      </c>
      <c r="I11" s="43">
        <f t="shared" si="0"/>
        <v>6094248.285759999</v>
      </c>
      <c r="J11" s="71"/>
      <c r="K11" s="71"/>
      <c r="L11" s="3"/>
      <c r="M11" s="71"/>
      <c r="N11" s="71"/>
      <c r="O11" s="71"/>
    </row>
    <row r="12" spans="8:8">
      <c r="A12" s="3" t="s">
        <v>20</v>
      </c>
      <c r="B12" s="164" t="s">
        <v>13</v>
      </c>
      <c r="C12" s="315">
        <v>2281803.71328</v>
      </c>
      <c r="D12" s="315">
        <v>2452087.5724799996</v>
      </c>
      <c r="E12" s="20">
        <v>315344.0</v>
      </c>
      <c r="F12" s="20">
        <v>473013.0</v>
      </c>
      <c r="G12" s="316"/>
      <c r="H12" s="323">
        <v>572000.0</v>
      </c>
      <c r="I12" s="43">
        <f t="shared" si="0"/>
        <v>6094248.285759999</v>
      </c>
    </row>
    <row r="13" spans="8:8">
      <c r="A13" s="15" t="s">
        <v>21</v>
      </c>
      <c r="B13" s="164" t="s">
        <v>13</v>
      </c>
      <c r="C13" s="315">
        <v>2281803.71328</v>
      </c>
      <c r="D13" s="315">
        <v>2452087.5724799996</v>
      </c>
      <c r="E13" s="20">
        <v>315344.0</v>
      </c>
      <c r="F13" s="20">
        <v>473013.0</v>
      </c>
      <c r="G13" s="316"/>
      <c r="H13" s="323">
        <v>572000.0</v>
      </c>
      <c r="I13" s="43">
        <f t="shared" si="0"/>
        <v>6094248.285759999</v>
      </c>
    </row>
    <row r="14" spans="8:8">
      <c r="A14" s="15" t="s">
        <v>22</v>
      </c>
      <c r="B14" s="171" t="s">
        <v>13</v>
      </c>
      <c r="C14" s="315">
        <v>2281803.71328</v>
      </c>
      <c r="D14" s="315">
        <v>2452087.5724799996</v>
      </c>
      <c r="E14" s="20">
        <v>315344.0</v>
      </c>
      <c r="F14" s="20">
        <v>473013.0</v>
      </c>
      <c r="G14" s="316"/>
      <c r="H14" s="323">
        <v>572000.0</v>
      </c>
      <c r="I14" s="43">
        <f t="shared" si="0"/>
        <v>6094248.285759999</v>
      </c>
    </row>
    <row r="15" spans="8:8">
      <c r="A15" s="15" t="s">
        <v>23</v>
      </c>
      <c r="B15" s="171" t="s">
        <v>13</v>
      </c>
      <c r="C15" s="315">
        <v>2281803.71328</v>
      </c>
      <c r="D15" s="315">
        <v>2452087.5724799996</v>
      </c>
      <c r="E15" s="20">
        <v>315344.0</v>
      </c>
      <c r="F15" s="20">
        <v>473013.0</v>
      </c>
      <c r="G15" s="316"/>
      <c r="H15" s="323">
        <v>572000.0</v>
      </c>
      <c r="I15" s="43">
        <f t="shared" si="0"/>
        <v>6094248.285759999</v>
      </c>
    </row>
    <row r="16" spans="8:8">
      <c r="A16" s="3" t="s">
        <v>24</v>
      </c>
      <c r="B16" s="171" t="s">
        <v>13</v>
      </c>
      <c r="C16" s="315">
        <v>2281803.71328</v>
      </c>
      <c r="D16" s="315">
        <v>2452087.5724799996</v>
      </c>
      <c r="E16" s="20">
        <v>315344.0</v>
      </c>
      <c r="F16" s="20">
        <v>473013.0</v>
      </c>
      <c r="G16" s="316"/>
      <c r="H16" s="323">
        <v>572000.0</v>
      </c>
      <c r="I16" s="43">
        <f t="shared" si="0"/>
        <v>6094248.285759999</v>
      </c>
    </row>
    <row r="17" spans="8:8">
      <c r="A17" s="3" t="s">
        <v>25</v>
      </c>
      <c r="B17" s="164" t="s">
        <v>13</v>
      </c>
      <c r="C17" s="315">
        <v>2281803.71328</v>
      </c>
      <c r="D17" s="315">
        <v>2452087.5724799996</v>
      </c>
      <c r="E17" s="20">
        <v>315344.0</v>
      </c>
      <c r="F17" s="20">
        <v>473013.0</v>
      </c>
      <c r="G17" s="316"/>
      <c r="H17" s="323">
        <v>572000.0</v>
      </c>
      <c r="I17" s="43">
        <f t="shared" si="0"/>
        <v>6094248.285759999</v>
      </c>
    </row>
    <row r="18" spans="8:8">
      <c r="A18" s="3" t="s">
        <v>26</v>
      </c>
      <c r="B18" s="164" t="s">
        <v>13</v>
      </c>
      <c r="C18" s="315">
        <v>2281803.71328</v>
      </c>
      <c r="D18" s="315">
        <v>2452087.5724799996</v>
      </c>
      <c r="E18" s="20">
        <v>315344.0</v>
      </c>
      <c r="F18" s="20">
        <v>473013.0</v>
      </c>
      <c r="G18" s="316"/>
      <c r="H18" s="323">
        <v>572000.0</v>
      </c>
      <c r="I18" s="43">
        <f t="shared" si="0"/>
        <v>6094248.285759999</v>
      </c>
    </row>
    <row r="19" spans="8:8">
      <c r="A19" s="3" t="s">
        <v>27</v>
      </c>
      <c r="B19" s="164" t="s">
        <v>13</v>
      </c>
      <c r="C19" s="315">
        <v>2281803.71328</v>
      </c>
      <c r="D19" s="315">
        <v>2452087.5724799996</v>
      </c>
      <c r="E19" s="20">
        <v>315344.0</v>
      </c>
      <c r="F19" s="20">
        <v>473013.0</v>
      </c>
      <c r="G19" s="316"/>
      <c r="H19" s="323">
        <v>572000.0</v>
      </c>
      <c r="I19" s="43">
        <f t="shared" si="0"/>
        <v>6094248.285759999</v>
      </c>
    </row>
    <row r="20" spans="8:8">
      <c r="A20" s="3" t="s">
        <v>28</v>
      </c>
      <c r="B20" s="164" t="s">
        <v>13</v>
      </c>
      <c r="C20" s="315">
        <v>2281803.71328</v>
      </c>
      <c r="D20" s="315">
        <v>2452087.5724799996</v>
      </c>
      <c r="E20" s="20">
        <v>315344.0</v>
      </c>
      <c r="F20" s="20">
        <v>473013.0</v>
      </c>
      <c r="G20" s="316"/>
      <c r="H20" s="323">
        <v>572000.0</v>
      </c>
      <c r="I20" s="43">
        <f t="shared" si="0"/>
        <v>6094248.285759999</v>
      </c>
    </row>
    <row r="21" spans="8:8">
      <c r="A21" s="3" t="s">
        <v>29</v>
      </c>
      <c r="B21" s="164" t="s">
        <v>13</v>
      </c>
      <c r="C21" s="315">
        <v>2281803.71328</v>
      </c>
      <c r="D21" s="315">
        <v>2452087.5724799996</v>
      </c>
      <c r="E21" s="20">
        <v>315344.0</v>
      </c>
      <c r="F21" s="20">
        <v>473013.0</v>
      </c>
      <c r="G21" s="316"/>
      <c r="H21" s="323">
        <v>572000.0</v>
      </c>
      <c r="I21" s="43">
        <f t="shared" si="0"/>
        <v>6094248.285759999</v>
      </c>
    </row>
    <row r="22" spans="8:8">
      <c r="A22" s="3" t="s">
        <v>30</v>
      </c>
      <c r="B22" s="164" t="s">
        <v>13</v>
      </c>
      <c r="C22" s="315">
        <v>2281803.71328</v>
      </c>
      <c r="D22" s="315">
        <v>2452087.5724799996</v>
      </c>
      <c r="E22" s="20">
        <v>315344.0</v>
      </c>
      <c r="F22" s="20">
        <v>473013.0</v>
      </c>
      <c r="G22" s="316"/>
      <c r="H22" s="323">
        <v>572000.0</v>
      </c>
      <c r="I22" s="43">
        <f t="shared" si="0"/>
        <v>6094248.285759999</v>
      </c>
    </row>
    <row r="23" spans="8:8">
      <c r="A23" s="3" t="s">
        <v>31</v>
      </c>
      <c r="B23" s="164" t="s">
        <v>13</v>
      </c>
      <c r="C23" s="315">
        <v>2281803.71328</v>
      </c>
      <c r="D23" s="315">
        <v>2452087.5724799996</v>
      </c>
      <c r="E23" s="20">
        <v>315344.0</v>
      </c>
      <c r="F23" s="20">
        <v>473013.0</v>
      </c>
      <c r="G23" s="316"/>
      <c r="H23" s="323">
        <v>572000.0</v>
      </c>
      <c r="I23" s="43">
        <f t="shared" si="0"/>
        <v>6094248.285759999</v>
      </c>
    </row>
    <row r="24" spans="8:8">
      <c r="A24" s="3" t="s">
        <v>32</v>
      </c>
      <c r="B24" s="164" t="s">
        <v>13</v>
      </c>
      <c r="C24" s="315">
        <v>2281803.71328</v>
      </c>
      <c r="D24" s="315">
        <v>2452087.5724799996</v>
      </c>
      <c r="E24" s="20">
        <v>315344.0</v>
      </c>
      <c r="F24" s="20">
        <v>473013.0</v>
      </c>
      <c r="G24" s="316"/>
      <c r="H24" s="323">
        <v>572000.0</v>
      </c>
      <c r="I24" s="43">
        <f t="shared" si="0"/>
        <v>6094248.285759999</v>
      </c>
    </row>
    <row r="25" spans="8:8">
      <c r="A25" s="3" t="s">
        <v>33</v>
      </c>
      <c r="B25" s="164" t="s">
        <v>13</v>
      </c>
      <c r="C25" s="315">
        <v>2281803.71328</v>
      </c>
      <c r="D25" s="315">
        <v>2452087.5724799996</v>
      </c>
      <c r="E25" s="20">
        <v>315344.0</v>
      </c>
      <c r="F25" s="20">
        <v>473013.0</v>
      </c>
      <c r="G25" s="316"/>
      <c r="H25" s="323">
        <v>572000.0</v>
      </c>
      <c r="I25" s="43">
        <f t="shared" si="0"/>
        <v>6094248.285759999</v>
      </c>
    </row>
    <row r="26" spans="8:8">
      <c r="A26" s="3" t="s">
        <v>34</v>
      </c>
      <c r="B26" s="164" t="s">
        <v>13</v>
      </c>
      <c r="C26" s="315">
        <v>1924207.60896</v>
      </c>
      <c r="D26" s="315">
        <v>1072788.31296</v>
      </c>
      <c r="E26" s="20">
        <v>315344.0</v>
      </c>
      <c r="F26" s="20">
        <v>473013.0</v>
      </c>
      <c r="G26" s="316"/>
      <c r="H26" s="323">
        <v>572000.0</v>
      </c>
      <c r="I26" s="43">
        <f t="shared" si="0"/>
        <v>4357352.92192</v>
      </c>
    </row>
    <row r="27" spans="8:8">
      <c r="A27" s="3" t="s">
        <v>35</v>
      </c>
      <c r="B27" s="164" t="s">
        <v>13</v>
      </c>
      <c r="C27" s="315">
        <v>1924207.60896</v>
      </c>
      <c r="D27" s="315">
        <v>1072788.31296</v>
      </c>
      <c r="E27" s="20">
        <v>315344.0</v>
      </c>
      <c r="F27" s="20">
        <v>473013.0</v>
      </c>
      <c r="G27" s="316"/>
      <c r="H27" s="323">
        <v>572000.0</v>
      </c>
      <c r="I27" s="43">
        <f t="shared" si="0"/>
        <v>4357352.92192</v>
      </c>
    </row>
    <row r="28" spans="8:8">
      <c r="A28" s="3" t="s">
        <v>36</v>
      </c>
      <c r="B28" s="164" t="s">
        <v>13</v>
      </c>
      <c r="C28" s="315">
        <v>1924207.60896</v>
      </c>
      <c r="D28" s="315">
        <v>1072788.31296</v>
      </c>
      <c r="E28" s="20">
        <v>315344.0</v>
      </c>
      <c r="F28" s="20">
        <v>473013.0</v>
      </c>
      <c r="G28" s="316"/>
      <c r="H28" s="323">
        <v>572000.0</v>
      </c>
      <c r="I28" s="43">
        <f t="shared" si="0"/>
        <v>4357352.92192</v>
      </c>
    </row>
    <row r="29" spans="8:8">
      <c r="A29" s="3" t="s">
        <v>37</v>
      </c>
      <c r="B29" s="164" t="s">
        <v>13</v>
      </c>
      <c r="C29" s="315">
        <v>1924207.60896</v>
      </c>
      <c r="D29" s="315">
        <v>1072788.31296</v>
      </c>
      <c r="E29" s="20">
        <v>315344.0</v>
      </c>
      <c r="F29" s="20">
        <v>473013.0</v>
      </c>
      <c r="G29" s="316"/>
      <c r="H29" s="323">
        <v>572000.0</v>
      </c>
      <c r="I29" s="43">
        <f t="shared" si="0"/>
        <v>4357352.92192</v>
      </c>
    </row>
    <row r="30" spans="8:8">
      <c r="A30" s="3" t="s">
        <v>38</v>
      </c>
      <c r="B30" s="164" t="s">
        <v>13</v>
      </c>
      <c r="C30" s="315">
        <v>1924207.60896</v>
      </c>
      <c r="D30" s="315">
        <v>1072788.31296</v>
      </c>
      <c r="E30" s="20">
        <v>315344.0</v>
      </c>
      <c r="F30" s="20">
        <v>473013.0</v>
      </c>
      <c r="G30" s="316"/>
      <c r="H30" s="323">
        <v>572000.0</v>
      </c>
      <c r="I30" s="43">
        <f t="shared" si="0"/>
        <v>4357352.92192</v>
      </c>
    </row>
    <row r="31" spans="8:8">
      <c r="A31" s="15" t="s">
        <v>39</v>
      </c>
      <c r="B31" s="164" t="s">
        <v>13</v>
      </c>
      <c r="C31" s="315">
        <v>1924207.60896</v>
      </c>
      <c r="D31" s="315">
        <v>1072788.31296</v>
      </c>
      <c r="E31" s="20">
        <v>315344.0</v>
      </c>
      <c r="F31" s="20">
        <v>473013.0</v>
      </c>
      <c r="G31" s="316"/>
      <c r="H31" s="323">
        <v>572000.0</v>
      </c>
      <c r="I31" s="43">
        <f t="shared" si="0"/>
        <v>4357352.92192</v>
      </c>
    </row>
    <row r="32" spans="8:8" s="49" ht="15.0" customFormat="1">
      <c r="A32" s="3" t="s">
        <v>40</v>
      </c>
      <c r="B32" s="171" t="s">
        <v>13</v>
      </c>
      <c r="C32" s="315">
        <v>1924207.60896</v>
      </c>
      <c r="D32" s="315">
        <v>1072788.31296</v>
      </c>
      <c r="E32" s="20">
        <v>315344.0</v>
      </c>
      <c r="F32" s="20">
        <v>473013.0</v>
      </c>
      <c r="G32" s="316"/>
      <c r="H32" s="323">
        <v>572000.0</v>
      </c>
      <c r="I32" s="43">
        <f t="shared" si="0"/>
        <v>4357352.92192</v>
      </c>
    </row>
    <row r="33" spans="8:8">
      <c r="A33" s="15" t="s">
        <v>41</v>
      </c>
      <c r="B33" s="171" t="s">
        <v>13</v>
      </c>
      <c r="C33" s="315">
        <v>1924207.60896</v>
      </c>
      <c r="D33" s="315">
        <v>1072788.31296</v>
      </c>
      <c r="E33" s="20">
        <v>315344.0</v>
      </c>
      <c r="F33" s="20">
        <v>473013.0</v>
      </c>
      <c r="G33" s="316"/>
      <c r="H33" s="323">
        <v>572000.0</v>
      </c>
      <c r="I33" s="43">
        <f t="shared" si="0"/>
        <v>4357352.92192</v>
      </c>
    </row>
    <row r="34" spans="8:8" s="49" ht="15.0" customFormat="1">
      <c r="A34" s="3" t="s">
        <v>42</v>
      </c>
      <c r="B34" s="171" t="s">
        <v>13</v>
      </c>
      <c r="C34" s="315">
        <v>1924207.60896</v>
      </c>
      <c r="D34" s="315">
        <v>1072788.31296</v>
      </c>
      <c r="E34" s="20">
        <v>315344.0</v>
      </c>
      <c r="F34" s="20">
        <v>473013.0</v>
      </c>
      <c r="G34" s="316"/>
      <c r="H34" s="323">
        <v>572000.0</v>
      </c>
      <c r="I34" s="43">
        <f t="shared" si="0"/>
        <v>4357352.92192</v>
      </c>
    </row>
    <row r="35" spans="8:8">
      <c r="A35" s="3" t="s">
        <v>43</v>
      </c>
      <c r="B35" s="164" t="s">
        <v>13</v>
      </c>
      <c r="C35" s="315">
        <v>1924207.60896</v>
      </c>
      <c r="D35" s="315">
        <v>1072788.31296</v>
      </c>
      <c r="E35" s="20">
        <v>315344.0</v>
      </c>
      <c r="F35" s="20">
        <v>473013.0</v>
      </c>
      <c r="G35" s="316"/>
      <c r="H35" s="323">
        <v>572000.0</v>
      </c>
      <c r="I35" s="43">
        <f t="shared" si="0"/>
        <v>4357352.92192</v>
      </c>
    </row>
    <row r="36" spans="8:8">
      <c r="A36" s="3" t="s">
        <v>44</v>
      </c>
      <c r="B36" s="164" t="s">
        <v>13</v>
      </c>
      <c r="C36" s="315">
        <v>1924207.60896</v>
      </c>
      <c r="D36" s="315">
        <v>1072788.31296</v>
      </c>
      <c r="E36" s="20">
        <v>315344.0</v>
      </c>
      <c r="F36" s="20">
        <v>473013.0</v>
      </c>
      <c r="G36" s="316"/>
      <c r="H36" s="323">
        <v>572000.0</v>
      </c>
      <c r="I36" s="43">
        <f t="shared" si="0"/>
        <v>4357352.92192</v>
      </c>
    </row>
    <row r="37" spans="8:8">
      <c r="A37" s="3" t="s">
        <v>45</v>
      </c>
      <c r="B37" s="164" t="s">
        <v>13</v>
      </c>
      <c r="C37" s="315">
        <v>4350752.602559999</v>
      </c>
      <c r="D37" s="315">
        <v>2554257.8880000003</v>
      </c>
      <c r="E37" s="20">
        <v>315344.0</v>
      </c>
      <c r="F37" s="20">
        <v>473013.0</v>
      </c>
      <c r="G37" s="316"/>
      <c r="H37" s="323">
        <v>572000.0</v>
      </c>
      <c r="I37" s="43">
        <f t="shared" si="0"/>
        <v>8265367.490559999</v>
      </c>
    </row>
    <row r="38" spans="8:8">
      <c r="A38" s="3" t="s">
        <v>46</v>
      </c>
      <c r="B38" s="164" t="s">
        <v>13</v>
      </c>
      <c r="C38" s="315">
        <v>4350752.602559999</v>
      </c>
      <c r="D38" s="315">
        <v>2554257.8880000003</v>
      </c>
      <c r="E38" s="20">
        <v>315344.0</v>
      </c>
      <c r="F38" s="20">
        <v>473013.0</v>
      </c>
      <c r="G38" s="316"/>
      <c r="H38" s="323">
        <v>572000.0</v>
      </c>
      <c r="I38" s="43">
        <f t="shared" si="0"/>
        <v>8265367.490559999</v>
      </c>
    </row>
    <row r="39" spans="8:8">
      <c r="A39" s="3" t="s">
        <v>47</v>
      </c>
      <c r="B39" s="164" t="s">
        <v>13</v>
      </c>
      <c r="C39" s="315">
        <v>6121704.73824</v>
      </c>
      <c r="D39" s="315">
        <v>2554257.8880000003</v>
      </c>
      <c r="E39" s="20">
        <v>315344.0</v>
      </c>
      <c r="F39" s="20">
        <v>473013.0</v>
      </c>
      <c r="G39" s="316"/>
      <c r="H39" s="323">
        <v>572000.0</v>
      </c>
      <c r="I39" s="43">
        <f t="shared" si="0"/>
        <v>1.003631962624E7</v>
      </c>
    </row>
    <row r="40" spans="8:8">
      <c r="A40" s="3" t="s">
        <v>48</v>
      </c>
      <c r="B40" s="164" t="s">
        <v>13</v>
      </c>
      <c r="C40" s="315">
        <v>1924207.60896</v>
      </c>
      <c r="D40" s="315">
        <v>2554257.8880000003</v>
      </c>
      <c r="E40" s="20">
        <v>315344.0</v>
      </c>
      <c r="F40" s="20">
        <v>473013.0</v>
      </c>
      <c r="G40" s="316"/>
      <c r="H40" s="323">
        <v>572000.0</v>
      </c>
      <c r="I40" s="43">
        <f t="shared" si="0"/>
        <v>5838822.49696</v>
      </c>
    </row>
    <row r="41" spans="8:8">
      <c r="A41" s="3" t="s">
        <v>49</v>
      </c>
      <c r="B41" s="164" t="s">
        <v>13</v>
      </c>
      <c r="C41" s="315">
        <v>1924207.60896</v>
      </c>
      <c r="D41" s="315">
        <v>1072788.31296</v>
      </c>
      <c r="E41" s="20">
        <v>315344.0</v>
      </c>
      <c r="F41" s="20">
        <v>473013.0</v>
      </c>
      <c r="G41" s="316"/>
      <c r="H41" s="323">
        <v>572000.0</v>
      </c>
      <c r="I41" s="43">
        <f t="shared" si="0"/>
        <v>4357352.92192</v>
      </c>
    </row>
    <row r="42" spans="8:8">
      <c r="A42" s="15" t="s">
        <v>50</v>
      </c>
      <c r="B42" s="164" t="s">
        <v>13</v>
      </c>
      <c r="C42" s="315">
        <v>1924207.60896</v>
      </c>
      <c r="D42" s="315">
        <v>1072788.31296</v>
      </c>
      <c r="E42" s="20">
        <v>315344.0</v>
      </c>
      <c r="F42" s="20">
        <v>473013.0</v>
      </c>
      <c r="G42" s="316"/>
      <c r="H42" s="323">
        <v>572000.0</v>
      </c>
      <c r="I42" s="43">
        <f t="shared" si="0"/>
        <v>4357352.92192</v>
      </c>
    </row>
    <row r="43" spans="8:8" s="49" ht="15.0" customFormat="1">
      <c r="A43" s="3" t="s">
        <v>51</v>
      </c>
      <c r="B43" s="171" t="s">
        <v>13</v>
      </c>
      <c r="C43" s="315">
        <v>1924207.60896</v>
      </c>
      <c r="D43" s="315">
        <v>1072788.31296</v>
      </c>
      <c r="E43" s="20">
        <v>315344.0</v>
      </c>
      <c r="F43" s="20">
        <v>473013.0</v>
      </c>
      <c r="G43" s="316"/>
      <c r="H43" s="323">
        <v>572000.0</v>
      </c>
      <c r="I43" s="43">
        <f t="shared" si="0"/>
        <v>4357352.92192</v>
      </c>
    </row>
    <row r="44" spans="8:8">
      <c r="A44" s="3" t="s">
        <v>52</v>
      </c>
      <c r="B44" s="164" t="s">
        <v>13</v>
      </c>
      <c r="C44" s="315">
        <v>1924207.60896</v>
      </c>
      <c r="D44" s="315">
        <v>1072788.31296</v>
      </c>
      <c r="E44" s="20">
        <v>315344.0</v>
      </c>
      <c r="F44" s="20">
        <v>473013.0</v>
      </c>
      <c r="G44" s="316"/>
      <c r="H44" s="323">
        <v>572000.0</v>
      </c>
      <c r="I44" s="43">
        <f t="shared" si="0"/>
        <v>4357352.92192</v>
      </c>
    </row>
    <row r="45" spans="8:8">
      <c r="A45" s="3" t="s">
        <v>53</v>
      </c>
      <c r="B45" s="164" t="s">
        <v>13</v>
      </c>
      <c r="C45" s="315">
        <v>1924207.60896</v>
      </c>
      <c r="D45" s="315">
        <v>1072788.31296</v>
      </c>
      <c r="E45" s="20">
        <v>315344.0</v>
      </c>
      <c r="F45" s="20">
        <v>473013.0</v>
      </c>
      <c r="G45" s="316"/>
      <c r="H45" s="323">
        <v>572000.0</v>
      </c>
      <c r="I45" s="43">
        <f t="shared" si="0"/>
        <v>4357352.92192</v>
      </c>
    </row>
    <row r="46" spans="8:8">
      <c r="A46" s="3" t="s">
        <v>54</v>
      </c>
      <c r="B46" s="164" t="s">
        <v>13</v>
      </c>
      <c r="C46" s="315">
        <v>1924207.60896</v>
      </c>
      <c r="D46" s="315">
        <v>1072788.31296</v>
      </c>
      <c r="E46" s="20">
        <v>315344.0</v>
      </c>
      <c r="F46" s="20">
        <v>473013.0</v>
      </c>
      <c r="G46" s="316"/>
      <c r="H46" s="323">
        <v>572000.0</v>
      </c>
      <c r="I46" s="43">
        <f t="shared" si="0"/>
        <v>4357352.92192</v>
      </c>
    </row>
    <row r="47" spans="8:8">
      <c r="A47" s="15" t="s">
        <v>55</v>
      </c>
      <c r="B47" s="164" t="s">
        <v>13</v>
      </c>
      <c r="C47" s="315">
        <v>1924207.60896</v>
      </c>
      <c r="D47" s="315">
        <v>1072788.31296</v>
      </c>
      <c r="E47" s="20">
        <v>315344.0</v>
      </c>
      <c r="F47" s="20">
        <v>473013.0</v>
      </c>
      <c r="G47" s="316"/>
      <c r="H47" s="323">
        <v>572000.0</v>
      </c>
      <c r="I47" s="43">
        <f t="shared" si="0"/>
        <v>4357352.92192</v>
      </c>
    </row>
    <row r="48" spans="8:8" s="49" ht="15.75" customFormat="1">
      <c r="A48" s="51" t="s">
        <v>56</v>
      </c>
      <c r="B48" s="324" t="s">
        <v>13</v>
      </c>
      <c r="C48" s="325">
        <v>1924207.6099999999</v>
      </c>
      <c r="D48" s="325">
        <v>2809683.6768</v>
      </c>
      <c r="E48" s="54">
        <v>315344.0</v>
      </c>
      <c r="F48" s="54">
        <v>473013.0</v>
      </c>
      <c r="G48" s="319"/>
      <c r="H48" s="326">
        <v>572000.0</v>
      </c>
      <c r="I48" s="327">
        <f t="shared" si="0"/>
        <v>6094248.2868</v>
      </c>
    </row>
    <row r="49" spans="8:8">
      <c r="A49" s="10" t="s">
        <v>57</v>
      </c>
      <c r="B49" s="166" t="s">
        <v>60</v>
      </c>
      <c r="C49" s="328">
        <v>0.01</v>
      </c>
      <c r="D49" s="328">
        <v>2656428.20352</v>
      </c>
      <c r="E49" s="321">
        <v>315344.0</v>
      </c>
      <c r="F49" s="321">
        <v>473013.0</v>
      </c>
      <c r="G49" s="316"/>
      <c r="H49" s="329"/>
      <c r="I49" s="46">
        <f t="shared" si="0"/>
        <v>3444785.2135199998</v>
      </c>
    </row>
    <row r="50" spans="8:8">
      <c r="A50" s="3" t="s">
        <v>58</v>
      </c>
      <c r="B50" s="166" t="s">
        <v>60</v>
      </c>
      <c r="C50" s="315">
        <v>0.01</v>
      </c>
      <c r="D50" s="315">
        <v>2656428.20352</v>
      </c>
      <c r="E50" s="20">
        <v>315344.0</v>
      </c>
      <c r="F50" s="20">
        <v>473013.0</v>
      </c>
      <c r="G50" s="316"/>
      <c r="H50" s="329"/>
      <c r="I50" s="43">
        <f>SUM(C50:F50)</f>
        <v>3444785.2135199998</v>
      </c>
    </row>
    <row r="51" spans="8:8">
      <c r="A51" s="10" t="s">
        <v>59</v>
      </c>
      <c r="B51" s="164" t="s">
        <v>60</v>
      </c>
      <c r="C51" s="315">
        <v>0.01</v>
      </c>
      <c r="D51" s="315">
        <v>2656428.20352</v>
      </c>
      <c r="E51" s="20">
        <v>315344.0</v>
      </c>
      <c r="F51" s="20">
        <v>473013.0</v>
      </c>
      <c r="G51" s="316"/>
      <c r="H51" s="329"/>
      <c r="I51" s="43">
        <f>SUM(C51:F51)</f>
        <v>3444785.2135199998</v>
      </c>
    </row>
    <row r="52" spans="8:8">
      <c r="A52" s="3" t="s">
        <v>61</v>
      </c>
      <c r="B52" s="164" t="s">
        <v>60</v>
      </c>
      <c r="C52" s="315">
        <v>553422.5424</v>
      </c>
      <c r="D52" s="315">
        <v>4648749.35616</v>
      </c>
      <c r="E52" s="20">
        <v>315344.0</v>
      </c>
      <c r="F52" s="20">
        <v>473013.0</v>
      </c>
      <c r="G52" s="316"/>
      <c r="H52" s="329"/>
      <c r="I52" s="46">
        <f>SUM(C52:F52)</f>
        <v>5990528.89856</v>
      </c>
    </row>
    <row r="53" spans="8:8">
      <c r="A53" s="3" t="s">
        <v>62</v>
      </c>
      <c r="B53" s="164" t="s">
        <v>60</v>
      </c>
      <c r="C53" s="315">
        <v>0.01</v>
      </c>
      <c r="D53" s="315">
        <v>2656428.20352</v>
      </c>
      <c r="E53" s="20">
        <v>315344.0</v>
      </c>
      <c r="F53" s="20">
        <v>473013.0</v>
      </c>
      <c r="G53" s="316"/>
      <c r="H53" s="329"/>
      <c r="I53" s="43">
        <f>SUM(C53:F53)</f>
        <v>3444785.2135199998</v>
      </c>
    </row>
    <row r="54" spans="8:8" ht="15.75">
      <c r="A54" s="51" t="s">
        <v>63</v>
      </c>
      <c r="B54" s="317" t="s">
        <v>60</v>
      </c>
      <c r="C54" s="325">
        <v>0.01</v>
      </c>
      <c r="D54" s="325">
        <v>2656428.20352</v>
      </c>
      <c r="E54" s="54">
        <v>315344.0</v>
      </c>
      <c r="F54" s="54">
        <v>473013.0</v>
      </c>
      <c r="G54" s="319"/>
      <c r="H54" s="319"/>
      <c r="I54" s="55">
        <f>SUM(C54:F54)</f>
        <v>3444785.2135199998</v>
      </c>
    </row>
    <row r="55" spans="8:8">
      <c r="A55" s="10" t="s">
        <v>64</v>
      </c>
      <c r="B55" s="166" t="s">
        <v>65</v>
      </c>
      <c r="C55" s="328">
        <v>0.01</v>
      </c>
      <c r="D55" s="328">
        <v>1955426.3164799998</v>
      </c>
      <c r="E55" s="321">
        <v>315344.0</v>
      </c>
      <c r="F55" s="321">
        <v>473013.0</v>
      </c>
      <c r="G55" s="247">
        <v>1235000.0</v>
      </c>
      <c r="H55" s="316"/>
      <c r="I55" s="330">
        <f t="shared" si="1" ref="I55:I60">SUM(C55:H55)</f>
        <v>3978783.32648</v>
      </c>
    </row>
    <row r="56" spans="8:8">
      <c r="A56" s="3" t="s">
        <v>66</v>
      </c>
      <c r="B56" s="164" t="s">
        <v>65</v>
      </c>
      <c r="C56" s="315">
        <v>0.01</v>
      </c>
      <c r="D56" s="315">
        <v>2080868.759424</v>
      </c>
      <c r="E56" s="20">
        <v>315344.0</v>
      </c>
      <c r="F56" s="20">
        <v>473013.0</v>
      </c>
      <c r="G56" s="247">
        <v>1235000.0</v>
      </c>
      <c r="H56" s="329"/>
      <c r="I56" s="46">
        <f t="shared" si="1"/>
        <v>4104225.769424</v>
      </c>
    </row>
    <row r="57" spans="8:8">
      <c r="A57" s="3" t="s">
        <v>67</v>
      </c>
      <c r="B57" s="164" t="s">
        <v>65</v>
      </c>
      <c r="C57" s="315">
        <v>0.01</v>
      </c>
      <c r="D57" s="315">
        <v>1955426.3164799998</v>
      </c>
      <c r="E57" s="20">
        <v>315344.0</v>
      </c>
      <c r="F57" s="20">
        <v>473013.0</v>
      </c>
      <c r="G57" s="247">
        <v>1235000.0</v>
      </c>
      <c r="H57" s="329"/>
      <c r="I57" s="43">
        <f t="shared" si="1"/>
        <v>3978783.32648</v>
      </c>
    </row>
    <row r="58" spans="8:8">
      <c r="A58" s="3" t="s">
        <v>68</v>
      </c>
      <c r="B58" s="164" t="s">
        <v>65</v>
      </c>
      <c r="C58" s="315">
        <v>0.01</v>
      </c>
      <c r="D58" s="315">
        <v>2080868.759424</v>
      </c>
      <c r="E58" s="20">
        <v>315344.0</v>
      </c>
      <c r="F58" s="20">
        <v>473013.0</v>
      </c>
      <c r="G58" s="247">
        <v>1235000.0</v>
      </c>
      <c r="H58" s="329"/>
      <c r="I58" s="43">
        <f t="shared" si="1"/>
        <v>4104225.769424</v>
      </c>
    </row>
    <row r="59" spans="8:8">
      <c r="A59" s="3" t="s">
        <v>69</v>
      </c>
      <c r="B59" s="164" t="s">
        <v>65</v>
      </c>
      <c r="C59" s="315">
        <v>0.01</v>
      </c>
      <c r="D59" s="315">
        <v>2538364.727808</v>
      </c>
      <c r="E59" s="20">
        <v>315344.0</v>
      </c>
      <c r="F59" s="20">
        <v>473013.0</v>
      </c>
      <c r="G59" s="247">
        <v>1235000.0</v>
      </c>
      <c r="H59" s="329"/>
      <c r="I59" s="43">
        <f t="shared" si="1"/>
        <v>4561721.737808</v>
      </c>
    </row>
    <row r="60" spans="8:8">
      <c r="A60" s="3" t="s">
        <v>70</v>
      </c>
      <c r="B60" s="164" t="s">
        <v>65</v>
      </c>
      <c r="C60" s="315">
        <v>0.01</v>
      </c>
      <c r="D60" s="315">
        <v>1955426.3164799998</v>
      </c>
      <c r="E60" s="20">
        <v>315344.0</v>
      </c>
      <c r="F60" s="20">
        <v>473013.0</v>
      </c>
      <c r="G60" s="247">
        <v>1235000.0</v>
      </c>
      <c r="H60" s="329"/>
      <c r="I60" s="43">
        <f t="shared" si="1"/>
        <v>3978783.32648</v>
      </c>
    </row>
    <row r="61" spans="8:8">
      <c r="A61" s="15" t="s">
        <v>71</v>
      </c>
      <c r="B61" s="171" t="s">
        <v>65</v>
      </c>
      <c r="C61" s="315">
        <v>0.01</v>
      </c>
      <c r="D61" s="315">
        <v>2080868.759424</v>
      </c>
      <c r="E61" s="20">
        <v>315344.0</v>
      </c>
      <c r="F61" s="20">
        <v>473013.0</v>
      </c>
      <c r="G61" s="247">
        <v>1235000.0</v>
      </c>
      <c r="H61" s="329"/>
      <c r="I61" s="43">
        <f t="shared" si="2" ref="I61:I73">SUM(C61:G61)</f>
        <v>4104225.769424</v>
      </c>
    </row>
    <row r="62" spans="8:8">
      <c r="A62" s="15" t="s">
        <v>72</v>
      </c>
      <c r="B62" s="171" t="s">
        <v>65</v>
      </c>
      <c r="C62" s="315">
        <v>0.01</v>
      </c>
      <c r="D62" s="315">
        <v>2302237.776384</v>
      </c>
      <c r="E62" s="20">
        <v>315344.0</v>
      </c>
      <c r="F62" s="20">
        <v>473013.0</v>
      </c>
      <c r="G62" s="247">
        <v>1235000.0</v>
      </c>
      <c r="H62" s="329"/>
      <c r="I62" s="43">
        <f t="shared" si="2"/>
        <v>4325594.7863839995</v>
      </c>
    </row>
    <row r="63" spans="8:8">
      <c r="A63" s="3" t="s">
        <v>73</v>
      </c>
      <c r="B63" s="164" t="s">
        <v>65</v>
      </c>
      <c r="C63" s="315">
        <v>0.01</v>
      </c>
      <c r="D63" s="315">
        <v>1955426.3164799998</v>
      </c>
      <c r="E63" s="20">
        <v>315344.0</v>
      </c>
      <c r="F63" s="20">
        <v>473013.0</v>
      </c>
      <c r="G63" s="247">
        <v>1235000.0</v>
      </c>
      <c r="H63" s="329"/>
      <c r="I63" s="43">
        <f t="shared" si="2"/>
        <v>3978783.32648</v>
      </c>
    </row>
    <row r="64" spans="8:8">
      <c r="A64" s="3" t="s">
        <v>74</v>
      </c>
      <c r="B64" s="164" t="s">
        <v>65</v>
      </c>
      <c r="C64" s="315">
        <v>0.01</v>
      </c>
      <c r="D64" s="315">
        <v>2080868.759424</v>
      </c>
      <c r="E64" s="20">
        <v>315344.0</v>
      </c>
      <c r="F64" s="20">
        <v>473013.0</v>
      </c>
      <c r="G64" s="247">
        <v>1235000.0</v>
      </c>
      <c r="H64" s="329"/>
      <c r="I64" s="43">
        <f t="shared" si="2"/>
        <v>4104225.769424</v>
      </c>
    </row>
    <row r="65" spans="8:8">
      <c r="A65" s="3" t="s">
        <v>75</v>
      </c>
      <c r="B65" s="164" t="s">
        <v>65</v>
      </c>
      <c r="C65" s="315">
        <v>0.01</v>
      </c>
      <c r="D65" s="315">
        <v>3209850.7459199997</v>
      </c>
      <c r="E65" s="20">
        <v>315344.0</v>
      </c>
      <c r="F65" s="20">
        <v>473013.0</v>
      </c>
      <c r="G65" s="247">
        <v>1235000.0</v>
      </c>
      <c r="H65" s="329"/>
      <c r="I65" s="43">
        <f t="shared" si="2"/>
        <v>5233207.755919999</v>
      </c>
    </row>
    <row r="66" spans="8:8">
      <c r="A66" s="3" t="s">
        <v>76</v>
      </c>
      <c r="B66" s="164" t="s">
        <v>65</v>
      </c>
      <c r="C66" s="315">
        <v>0.01</v>
      </c>
      <c r="D66" s="315">
        <v>1955426.3164799998</v>
      </c>
      <c r="E66" s="20">
        <v>315344.0</v>
      </c>
      <c r="F66" s="20">
        <v>473013.0</v>
      </c>
      <c r="G66" s="247">
        <v>1235000.0</v>
      </c>
      <c r="H66" s="329"/>
      <c r="I66" s="43">
        <f t="shared" si="2"/>
        <v>3978783.32648</v>
      </c>
    </row>
    <row r="67" spans="8:8">
      <c r="A67" s="3" t="s">
        <v>77</v>
      </c>
      <c r="B67" s="164" t="s">
        <v>65</v>
      </c>
      <c r="C67" s="315">
        <v>0.01</v>
      </c>
      <c r="D67" s="315">
        <v>2080868.759424</v>
      </c>
      <c r="E67" s="20">
        <v>315344.0</v>
      </c>
      <c r="F67" s="20">
        <v>473013.0</v>
      </c>
      <c r="G67" s="247">
        <v>1235000.0</v>
      </c>
      <c r="H67" s="329"/>
      <c r="I67" s="43">
        <f t="shared" si="2"/>
        <v>4104225.769424</v>
      </c>
    </row>
    <row r="68" spans="8:8">
      <c r="A68" s="3" t="s">
        <v>78</v>
      </c>
      <c r="B68" s="164" t="s">
        <v>65</v>
      </c>
      <c r="C68" s="315">
        <v>0.01</v>
      </c>
      <c r="D68" s="315">
        <v>2302237.776384</v>
      </c>
      <c r="E68" s="20">
        <v>315344.0</v>
      </c>
      <c r="F68" s="20">
        <v>473013.0</v>
      </c>
      <c r="G68" s="247">
        <v>1235000.0</v>
      </c>
      <c r="H68" s="329"/>
      <c r="I68" s="43">
        <f t="shared" si="2"/>
        <v>4325594.7863839995</v>
      </c>
    </row>
    <row r="69" spans="8:8">
      <c r="A69" s="3" t="s">
        <v>79</v>
      </c>
      <c r="B69" s="164" t="s">
        <v>65</v>
      </c>
      <c r="C69" s="315">
        <v>0.01</v>
      </c>
      <c r="D69" s="315">
        <v>2538364.727808</v>
      </c>
      <c r="E69" s="20">
        <v>315344.0</v>
      </c>
      <c r="F69" s="20">
        <v>473013.0</v>
      </c>
      <c r="G69" s="247">
        <v>1235000.0</v>
      </c>
      <c r="H69" s="329"/>
      <c r="I69" s="43">
        <f t="shared" si="2"/>
        <v>4561721.737808</v>
      </c>
    </row>
    <row r="70" spans="8:8">
      <c r="A70" s="3" t="s">
        <v>80</v>
      </c>
      <c r="B70" s="164" t="s">
        <v>65</v>
      </c>
      <c r="C70" s="315">
        <v>0.01</v>
      </c>
      <c r="D70" s="315">
        <v>1955426.3164799998</v>
      </c>
      <c r="E70" s="20">
        <v>315344.0</v>
      </c>
      <c r="F70" s="20">
        <v>473013.0</v>
      </c>
      <c r="G70" s="247">
        <v>1235000.0</v>
      </c>
      <c r="H70" s="329"/>
      <c r="I70" s="43">
        <f t="shared" si="2"/>
        <v>3978783.32648</v>
      </c>
    </row>
    <row r="71" spans="8:8">
      <c r="A71" s="3" t="s">
        <v>81</v>
      </c>
      <c r="B71" s="164" t="s">
        <v>65</v>
      </c>
      <c r="C71" s="315">
        <v>0.01</v>
      </c>
      <c r="D71" s="315">
        <v>2080868.759424</v>
      </c>
      <c r="E71" s="20">
        <v>315344.0</v>
      </c>
      <c r="F71" s="20">
        <v>473013.0</v>
      </c>
      <c r="G71" s="247">
        <v>1235000.0</v>
      </c>
      <c r="H71" s="329"/>
      <c r="I71" s="43">
        <f t="shared" si="2"/>
        <v>4104225.769424</v>
      </c>
    </row>
    <row r="72" spans="8:8">
      <c r="A72" s="3" t="s">
        <v>82</v>
      </c>
      <c r="B72" s="164" t="s">
        <v>65</v>
      </c>
      <c r="C72" s="315">
        <v>0.01</v>
      </c>
      <c r="D72" s="315">
        <v>3910852.6329599996</v>
      </c>
      <c r="E72" s="20">
        <v>315344.0</v>
      </c>
      <c r="F72" s="20">
        <v>473013.0</v>
      </c>
      <c r="G72" s="247">
        <v>1235000.0</v>
      </c>
      <c r="H72" s="329"/>
      <c r="I72" s="43">
        <f t="shared" si="2"/>
        <v>5934209.642959999</v>
      </c>
    </row>
    <row r="73" spans="8:8">
      <c r="A73" s="3" t="s">
        <v>83</v>
      </c>
      <c r="B73" s="164" t="s">
        <v>65</v>
      </c>
      <c r="C73" s="315">
        <v>0.01</v>
      </c>
      <c r="D73" s="315">
        <v>4161737.518848</v>
      </c>
      <c r="E73" s="20">
        <v>315344.0</v>
      </c>
      <c r="F73" s="20">
        <v>473013.0</v>
      </c>
      <c r="G73" s="247">
        <v>1235000.0</v>
      </c>
      <c r="H73" s="329"/>
      <c r="I73" s="43">
        <f t="shared" si="2"/>
        <v>6185094.528848</v>
      </c>
    </row>
    <row r="74" spans="8:8">
      <c r="A74" s="3" t="s">
        <v>84</v>
      </c>
      <c r="B74" s="164" t="s">
        <v>65</v>
      </c>
      <c r="C74" s="315">
        <v>0.01</v>
      </c>
      <c r="D74" s="315">
        <v>2080868.759424</v>
      </c>
      <c r="E74" s="20">
        <v>315344.0</v>
      </c>
      <c r="F74" s="20">
        <v>473013.0</v>
      </c>
      <c r="G74" s="247">
        <v>1235000.0</v>
      </c>
      <c r="H74" s="329"/>
      <c r="I74" s="43">
        <f>SUM(C74:H74)</f>
        <v>4104225.769424</v>
      </c>
    </row>
    <row r="75" spans="8:8">
      <c r="A75" s="3" t="s">
        <v>85</v>
      </c>
      <c r="B75" s="164" t="s">
        <v>65</v>
      </c>
      <c r="C75" s="315">
        <v>0.01</v>
      </c>
      <c r="D75" s="315">
        <v>4161737.518848</v>
      </c>
      <c r="E75" s="20">
        <v>315344.0</v>
      </c>
      <c r="F75" s="20">
        <v>473013.0</v>
      </c>
      <c r="G75" s="247">
        <v>1235000.0</v>
      </c>
      <c r="H75" s="329"/>
      <c r="I75" s="43">
        <f>SUM(C75:H75)</f>
        <v>6185094.528848</v>
      </c>
    </row>
    <row r="76" spans="8:8">
      <c r="A76" s="15" t="s">
        <v>86</v>
      </c>
      <c r="B76" s="171" t="s">
        <v>65</v>
      </c>
      <c r="C76" s="315">
        <v>0.01</v>
      </c>
      <c r="D76" s="315">
        <v>2080868.759424</v>
      </c>
      <c r="E76" s="20">
        <v>315344.0</v>
      </c>
      <c r="F76" s="20">
        <v>473013.0</v>
      </c>
      <c r="G76" s="247">
        <v>1235000.0</v>
      </c>
      <c r="H76" s="329"/>
      <c r="I76" s="43">
        <f t="shared" si="3" ref="I76:I113">SUM(C76:G76)</f>
        <v>4104225.769424</v>
      </c>
    </row>
    <row r="77" spans="8:8" s="49" ht="15.0" customFormat="1">
      <c r="A77" s="15" t="s">
        <v>87</v>
      </c>
      <c r="B77" s="171" t="s">
        <v>65</v>
      </c>
      <c r="C77" s="315">
        <v>0.01</v>
      </c>
      <c r="D77" s="315">
        <v>2302237.776384</v>
      </c>
      <c r="E77" s="20">
        <v>315344.0</v>
      </c>
      <c r="F77" s="20">
        <v>473013.0</v>
      </c>
      <c r="G77" s="247">
        <v>1235000.0</v>
      </c>
      <c r="H77" s="329"/>
      <c r="I77" s="241">
        <f t="shared" si="3"/>
        <v>4325594.7863839995</v>
      </c>
    </row>
    <row r="78" spans="8:8">
      <c r="A78" s="15" t="s">
        <v>88</v>
      </c>
      <c r="B78" s="171" t="s">
        <v>65</v>
      </c>
      <c r="C78" s="315">
        <v>0.01</v>
      </c>
      <c r="D78" s="315">
        <v>2538364.727808</v>
      </c>
      <c r="E78" s="20">
        <v>315344.0</v>
      </c>
      <c r="F78" s="20">
        <v>473013.0</v>
      </c>
      <c r="G78" s="247">
        <v>1235000.0</v>
      </c>
      <c r="H78" s="329"/>
      <c r="I78" s="43">
        <f t="shared" si="3"/>
        <v>4561721.737808</v>
      </c>
    </row>
    <row r="79" spans="8:8">
      <c r="A79" s="15" t="s">
        <v>89</v>
      </c>
      <c r="B79" s="171" t="s">
        <v>65</v>
      </c>
      <c r="C79" s="315">
        <v>0.01</v>
      </c>
      <c r="D79" s="315">
        <v>2877797.2204799997</v>
      </c>
      <c r="E79" s="20">
        <v>315344.0</v>
      </c>
      <c r="F79" s="20">
        <v>473013.0</v>
      </c>
      <c r="G79" s="247">
        <v>1235000.0</v>
      </c>
      <c r="H79" s="329"/>
      <c r="I79" s="43">
        <f t="shared" si="3"/>
        <v>4901154.230479999</v>
      </c>
    </row>
    <row r="80" spans="8:8">
      <c r="A80" s="15" t="s">
        <v>90</v>
      </c>
      <c r="B80" s="171" t="s">
        <v>65</v>
      </c>
      <c r="C80" s="315">
        <v>0.01</v>
      </c>
      <c r="D80" s="315">
        <v>3091787.2702079997</v>
      </c>
      <c r="E80" s="20">
        <v>315344.0</v>
      </c>
      <c r="F80" s="20">
        <v>473013.0</v>
      </c>
      <c r="G80" s="247">
        <v>1235000.0</v>
      </c>
      <c r="H80" s="329"/>
      <c r="I80" s="43">
        <f t="shared" si="3"/>
        <v>5115144.280207999</v>
      </c>
    </row>
    <row r="81" spans="8:8">
      <c r="A81" s="15" t="s">
        <v>91</v>
      </c>
      <c r="B81" s="171" t="s">
        <v>65</v>
      </c>
      <c r="C81" s="315">
        <v>0.01</v>
      </c>
      <c r="D81" s="315">
        <v>3276261.4510079995</v>
      </c>
      <c r="E81" s="20">
        <v>315344.0</v>
      </c>
      <c r="F81" s="20">
        <v>473013.0</v>
      </c>
      <c r="G81" s="247">
        <v>1235000.0</v>
      </c>
      <c r="H81" s="329"/>
      <c r="I81" s="43">
        <f t="shared" si="3"/>
        <v>5299618.461007999</v>
      </c>
    </row>
    <row r="82" spans="8:8">
      <c r="A82" s="15" t="s">
        <v>92</v>
      </c>
      <c r="B82" s="171" t="s">
        <v>65</v>
      </c>
      <c r="C82" s="315">
        <v>0.01</v>
      </c>
      <c r="D82" s="315">
        <v>1955426.3164799998</v>
      </c>
      <c r="E82" s="20">
        <v>315344.0</v>
      </c>
      <c r="F82" s="20">
        <v>473013.0</v>
      </c>
      <c r="G82" s="247">
        <v>1235000.0</v>
      </c>
      <c r="H82" s="329"/>
      <c r="I82" s="43">
        <f t="shared" si="3"/>
        <v>3978783.32648</v>
      </c>
    </row>
    <row r="83" spans="8:8">
      <c r="A83" s="15" t="s">
        <v>93</v>
      </c>
      <c r="B83" s="171" t="s">
        <v>65</v>
      </c>
      <c r="C83" s="315">
        <v>0.01</v>
      </c>
      <c r="D83" s="315">
        <v>2080868.759424</v>
      </c>
      <c r="E83" s="20">
        <v>315344.0</v>
      </c>
      <c r="F83" s="20">
        <v>473013.0</v>
      </c>
      <c r="G83" s="247">
        <v>1235000.0</v>
      </c>
      <c r="H83" s="329"/>
      <c r="I83" s="43">
        <f t="shared" si="3"/>
        <v>4104225.769424</v>
      </c>
    </row>
    <row r="84" spans="8:8">
      <c r="A84" s="15" t="s">
        <v>94</v>
      </c>
      <c r="B84" s="171" t="s">
        <v>65</v>
      </c>
      <c r="C84" s="315">
        <v>0.01</v>
      </c>
      <c r="D84" s="315">
        <v>2538364.727808</v>
      </c>
      <c r="E84" s="20">
        <v>315344.0</v>
      </c>
      <c r="F84" s="20">
        <v>473013.0</v>
      </c>
      <c r="G84" s="247">
        <v>1235000.0</v>
      </c>
      <c r="H84" s="329"/>
      <c r="I84" s="43">
        <f t="shared" si="3"/>
        <v>4561721.737808</v>
      </c>
    </row>
    <row r="85" spans="8:8">
      <c r="A85" s="15" t="s">
        <v>95</v>
      </c>
      <c r="B85" s="171" t="s">
        <v>65</v>
      </c>
      <c r="C85" s="315">
        <v>0.01</v>
      </c>
      <c r="D85" s="315">
        <v>2080868.759424</v>
      </c>
      <c r="E85" s="20">
        <v>315344.0</v>
      </c>
      <c r="F85" s="20">
        <v>473013.0</v>
      </c>
      <c r="G85" s="247">
        <v>1235000.0</v>
      </c>
      <c r="H85" s="329"/>
      <c r="I85" s="43">
        <f t="shared" si="3"/>
        <v>4104225.769424</v>
      </c>
    </row>
    <row r="86" spans="8:8">
      <c r="A86" s="15" t="s">
        <v>96</v>
      </c>
      <c r="B86" s="171" t="s">
        <v>65</v>
      </c>
      <c r="C86" s="315">
        <v>0.01</v>
      </c>
      <c r="D86" s="315">
        <v>2538364.727808</v>
      </c>
      <c r="E86" s="20">
        <v>315344.0</v>
      </c>
      <c r="F86" s="20">
        <v>473013.0</v>
      </c>
      <c r="G86" s="247">
        <v>1235000.0</v>
      </c>
      <c r="H86" s="329"/>
      <c r="I86" s="43">
        <f t="shared" si="3"/>
        <v>4561721.737808</v>
      </c>
    </row>
    <row r="87" spans="8:8">
      <c r="A87" s="15" t="s">
        <v>97</v>
      </c>
      <c r="B87" s="171" t="s">
        <v>65</v>
      </c>
      <c r="C87" s="315">
        <v>0.01</v>
      </c>
      <c r="D87" s="315">
        <v>1955426.3164799998</v>
      </c>
      <c r="E87" s="20">
        <v>315344.0</v>
      </c>
      <c r="F87" s="20">
        <v>473013.0</v>
      </c>
      <c r="G87" s="247">
        <v>1235000.0</v>
      </c>
      <c r="H87" s="329"/>
      <c r="I87" s="43">
        <f t="shared" si="3"/>
        <v>3978783.32648</v>
      </c>
    </row>
    <row r="88" spans="8:8">
      <c r="A88" s="15" t="s">
        <v>98</v>
      </c>
      <c r="B88" s="171" t="s">
        <v>65</v>
      </c>
      <c r="C88" s="315">
        <v>0.01</v>
      </c>
      <c r="D88" s="315">
        <v>2080868.759424</v>
      </c>
      <c r="E88" s="20">
        <v>315344.0</v>
      </c>
      <c r="F88" s="20">
        <v>473013.0</v>
      </c>
      <c r="G88" s="247">
        <v>1235000.0</v>
      </c>
      <c r="H88" s="329"/>
      <c r="I88" s="43">
        <f t="shared" si="3"/>
        <v>4104225.769424</v>
      </c>
    </row>
    <row r="89" spans="8:8" s="49" ht="15.0" customFormat="1">
      <c r="A89" s="15" t="s">
        <v>99</v>
      </c>
      <c r="B89" s="171" t="s">
        <v>65</v>
      </c>
      <c r="C89" s="315">
        <v>0.01</v>
      </c>
      <c r="D89" s="315">
        <v>2538364.727808</v>
      </c>
      <c r="E89" s="20">
        <v>315344.0</v>
      </c>
      <c r="F89" s="20">
        <v>473013.0</v>
      </c>
      <c r="G89" s="247">
        <v>1235000.0</v>
      </c>
      <c r="H89" s="329"/>
      <c r="I89" s="43">
        <f t="shared" si="3"/>
        <v>4561721.737808</v>
      </c>
    </row>
    <row r="90" spans="8:8">
      <c r="A90" s="15" t="s">
        <v>100</v>
      </c>
      <c r="B90" s="171" t="s">
        <v>65</v>
      </c>
      <c r="C90" s="315">
        <v>0.01</v>
      </c>
      <c r="D90" s="315">
        <v>3091787.2702079997</v>
      </c>
      <c r="E90" s="20">
        <v>315344.0</v>
      </c>
      <c r="F90" s="20">
        <v>473013.0</v>
      </c>
      <c r="G90" s="247">
        <v>1235000.0</v>
      </c>
      <c r="H90" s="329"/>
      <c r="I90" s="43">
        <f t="shared" si="3"/>
        <v>5115144.280207999</v>
      </c>
    </row>
    <row r="91" spans="8:8">
      <c r="A91" s="15" t="s">
        <v>101</v>
      </c>
      <c r="B91" s="171" t="s">
        <v>65</v>
      </c>
      <c r="C91" s="315">
        <v>0.01</v>
      </c>
      <c r="D91" s="315">
        <v>3276261.4510079995</v>
      </c>
      <c r="E91" s="20">
        <v>315344.0</v>
      </c>
      <c r="F91" s="20">
        <v>473013.0</v>
      </c>
      <c r="G91" s="247">
        <v>1235000.0</v>
      </c>
      <c r="H91" s="329"/>
      <c r="I91" s="43">
        <f t="shared" si="3"/>
        <v>5299618.461007999</v>
      </c>
    </row>
    <row r="92" spans="8:8">
      <c r="A92" s="15" t="s">
        <v>102</v>
      </c>
      <c r="B92" s="171" t="s">
        <v>65</v>
      </c>
      <c r="C92" s="315">
        <v>0.01</v>
      </c>
      <c r="D92" s="315">
        <v>2058731.8577279998</v>
      </c>
      <c r="E92" s="20">
        <v>315344.0</v>
      </c>
      <c r="F92" s="20">
        <v>473013.0</v>
      </c>
      <c r="G92" s="247">
        <v>1235000.0</v>
      </c>
      <c r="H92" s="329"/>
      <c r="I92" s="43">
        <f t="shared" si="3"/>
        <v>4082088.8677279996</v>
      </c>
    </row>
    <row r="93" spans="8:8">
      <c r="A93" s="15" t="s">
        <v>103</v>
      </c>
      <c r="B93" s="171" t="s">
        <v>65</v>
      </c>
      <c r="C93" s="315">
        <v>0.01</v>
      </c>
      <c r="D93" s="315">
        <v>1955426.3164799998</v>
      </c>
      <c r="E93" s="20">
        <v>315344.0</v>
      </c>
      <c r="F93" s="20">
        <v>473013.0</v>
      </c>
      <c r="G93" s="247">
        <v>1235000.0</v>
      </c>
      <c r="H93" s="329"/>
      <c r="I93" s="43">
        <f t="shared" si="3"/>
        <v>3978783.32648</v>
      </c>
    </row>
    <row r="94" spans="8:8">
      <c r="A94" s="15" t="s">
        <v>104</v>
      </c>
      <c r="B94" s="171" t="s">
        <v>65</v>
      </c>
      <c r="C94" s="315">
        <v>0.01</v>
      </c>
      <c r="D94" s="315">
        <v>2080868.759424</v>
      </c>
      <c r="E94" s="20">
        <v>315344.0</v>
      </c>
      <c r="F94" s="20">
        <v>473013.0</v>
      </c>
      <c r="G94" s="247">
        <v>1235000.0</v>
      </c>
      <c r="H94" s="329"/>
      <c r="I94" s="43">
        <f t="shared" si="3"/>
        <v>4104225.769424</v>
      </c>
    </row>
    <row r="95" spans="8:8" s="49" ht="15.0" customFormat="1">
      <c r="A95" s="3" t="s">
        <v>105</v>
      </c>
      <c r="B95" s="164" t="s">
        <v>65</v>
      </c>
      <c r="C95" s="315">
        <v>0.01</v>
      </c>
      <c r="D95" s="315">
        <v>2302237.776384</v>
      </c>
      <c r="E95" s="20">
        <v>315344.0</v>
      </c>
      <c r="F95" s="20">
        <v>473013.0</v>
      </c>
      <c r="G95" s="247">
        <v>1235000.0</v>
      </c>
      <c r="H95" s="329"/>
      <c r="I95" s="241">
        <f t="shared" si="3"/>
        <v>4325594.7863839995</v>
      </c>
    </row>
    <row r="96" spans="8:8">
      <c r="A96" s="3" t="s">
        <v>108</v>
      </c>
      <c r="B96" s="164" t="s">
        <v>65</v>
      </c>
      <c r="C96" s="315">
        <v>0.01</v>
      </c>
      <c r="D96" s="315">
        <v>2080868.759424</v>
      </c>
      <c r="E96" s="20">
        <v>315344.0</v>
      </c>
      <c r="F96" s="20">
        <v>473013.0</v>
      </c>
      <c r="G96" s="247">
        <v>1235000.0</v>
      </c>
      <c r="H96" s="329"/>
      <c r="I96" s="43">
        <f t="shared" si="3"/>
        <v>4104225.769424</v>
      </c>
    </row>
    <row r="97" spans="8:8">
      <c r="A97" s="3" t="s">
        <v>109</v>
      </c>
      <c r="B97" s="164" t="s">
        <v>65</v>
      </c>
      <c r="C97" s="315">
        <v>0.01</v>
      </c>
      <c r="D97" s="315">
        <v>2302237.776384</v>
      </c>
      <c r="E97" s="20">
        <v>315344.0</v>
      </c>
      <c r="F97" s="20">
        <v>473013.0</v>
      </c>
      <c r="G97" s="247">
        <v>1235000.0</v>
      </c>
      <c r="H97" s="329"/>
      <c r="I97" s="43">
        <f t="shared" si="3"/>
        <v>4325594.7863839995</v>
      </c>
    </row>
    <row r="98" spans="8:8">
      <c r="A98" s="3" t="s">
        <v>110</v>
      </c>
      <c r="B98" s="164" t="s">
        <v>65</v>
      </c>
      <c r="C98" s="315">
        <v>1.1154E7</v>
      </c>
      <c r="D98" s="315">
        <v>1911152.5130879998</v>
      </c>
      <c r="E98" s="20">
        <v>315344.0</v>
      </c>
      <c r="F98" s="20">
        <v>473013.0</v>
      </c>
      <c r="G98" s="247">
        <v>1235000.0</v>
      </c>
      <c r="H98" s="329"/>
      <c r="I98" s="43">
        <f t="shared" si="3"/>
        <v>1.5088509513088E7</v>
      </c>
    </row>
    <row r="99" spans="8:8">
      <c r="A99" s="3" t="s">
        <v>111</v>
      </c>
      <c r="B99" s="164" t="s">
        <v>65</v>
      </c>
      <c r="C99" s="315">
        <v>0.01</v>
      </c>
      <c r="D99" s="315">
        <v>1955426.3164799998</v>
      </c>
      <c r="E99" s="20">
        <v>315344.0</v>
      </c>
      <c r="F99" s="20">
        <v>473013.0</v>
      </c>
      <c r="G99" s="247">
        <v>1235000.0</v>
      </c>
      <c r="H99" s="329"/>
      <c r="I99" s="43">
        <f t="shared" si="3"/>
        <v>3978783.32648</v>
      </c>
    </row>
    <row r="100" spans="8:8">
      <c r="A100" s="3" t="s">
        <v>112</v>
      </c>
      <c r="B100" s="164" t="s">
        <v>65</v>
      </c>
      <c r="C100" s="315">
        <v>0.01</v>
      </c>
      <c r="D100" s="315">
        <v>2080868.759424</v>
      </c>
      <c r="E100" s="20">
        <v>315344.0</v>
      </c>
      <c r="F100" s="20">
        <v>473013.0</v>
      </c>
      <c r="G100" s="247">
        <v>1235000.0</v>
      </c>
      <c r="H100" s="329"/>
      <c r="I100" s="43">
        <f t="shared" si="3"/>
        <v>4104225.769424</v>
      </c>
    </row>
    <row r="101" spans="8:8">
      <c r="A101" s="3" t="s">
        <v>113</v>
      </c>
      <c r="B101" s="164" t="s">
        <v>65</v>
      </c>
      <c r="C101" s="315">
        <v>0.01</v>
      </c>
      <c r="D101" s="315">
        <v>2302237.776384</v>
      </c>
      <c r="E101" s="20">
        <v>315344.0</v>
      </c>
      <c r="F101" s="20">
        <v>473013.0</v>
      </c>
      <c r="G101" s="247">
        <v>1235000.0</v>
      </c>
      <c r="H101" s="329"/>
      <c r="I101" s="43">
        <f t="shared" si="3"/>
        <v>4325594.7863839995</v>
      </c>
    </row>
    <row r="102" spans="8:8">
      <c r="A102" s="3" t="s">
        <v>114</v>
      </c>
      <c r="B102" s="164" t="s">
        <v>65</v>
      </c>
      <c r="C102" s="315">
        <v>0.01</v>
      </c>
      <c r="D102" s="315">
        <v>1955426.3164799998</v>
      </c>
      <c r="E102" s="20">
        <v>315344.0</v>
      </c>
      <c r="F102" s="20">
        <v>473013.0</v>
      </c>
      <c r="G102" s="247">
        <v>1235000.0</v>
      </c>
      <c r="H102" s="329"/>
      <c r="I102" s="43">
        <f t="shared" si="3"/>
        <v>3978783.32648</v>
      </c>
    </row>
    <row r="103" spans="8:8">
      <c r="A103" s="3" t="s">
        <v>115</v>
      </c>
      <c r="B103" s="164" t="s">
        <v>65</v>
      </c>
      <c r="C103" s="315">
        <v>0.01</v>
      </c>
      <c r="D103" s="315">
        <v>2080868.759424</v>
      </c>
      <c r="E103" s="20">
        <v>315344.0</v>
      </c>
      <c r="F103" s="20">
        <v>473013.0</v>
      </c>
      <c r="G103" s="247">
        <v>1235000.0</v>
      </c>
      <c r="H103" s="329"/>
      <c r="I103" s="43">
        <f t="shared" si="3"/>
        <v>4104225.769424</v>
      </c>
    </row>
    <row r="104" spans="8:8">
      <c r="A104" s="3" t="s">
        <v>116</v>
      </c>
      <c r="B104" s="164" t="s">
        <v>65</v>
      </c>
      <c r="C104" s="315">
        <v>0.01</v>
      </c>
      <c r="D104" s="315">
        <v>2302237.776384</v>
      </c>
      <c r="E104" s="20">
        <v>315344.0</v>
      </c>
      <c r="F104" s="20">
        <v>473013.0</v>
      </c>
      <c r="G104" s="247">
        <v>1235000.0</v>
      </c>
      <c r="H104" s="329"/>
      <c r="I104" s="43">
        <f t="shared" si="3"/>
        <v>4325594.7863839995</v>
      </c>
    </row>
    <row r="105" spans="8:8">
      <c r="A105" s="3" t="s">
        <v>117</v>
      </c>
      <c r="B105" s="164" t="s">
        <v>65</v>
      </c>
      <c r="C105" s="315">
        <v>0.01</v>
      </c>
      <c r="D105" s="315">
        <v>2080868.759424</v>
      </c>
      <c r="E105" s="20">
        <v>315344.0</v>
      </c>
      <c r="F105" s="20">
        <v>473013.0</v>
      </c>
      <c r="G105" s="247">
        <v>1235000.0</v>
      </c>
      <c r="H105" s="329"/>
      <c r="I105" s="43">
        <f t="shared" si="3"/>
        <v>4104225.769424</v>
      </c>
    </row>
    <row r="106" spans="8:8">
      <c r="A106" s="3" t="s">
        <v>118</v>
      </c>
      <c r="B106" s="164" t="s">
        <v>65</v>
      </c>
      <c r="C106" s="315">
        <v>0.01</v>
      </c>
      <c r="D106" s="315">
        <v>1955426.3164799998</v>
      </c>
      <c r="E106" s="20">
        <v>315344.0</v>
      </c>
      <c r="F106" s="20">
        <v>473013.0</v>
      </c>
      <c r="G106" s="247">
        <v>1235000.0</v>
      </c>
      <c r="H106" s="329"/>
      <c r="I106" s="43">
        <f t="shared" si="3"/>
        <v>3978783.32648</v>
      </c>
    </row>
    <row r="107" spans="8:8">
      <c r="A107" s="3" t="s">
        <v>119</v>
      </c>
      <c r="B107" s="164" t="s">
        <v>65</v>
      </c>
      <c r="C107" s="315">
        <v>0.01</v>
      </c>
      <c r="D107" s="315">
        <v>2080868.759424</v>
      </c>
      <c r="E107" s="20">
        <v>315344.0</v>
      </c>
      <c r="F107" s="20">
        <v>473013.0</v>
      </c>
      <c r="G107" s="247">
        <v>1235000.0</v>
      </c>
      <c r="H107" s="329"/>
      <c r="I107" s="43">
        <f t="shared" si="3"/>
        <v>4104225.769424</v>
      </c>
    </row>
    <row r="108" spans="8:8">
      <c r="A108" s="3" t="s">
        <v>120</v>
      </c>
      <c r="B108" s="164" t="s">
        <v>65</v>
      </c>
      <c r="C108" s="315">
        <v>0.01</v>
      </c>
      <c r="D108" s="315">
        <v>3910852.6329599996</v>
      </c>
      <c r="E108" s="20">
        <v>315344.0</v>
      </c>
      <c r="F108" s="20">
        <v>473013.0</v>
      </c>
      <c r="G108" s="247">
        <v>1235000.0</v>
      </c>
      <c r="H108" s="329"/>
      <c r="I108" s="43">
        <f t="shared" si="3"/>
        <v>5934209.642959999</v>
      </c>
    </row>
    <row r="109" spans="8:8">
      <c r="A109" s="3" t="s">
        <v>121</v>
      </c>
      <c r="B109" s="164" t="s">
        <v>65</v>
      </c>
      <c r="C109" s="315">
        <v>0.01</v>
      </c>
      <c r="D109" s="315">
        <v>4161737.518848</v>
      </c>
      <c r="E109" s="20">
        <v>315344.0</v>
      </c>
      <c r="F109" s="20">
        <v>473013.0</v>
      </c>
      <c r="G109" s="247">
        <v>1235000.0</v>
      </c>
      <c r="H109" s="329"/>
      <c r="I109" s="43">
        <f t="shared" si="3"/>
        <v>6185094.528848</v>
      </c>
    </row>
    <row r="110" spans="8:8">
      <c r="A110" s="3" t="s">
        <v>122</v>
      </c>
      <c r="B110" s="164" t="s">
        <v>65</v>
      </c>
      <c r="C110" s="315">
        <v>0.01</v>
      </c>
      <c r="D110" s="315">
        <v>1955426.3164799998</v>
      </c>
      <c r="E110" s="20">
        <v>315344.0</v>
      </c>
      <c r="F110" s="20">
        <v>473013.0</v>
      </c>
      <c r="G110" s="247">
        <v>1235000.0</v>
      </c>
      <c r="H110" s="329"/>
      <c r="I110" s="43">
        <f t="shared" si="3"/>
        <v>3978783.32648</v>
      </c>
    </row>
    <row r="111" spans="8:8">
      <c r="A111" s="3" t="s">
        <v>123</v>
      </c>
      <c r="B111" s="164" t="s">
        <v>65</v>
      </c>
      <c r="C111" s="315">
        <v>0.01</v>
      </c>
      <c r="D111" s="315">
        <v>2080868.759424</v>
      </c>
      <c r="E111" s="20">
        <v>315344.0</v>
      </c>
      <c r="F111" s="20">
        <v>473013.0</v>
      </c>
      <c r="G111" s="247">
        <v>1235000.0</v>
      </c>
      <c r="H111" s="329"/>
      <c r="I111" s="43">
        <f t="shared" si="3"/>
        <v>4104225.769424</v>
      </c>
    </row>
    <row r="112" spans="8:8">
      <c r="A112" s="3" t="s">
        <v>124</v>
      </c>
      <c r="B112" s="164" t="s">
        <v>65</v>
      </c>
      <c r="C112" s="315">
        <v>0.01</v>
      </c>
      <c r="D112" s="315">
        <v>2302237.776384</v>
      </c>
      <c r="E112" s="20">
        <v>315344.0</v>
      </c>
      <c r="F112" s="20">
        <v>473013.0</v>
      </c>
      <c r="G112" s="247">
        <v>1235000.0</v>
      </c>
      <c r="H112" s="329"/>
      <c r="I112" s="43">
        <f t="shared" si="3"/>
        <v>4325594.7863839995</v>
      </c>
    </row>
    <row r="113" spans="8:8">
      <c r="A113" s="3" t="s">
        <v>125</v>
      </c>
      <c r="B113" s="164" t="s">
        <v>65</v>
      </c>
      <c r="C113" s="315">
        <v>0.01</v>
      </c>
      <c r="D113" s="315">
        <v>2538364.727808</v>
      </c>
      <c r="E113" s="20">
        <v>315344.0</v>
      </c>
      <c r="F113" s="20">
        <v>473013.0</v>
      </c>
      <c r="G113" s="247">
        <v>1235000.0</v>
      </c>
      <c r="H113" s="329"/>
      <c r="I113" s="43">
        <f t="shared" si="3"/>
        <v>4561721.737808</v>
      </c>
    </row>
    <row r="114" spans="8:8">
      <c r="A114" s="3" t="s">
        <v>126</v>
      </c>
      <c r="B114" s="164" t="s">
        <v>65</v>
      </c>
      <c r="C114" s="315">
        <v>0.01</v>
      </c>
      <c r="D114" s="315">
        <v>2877797.2204799997</v>
      </c>
      <c r="E114" s="20">
        <v>315344.0</v>
      </c>
      <c r="F114" s="20">
        <v>473013.0</v>
      </c>
      <c r="G114" s="247">
        <v>1235000.0</v>
      </c>
      <c r="H114" s="329"/>
      <c r="I114" s="43">
        <f t="shared" si="4" ref="I114:I177">SUM(C114:H114)</f>
        <v>4901154.230479999</v>
      </c>
    </row>
    <row r="115" spans="8:8">
      <c r="A115" s="3" t="s">
        <v>127</v>
      </c>
      <c r="B115" s="164" t="s">
        <v>65</v>
      </c>
      <c r="C115" s="315">
        <v>0.01</v>
      </c>
      <c r="D115" s="315">
        <v>3910852.6329599996</v>
      </c>
      <c r="E115" s="20">
        <v>315344.0</v>
      </c>
      <c r="F115" s="20">
        <v>473013.0</v>
      </c>
      <c r="G115" s="247">
        <v>1235000.0</v>
      </c>
      <c r="H115" s="329"/>
      <c r="I115" s="43">
        <f t="shared" si="4"/>
        <v>5934209.642959999</v>
      </c>
    </row>
    <row r="116" spans="8:8">
      <c r="A116" s="3" t="s">
        <v>128</v>
      </c>
      <c r="B116" s="164" t="s">
        <v>65</v>
      </c>
      <c r="C116" s="315">
        <v>0.01</v>
      </c>
      <c r="D116" s="315">
        <v>4161737.518848</v>
      </c>
      <c r="E116" s="20">
        <v>315344.0</v>
      </c>
      <c r="F116" s="20">
        <v>473013.0</v>
      </c>
      <c r="G116" s="247">
        <v>1235000.0</v>
      </c>
      <c r="H116" s="329"/>
      <c r="I116" s="43">
        <f t="shared" si="4"/>
        <v>6185094.528848</v>
      </c>
    </row>
    <row r="117" spans="8:8">
      <c r="A117" s="3" t="s">
        <v>129</v>
      </c>
      <c r="B117" s="164" t="s">
        <v>65</v>
      </c>
      <c r="C117" s="315">
        <v>0.01</v>
      </c>
      <c r="D117" s="315">
        <v>4604475.552768</v>
      </c>
      <c r="E117" s="20">
        <v>315344.0</v>
      </c>
      <c r="F117" s="20">
        <v>473013.0</v>
      </c>
      <c r="G117" s="247">
        <v>1235000.0</v>
      </c>
      <c r="H117" s="329"/>
      <c r="I117" s="43">
        <f t="shared" si="4"/>
        <v>6627832.562768</v>
      </c>
    </row>
    <row r="118" spans="8:8">
      <c r="A118" s="3" t="s">
        <v>130</v>
      </c>
      <c r="B118" s="164" t="s">
        <v>65</v>
      </c>
      <c r="C118" s="315">
        <v>0.01</v>
      </c>
      <c r="D118" s="315">
        <v>5076729.455616</v>
      </c>
      <c r="E118" s="20">
        <v>315344.0</v>
      </c>
      <c r="F118" s="20">
        <v>473013.0</v>
      </c>
      <c r="G118" s="247">
        <v>1235000.0</v>
      </c>
      <c r="H118" s="329"/>
      <c r="I118" s="43">
        <f t="shared" si="4"/>
        <v>7100086.465616</v>
      </c>
    </row>
    <row r="119" spans="8:8">
      <c r="A119" s="3" t="s">
        <v>131</v>
      </c>
      <c r="B119" s="164" t="s">
        <v>65</v>
      </c>
      <c r="C119" s="315">
        <v>0.01</v>
      </c>
      <c r="D119" s="315">
        <v>5755594.440959999</v>
      </c>
      <c r="E119" s="20">
        <v>315344.0</v>
      </c>
      <c r="F119" s="20">
        <v>473013.0</v>
      </c>
      <c r="G119" s="247">
        <v>1235000.0</v>
      </c>
      <c r="H119" s="329"/>
      <c r="I119" s="43">
        <f t="shared" si="4"/>
        <v>7778951.450959999</v>
      </c>
    </row>
    <row r="120" spans="8:8">
      <c r="A120" s="3" t="s">
        <v>132</v>
      </c>
      <c r="B120" s="164" t="s">
        <v>65</v>
      </c>
      <c r="C120" s="315">
        <v>0.01</v>
      </c>
      <c r="D120" s="315">
        <v>1955426.3164799998</v>
      </c>
      <c r="E120" s="20">
        <v>315344.0</v>
      </c>
      <c r="F120" s="20">
        <v>473013.0</v>
      </c>
      <c r="G120" s="247">
        <v>1235000.0</v>
      </c>
      <c r="H120" s="329"/>
      <c r="I120" s="43">
        <f t="shared" si="4"/>
        <v>3978783.32648</v>
      </c>
    </row>
    <row r="121" spans="8:8">
      <c r="A121" s="3" t="s">
        <v>133</v>
      </c>
      <c r="B121" s="164" t="s">
        <v>65</v>
      </c>
      <c r="C121" s="315">
        <v>0.01</v>
      </c>
      <c r="D121" s="315">
        <v>2080868.759424</v>
      </c>
      <c r="E121" s="20">
        <v>315344.0</v>
      </c>
      <c r="F121" s="20">
        <v>473013.0</v>
      </c>
      <c r="G121" s="247">
        <v>1235000.0</v>
      </c>
      <c r="H121" s="329"/>
      <c r="I121" s="43">
        <f t="shared" si="4"/>
        <v>4104225.769424</v>
      </c>
    </row>
    <row r="122" spans="8:8">
      <c r="A122" s="3" t="s">
        <v>134</v>
      </c>
      <c r="B122" s="164" t="s">
        <v>65</v>
      </c>
      <c r="C122" s="315">
        <v>0.01</v>
      </c>
      <c r="D122" s="315">
        <v>2302237.776384</v>
      </c>
      <c r="E122" s="20">
        <v>315344.0</v>
      </c>
      <c r="F122" s="20">
        <v>473013.0</v>
      </c>
      <c r="G122" s="247">
        <v>1235000.0</v>
      </c>
      <c r="H122" s="329"/>
      <c r="I122" s="43">
        <f t="shared" si="4"/>
        <v>4325594.7863839995</v>
      </c>
    </row>
    <row r="123" spans="8:8">
      <c r="A123" s="3" t="s">
        <v>135</v>
      </c>
      <c r="B123" s="164" t="s">
        <v>65</v>
      </c>
      <c r="C123" s="315">
        <v>0.01</v>
      </c>
      <c r="D123" s="315">
        <v>1955426.3164799998</v>
      </c>
      <c r="E123" s="20">
        <v>315344.0</v>
      </c>
      <c r="F123" s="20">
        <v>473013.0</v>
      </c>
      <c r="G123" s="247">
        <v>1235000.0</v>
      </c>
      <c r="H123" s="329"/>
      <c r="I123" s="43">
        <f t="shared" si="4"/>
        <v>3978783.32648</v>
      </c>
    </row>
    <row r="124" spans="8:8">
      <c r="A124" s="3" t="s">
        <v>136</v>
      </c>
      <c r="B124" s="164" t="s">
        <v>65</v>
      </c>
      <c r="C124" s="315">
        <v>0.01</v>
      </c>
      <c r="D124" s="315">
        <v>2080868.759424</v>
      </c>
      <c r="E124" s="20">
        <v>315344.0</v>
      </c>
      <c r="F124" s="20">
        <v>473013.0</v>
      </c>
      <c r="G124" s="247">
        <v>1235000.0</v>
      </c>
      <c r="H124" s="329"/>
      <c r="I124" s="43">
        <f t="shared" si="4"/>
        <v>4104225.769424</v>
      </c>
    </row>
    <row r="125" spans="8:8">
      <c r="A125" s="3" t="s">
        <v>137</v>
      </c>
      <c r="B125" s="164" t="s">
        <v>65</v>
      </c>
      <c r="C125" s="315">
        <v>0.01</v>
      </c>
      <c r="D125" s="315">
        <v>3910852.6329599996</v>
      </c>
      <c r="E125" s="20">
        <v>315344.0</v>
      </c>
      <c r="F125" s="20">
        <v>473013.0</v>
      </c>
      <c r="G125" s="247">
        <v>1235000.0</v>
      </c>
      <c r="H125" s="329"/>
      <c r="I125" s="43">
        <f t="shared" si="4"/>
        <v>5934209.642959999</v>
      </c>
    </row>
    <row r="126" spans="8:8">
      <c r="A126" s="3" t="s">
        <v>138</v>
      </c>
      <c r="B126" s="164" t="s">
        <v>65</v>
      </c>
      <c r="C126" s="315">
        <v>0.01</v>
      </c>
      <c r="D126" s="315">
        <v>4161737.518848</v>
      </c>
      <c r="E126" s="20">
        <v>315344.0</v>
      </c>
      <c r="F126" s="20">
        <v>473013.0</v>
      </c>
      <c r="G126" s="247">
        <v>1235000.0</v>
      </c>
      <c r="H126" s="329"/>
      <c r="I126" s="43">
        <f t="shared" si="4"/>
        <v>6185094.528848</v>
      </c>
    </row>
    <row r="127" spans="8:8">
      <c r="A127" s="3" t="s">
        <v>139</v>
      </c>
      <c r="B127" s="164" t="s">
        <v>65</v>
      </c>
      <c r="C127" s="315">
        <v>0.01</v>
      </c>
      <c r="D127" s="315">
        <v>1955426.3164799998</v>
      </c>
      <c r="E127" s="20">
        <v>315344.0</v>
      </c>
      <c r="F127" s="20">
        <v>473013.0</v>
      </c>
      <c r="G127" s="247">
        <v>1235000.0</v>
      </c>
      <c r="H127" s="329"/>
      <c r="I127" s="43">
        <f t="shared" si="4"/>
        <v>3978783.32648</v>
      </c>
    </row>
    <row r="128" spans="8:8">
      <c r="A128" s="3" t="s">
        <v>140</v>
      </c>
      <c r="B128" s="164" t="s">
        <v>65</v>
      </c>
      <c r="C128" s="315">
        <v>0.01</v>
      </c>
      <c r="D128" s="315">
        <v>2080868.759424</v>
      </c>
      <c r="E128" s="20">
        <v>315344.0</v>
      </c>
      <c r="F128" s="20">
        <v>473013.0</v>
      </c>
      <c r="G128" s="247">
        <v>1235000.0</v>
      </c>
      <c r="H128" s="329"/>
      <c r="I128" s="43">
        <f t="shared" si="4"/>
        <v>4104225.769424</v>
      </c>
    </row>
    <row r="129" spans="8:8">
      <c r="A129" s="3" t="s">
        <v>141</v>
      </c>
      <c r="B129" s="164" t="s">
        <v>65</v>
      </c>
      <c r="C129" s="315">
        <v>0.01</v>
      </c>
      <c r="D129" s="315">
        <v>2302237.776384</v>
      </c>
      <c r="E129" s="20">
        <v>315344.0</v>
      </c>
      <c r="F129" s="20">
        <v>473013.0</v>
      </c>
      <c r="G129" s="247">
        <v>1235000.0</v>
      </c>
      <c r="H129" s="329"/>
      <c r="I129" s="43">
        <f t="shared" si="4"/>
        <v>4325594.7863839995</v>
      </c>
    </row>
    <row r="130" spans="8:8">
      <c r="A130" s="3" t="s">
        <v>142</v>
      </c>
      <c r="B130" s="164" t="s">
        <v>65</v>
      </c>
      <c r="C130" s="315">
        <v>0.01</v>
      </c>
      <c r="D130" s="315">
        <v>3910852.6329599996</v>
      </c>
      <c r="E130" s="20">
        <v>315344.0</v>
      </c>
      <c r="F130" s="20">
        <v>473013.0</v>
      </c>
      <c r="G130" s="247">
        <v>1235000.0</v>
      </c>
      <c r="H130" s="329"/>
      <c r="I130" s="43">
        <f t="shared" si="4"/>
        <v>5934209.642959999</v>
      </c>
    </row>
    <row r="131" spans="8:8">
      <c r="A131" s="3" t="s">
        <v>143</v>
      </c>
      <c r="B131" s="164" t="s">
        <v>65</v>
      </c>
      <c r="C131" s="315">
        <v>0.01</v>
      </c>
      <c r="D131" s="315">
        <v>4161737.518848</v>
      </c>
      <c r="E131" s="20">
        <v>315344.0</v>
      </c>
      <c r="F131" s="20">
        <v>473013.0</v>
      </c>
      <c r="G131" s="247">
        <v>1235000.0</v>
      </c>
      <c r="H131" s="329"/>
      <c r="I131" s="43">
        <f t="shared" si="4"/>
        <v>6185094.528848</v>
      </c>
    </row>
    <row r="132" spans="8:8">
      <c r="A132" s="3" t="s">
        <v>144</v>
      </c>
      <c r="B132" s="164" t="s">
        <v>65</v>
      </c>
      <c r="C132" s="315">
        <v>0.01</v>
      </c>
      <c r="D132" s="315">
        <v>4604475.552768</v>
      </c>
      <c r="E132" s="20">
        <v>315344.0</v>
      </c>
      <c r="F132" s="20">
        <v>473013.0</v>
      </c>
      <c r="G132" s="247">
        <v>1235000.0</v>
      </c>
      <c r="H132" s="329"/>
      <c r="I132" s="43">
        <f t="shared" si="4"/>
        <v>6627832.562768</v>
      </c>
    </row>
    <row r="133" spans="8:8">
      <c r="A133" s="3" t="s">
        <v>145</v>
      </c>
      <c r="B133" s="164" t="s">
        <v>65</v>
      </c>
      <c r="C133" s="315">
        <v>0.01</v>
      </c>
      <c r="D133" s="315">
        <v>1955426.3164799998</v>
      </c>
      <c r="E133" s="20">
        <v>315344.0</v>
      </c>
      <c r="F133" s="20">
        <v>473013.0</v>
      </c>
      <c r="G133" s="247">
        <v>1235000.0</v>
      </c>
      <c r="H133" s="329"/>
      <c r="I133" s="43">
        <f t="shared" si="4"/>
        <v>3978783.32648</v>
      </c>
    </row>
    <row r="134" spans="8:8">
      <c r="A134" s="3" t="s">
        <v>146</v>
      </c>
      <c r="B134" s="164" t="s">
        <v>65</v>
      </c>
      <c r="C134" s="315">
        <v>0.01</v>
      </c>
      <c r="D134" s="315">
        <v>2080868.759424</v>
      </c>
      <c r="E134" s="20">
        <v>315344.0</v>
      </c>
      <c r="F134" s="20">
        <v>473013.0</v>
      </c>
      <c r="G134" s="247">
        <v>1235000.0</v>
      </c>
      <c r="H134" s="329"/>
      <c r="I134" s="43">
        <f t="shared" si="4"/>
        <v>4104225.769424</v>
      </c>
    </row>
    <row r="135" spans="8:8">
      <c r="A135" s="3" t="s">
        <v>147</v>
      </c>
      <c r="B135" s="164" t="s">
        <v>65</v>
      </c>
      <c r="C135" s="315">
        <v>0.01</v>
      </c>
      <c r="D135" s="315">
        <v>2302237.776384</v>
      </c>
      <c r="E135" s="20">
        <v>315344.0</v>
      </c>
      <c r="F135" s="20">
        <v>473013.0</v>
      </c>
      <c r="G135" s="247">
        <v>1235000.0</v>
      </c>
      <c r="H135" s="329"/>
      <c r="I135" s="43">
        <f t="shared" si="4"/>
        <v>4325594.7863839995</v>
      </c>
    </row>
    <row r="136" spans="8:8">
      <c r="A136" s="3" t="s">
        <v>148</v>
      </c>
      <c r="B136" s="164" t="s">
        <v>65</v>
      </c>
      <c r="C136" s="315">
        <v>0.01</v>
      </c>
      <c r="D136" s="315">
        <v>2080868.759424</v>
      </c>
      <c r="E136" s="20">
        <v>315344.0</v>
      </c>
      <c r="F136" s="20">
        <v>473013.0</v>
      </c>
      <c r="G136" s="247">
        <v>1235000.0</v>
      </c>
      <c r="H136" s="329"/>
      <c r="I136" s="43">
        <f t="shared" si="4"/>
        <v>4104225.769424</v>
      </c>
    </row>
    <row r="137" spans="8:8">
      <c r="A137" s="3" t="s">
        <v>149</v>
      </c>
      <c r="B137" s="164" t="s">
        <v>65</v>
      </c>
      <c r="C137" s="315">
        <v>0.01</v>
      </c>
      <c r="D137" s="315">
        <v>2302237.776384</v>
      </c>
      <c r="E137" s="20">
        <v>315344.0</v>
      </c>
      <c r="F137" s="20">
        <v>473013.0</v>
      </c>
      <c r="G137" s="247">
        <v>1235000.0</v>
      </c>
      <c r="H137" s="329"/>
      <c r="I137" s="43">
        <f t="shared" si="4"/>
        <v>4325594.7863839995</v>
      </c>
    </row>
    <row r="138" spans="8:8">
      <c r="A138" s="3" t="s">
        <v>150</v>
      </c>
      <c r="B138" s="164" t="s">
        <v>65</v>
      </c>
      <c r="C138" s="315">
        <v>0.01</v>
      </c>
      <c r="D138" s="315">
        <v>3091787.2702079997</v>
      </c>
      <c r="E138" s="20">
        <v>315344.0</v>
      </c>
      <c r="F138" s="20">
        <v>473013.0</v>
      </c>
      <c r="G138" s="247">
        <v>1235000.0</v>
      </c>
      <c r="H138" s="329"/>
      <c r="I138" s="43">
        <f t="shared" si="4"/>
        <v>5115144.280207999</v>
      </c>
    </row>
    <row r="139" spans="8:8">
      <c r="A139" s="3" t="s">
        <v>151</v>
      </c>
      <c r="B139" s="164" t="s">
        <v>65</v>
      </c>
      <c r="C139" s="315">
        <v>0.01</v>
      </c>
      <c r="D139" s="315">
        <v>4161737.518848</v>
      </c>
      <c r="E139" s="20">
        <v>315344.0</v>
      </c>
      <c r="F139" s="20">
        <v>473013.0</v>
      </c>
      <c r="G139" s="247">
        <v>1235000.0</v>
      </c>
      <c r="H139" s="329"/>
      <c r="I139" s="43">
        <f t="shared" si="4"/>
        <v>6185094.528848</v>
      </c>
    </row>
    <row r="140" spans="8:8">
      <c r="A140" s="3" t="s">
        <v>152</v>
      </c>
      <c r="B140" s="164" t="s">
        <v>65</v>
      </c>
      <c r="C140" s="315">
        <v>0.01</v>
      </c>
      <c r="D140" s="315">
        <v>4604475.552768</v>
      </c>
      <c r="E140" s="20">
        <v>315344.0</v>
      </c>
      <c r="F140" s="20">
        <v>473013.0</v>
      </c>
      <c r="G140" s="247">
        <v>1235000.0</v>
      </c>
      <c r="H140" s="329"/>
      <c r="I140" s="43">
        <f t="shared" si="4"/>
        <v>6627832.562768</v>
      </c>
    </row>
    <row r="141" spans="8:8">
      <c r="A141" s="3" t="s">
        <v>153</v>
      </c>
      <c r="B141" s="164" t="s">
        <v>65</v>
      </c>
      <c r="C141" s="315">
        <v>0.01</v>
      </c>
      <c r="D141" s="315">
        <v>9592657.4016</v>
      </c>
      <c r="E141" s="20">
        <v>315344.0</v>
      </c>
      <c r="F141" s="20">
        <v>473013.0</v>
      </c>
      <c r="G141" s="247">
        <v>1235000.0</v>
      </c>
      <c r="H141" s="329"/>
      <c r="I141" s="43">
        <f t="shared" si="4"/>
        <v>1.16160144116E7</v>
      </c>
    </row>
    <row r="142" spans="8:8">
      <c r="A142" s="3" t="s">
        <v>154</v>
      </c>
      <c r="B142" s="164" t="s">
        <v>65</v>
      </c>
      <c r="C142" s="315">
        <v>0.01</v>
      </c>
      <c r="D142" s="315">
        <v>1844741.8080000002</v>
      </c>
      <c r="E142" s="20">
        <v>315344.0</v>
      </c>
      <c r="F142" s="20">
        <v>473013.0</v>
      </c>
      <c r="G142" s="247">
        <v>1235000.0</v>
      </c>
      <c r="H142" s="329"/>
      <c r="I142" s="43">
        <f t="shared" si="4"/>
        <v>3868098.818</v>
      </c>
    </row>
    <row r="143" spans="8:8">
      <c r="A143" s="3" t="s">
        <v>155</v>
      </c>
      <c r="B143" s="164" t="s">
        <v>65</v>
      </c>
      <c r="C143" s="315">
        <v>0.01</v>
      </c>
      <c r="D143" s="315">
        <v>1955426.3164799998</v>
      </c>
      <c r="E143" s="20">
        <v>315344.0</v>
      </c>
      <c r="F143" s="20">
        <v>473013.0</v>
      </c>
      <c r="G143" s="247">
        <v>1235000.0</v>
      </c>
      <c r="H143" s="329"/>
      <c r="I143" s="43">
        <f t="shared" si="4"/>
        <v>3978783.32648</v>
      </c>
    </row>
    <row r="144" spans="8:8">
      <c r="A144" s="3" t="s">
        <v>156</v>
      </c>
      <c r="B144" s="164" t="s">
        <v>65</v>
      </c>
      <c r="C144" s="315">
        <v>0.01</v>
      </c>
      <c r="D144" s="315">
        <v>2080868.759424</v>
      </c>
      <c r="E144" s="20">
        <v>315344.0</v>
      </c>
      <c r="F144" s="20">
        <v>473013.0</v>
      </c>
      <c r="G144" s="247">
        <v>1235000.0</v>
      </c>
      <c r="H144" s="329"/>
      <c r="I144" s="43">
        <f t="shared" si="4"/>
        <v>4104225.769424</v>
      </c>
    </row>
    <row r="145" spans="8:8">
      <c r="A145" s="3" t="s">
        <v>157</v>
      </c>
      <c r="B145" s="164" t="s">
        <v>65</v>
      </c>
      <c r="C145" s="315">
        <v>0.01</v>
      </c>
      <c r="D145" s="315">
        <v>1955426.3164799998</v>
      </c>
      <c r="E145" s="20">
        <v>315344.0</v>
      </c>
      <c r="F145" s="20">
        <v>473013.0</v>
      </c>
      <c r="G145" s="247">
        <v>1235000.0</v>
      </c>
      <c r="H145" s="329"/>
      <c r="I145" s="43">
        <f t="shared" si="4"/>
        <v>3978783.32648</v>
      </c>
    </row>
    <row r="146" spans="8:8">
      <c r="A146" s="3" t="s">
        <v>158</v>
      </c>
      <c r="B146" s="164" t="s">
        <v>65</v>
      </c>
      <c r="C146" s="315">
        <v>0.01</v>
      </c>
      <c r="D146" s="315">
        <v>2080868.759424</v>
      </c>
      <c r="E146" s="20">
        <v>315344.0</v>
      </c>
      <c r="F146" s="20">
        <v>473013.0</v>
      </c>
      <c r="G146" s="247">
        <v>1235000.0</v>
      </c>
      <c r="H146" s="329"/>
      <c r="I146" s="43">
        <f t="shared" si="4"/>
        <v>4104225.769424</v>
      </c>
    </row>
    <row r="147" spans="8:8">
      <c r="A147" s="3" t="s">
        <v>159</v>
      </c>
      <c r="B147" s="164" t="s">
        <v>65</v>
      </c>
      <c r="C147" s="315">
        <v>0.01</v>
      </c>
      <c r="D147" s="315">
        <v>2302237.776384</v>
      </c>
      <c r="E147" s="20">
        <v>315344.0</v>
      </c>
      <c r="F147" s="20">
        <v>473013.0</v>
      </c>
      <c r="G147" s="247">
        <v>1235000.0</v>
      </c>
      <c r="H147" s="329"/>
      <c r="I147" s="43">
        <f t="shared" si="4"/>
        <v>4325594.7863839995</v>
      </c>
    </row>
    <row r="148" spans="8:8">
      <c r="A148" s="3" t="s">
        <v>160</v>
      </c>
      <c r="B148" s="164" t="s">
        <v>65</v>
      </c>
      <c r="C148" s="315">
        <v>0.01</v>
      </c>
      <c r="D148" s="315">
        <v>2080868.759424</v>
      </c>
      <c r="E148" s="20">
        <v>315344.0</v>
      </c>
      <c r="F148" s="20">
        <v>473013.0</v>
      </c>
      <c r="G148" s="247">
        <v>1235000.0</v>
      </c>
      <c r="H148" s="329"/>
      <c r="I148" s="43">
        <f t="shared" si="4"/>
        <v>4104225.769424</v>
      </c>
    </row>
    <row r="149" spans="8:8">
      <c r="A149" s="15" t="s">
        <v>161</v>
      </c>
      <c r="B149" s="171" t="s">
        <v>65</v>
      </c>
      <c r="C149" s="315">
        <v>0.01</v>
      </c>
      <c r="D149" s="315">
        <v>2302237.776384</v>
      </c>
      <c r="E149" s="20">
        <v>315344.0</v>
      </c>
      <c r="F149" s="20">
        <v>473013.0</v>
      </c>
      <c r="G149" s="247">
        <v>1235000.0</v>
      </c>
      <c r="H149" s="329"/>
      <c r="I149" s="43">
        <f t="shared" si="4"/>
        <v>4325594.7863839995</v>
      </c>
    </row>
    <row r="150" spans="8:8">
      <c r="A150" s="15" t="s">
        <v>162</v>
      </c>
      <c r="B150" s="171" t="s">
        <v>65</v>
      </c>
      <c r="C150" s="315">
        <v>0.01</v>
      </c>
      <c r="D150" s="315">
        <v>4161737.518848</v>
      </c>
      <c r="E150" s="20">
        <v>315344.0</v>
      </c>
      <c r="F150" s="20">
        <v>473013.0</v>
      </c>
      <c r="G150" s="247">
        <v>1235000.0</v>
      </c>
      <c r="H150" s="329"/>
      <c r="I150" s="43">
        <f t="shared" si="4"/>
        <v>6185094.528848</v>
      </c>
    </row>
    <row r="151" spans="8:8">
      <c r="A151" s="15" t="s">
        <v>163</v>
      </c>
      <c r="B151" s="171" t="s">
        <v>65</v>
      </c>
      <c r="C151" s="315">
        <v>0.01</v>
      </c>
      <c r="D151" s="315">
        <v>4604475.552768</v>
      </c>
      <c r="E151" s="20">
        <v>315344.0</v>
      </c>
      <c r="F151" s="20">
        <v>473013.0</v>
      </c>
      <c r="G151" s="247">
        <v>1235000.0</v>
      </c>
      <c r="H151" s="329"/>
      <c r="I151" s="43">
        <f t="shared" si="4"/>
        <v>6627832.562768</v>
      </c>
    </row>
    <row r="152" spans="8:8">
      <c r="A152" s="3" t="s">
        <v>164</v>
      </c>
      <c r="B152" s="164" t="s">
        <v>65</v>
      </c>
      <c r="C152" s="315">
        <v>0.01</v>
      </c>
      <c r="D152" s="315">
        <v>1800468.0046079997</v>
      </c>
      <c r="E152" s="20">
        <v>315344.0</v>
      </c>
      <c r="F152" s="20">
        <v>473013.0</v>
      </c>
      <c r="G152" s="247">
        <v>1235000.0</v>
      </c>
      <c r="H152" s="329"/>
      <c r="I152" s="43">
        <f t="shared" si="4"/>
        <v>3823825.0146079995</v>
      </c>
    </row>
    <row r="153" spans="8:8">
      <c r="A153" s="3" t="s">
        <v>165</v>
      </c>
      <c r="B153" s="164" t="s">
        <v>65</v>
      </c>
      <c r="C153" s="315">
        <v>0.01</v>
      </c>
      <c r="D153" s="315">
        <v>2021837.0215680003</v>
      </c>
      <c r="E153" s="20">
        <v>315344.0</v>
      </c>
      <c r="F153" s="20">
        <v>473013.0</v>
      </c>
      <c r="G153" s="247">
        <v>1235000.0</v>
      </c>
      <c r="H153" s="329"/>
      <c r="I153" s="43">
        <f t="shared" si="4"/>
        <v>4045194.031568</v>
      </c>
    </row>
    <row r="154" spans="8:8">
      <c r="A154" s="3" t="s">
        <v>166</v>
      </c>
      <c r="B154" s="164" t="s">
        <v>65</v>
      </c>
      <c r="C154" s="315">
        <v>0.01</v>
      </c>
      <c r="D154" s="315">
        <v>1955426.3164799998</v>
      </c>
      <c r="E154" s="20">
        <v>315344.0</v>
      </c>
      <c r="F154" s="20">
        <v>473013.0</v>
      </c>
      <c r="G154" s="247">
        <v>1235000.0</v>
      </c>
      <c r="H154" s="329"/>
      <c r="I154" s="43">
        <f t="shared" si="4"/>
        <v>3978783.32648</v>
      </c>
    </row>
    <row r="155" spans="8:8">
      <c r="A155" s="3" t="s">
        <v>167</v>
      </c>
      <c r="B155" s="164" t="s">
        <v>65</v>
      </c>
      <c r="C155" s="315">
        <v>0.01</v>
      </c>
      <c r="D155" s="315">
        <v>2080868.759424</v>
      </c>
      <c r="E155" s="20">
        <v>315344.0</v>
      </c>
      <c r="F155" s="20">
        <v>473013.0</v>
      </c>
      <c r="G155" s="247">
        <v>1235000.0</v>
      </c>
      <c r="H155" s="329"/>
      <c r="I155" s="43">
        <f t="shared" si="4"/>
        <v>4104225.769424</v>
      </c>
    </row>
    <row r="156" spans="8:8">
      <c r="A156" s="3" t="s">
        <v>168</v>
      </c>
      <c r="B156" s="164" t="s">
        <v>65</v>
      </c>
      <c r="C156" s="315">
        <v>0.01</v>
      </c>
      <c r="D156" s="315">
        <v>3910852.6329599996</v>
      </c>
      <c r="E156" s="20">
        <v>315344.0</v>
      </c>
      <c r="F156" s="20">
        <v>473013.0</v>
      </c>
      <c r="G156" s="247">
        <v>1235000.0</v>
      </c>
      <c r="H156" s="329"/>
      <c r="I156" s="43">
        <f t="shared" si="4"/>
        <v>5934209.642959999</v>
      </c>
    </row>
    <row r="157" spans="8:8">
      <c r="A157" s="3" t="s">
        <v>169</v>
      </c>
      <c r="B157" s="164" t="s">
        <v>65</v>
      </c>
      <c r="C157" s="315">
        <v>0.01</v>
      </c>
      <c r="D157" s="315">
        <v>4161737.518848</v>
      </c>
      <c r="E157" s="20">
        <v>315344.0</v>
      </c>
      <c r="F157" s="20">
        <v>473013.0</v>
      </c>
      <c r="G157" s="247">
        <v>1235000.0</v>
      </c>
      <c r="H157" s="329"/>
      <c r="I157" s="43">
        <f t="shared" si="4"/>
        <v>6185094.528848</v>
      </c>
    </row>
    <row r="158" spans="8:8">
      <c r="A158" s="3" t="s">
        <v>170</v>
      </c>
      <c r="B158" s="164" t="s">
        <v>65</v>
      </c>
      <c r="C158" s="315">
        <v>0.01</v>
      </c>
      <c r="D158" s="315">
        <v>1955426.3164799998</v>
      </c>
      <c r="E158" s="20">
        <v>315344.0</v>
      </c>
      <c r="F158" s="20">
        <v>473013.0</v>
      </c>
      <c r="G158" s="247">
        <v>1235000.0</v>
      </c>
      <c r="H158" s="329"/>
      <c r="I158" s="43">
        <f t="shared" si="4"/>
        <v>3978783.32648</v>
      </c>
    </row>
    <row r="159" spans="8:8">
      <c r="A159" s="3" t="s">
        <v>171</v>
      </c>
      <c r="B159" s="164" t="s">
        <v>65</v>
      </c>
      <c r="C159" s="315">
        <v>0.01</v>
      </c>
      <c r="D159" s="315">
        <v>2080868.759424</v>
      </c>
      <c r="E159" s="20">
        <v>315344.0</v>
      </c>
      <c r="F159" s="20">
        <v>473013.0</v>
      </c>
      <c r="G159" s="247">
        <v>1235000.0</v>
      </c>
      <c r="H159" s="329"/>
      <c r="I159" s="43">
        <f t="shared" si="4"/>
        <v>4104225.769424</v>
      </c>
    </row>
    <row r="160" spans="8:8">
      <c r="A160" s="3" t="s">
        <v>172</v>
      </c>
      <c r="B160" s="164" t="s">
        <v>65</v>
      </c>
      <c r="C160" s="315">
        <v>0.01</v>
      </c>
      <c r="D160" s="315">
        <v>2302237.776384</v>
      </c>
      <c r="E160" s="20">
        <v>315344.0</v>
      </c>
      <c r="F160" s="20">
        <v>473013.0</v>
      </c>
      <c r="G160" s="247">
        <v>1235000.0</v>
      </c>
      <c r="H160" s="329"/>
      <c r="I160" s="43">
        <f t="shared" si="4"/>
        <v>4325594.7863839995</v>
      </c>
    </row>
    <row r="161" spans="8:8">
      <c r="A161" s="3" t="s">
        <v>173</v>
      </c>
      <c r="B161" s="164" t="s">
        <v>65</v>
      </c>
      <c r="C161" s="315">
        <v>0.01</v>
      </c>
      <c r="D161" s="315">
        <v>3910852.6329599996</v>
      </c>
      <c r="E161" s="20">
        <v>315344.0</v>
      </c>
      <c r="F161" s="20">
        <v>473013.0</v>
      </c>
      <c r="G161" s="247">
        <v>1235000.0</v>
      </c>
      <c r="H161" s="329"/>
      <c r="I161" s="43">
        <f t="shared" si="4"/>
        <v>5934209.642959999</v>
      </c>
    </row>
    <row r="162" spans="8:8">
      <c r="A162" s="3" t="s">
        <v>174</v>
      </c>
      <c r="B162" s="164" t="s">
        <v>65</v>
      </c>
      <c r="C162" s="315">
        <v>0.01</v>
      </c>
      <c r="D162" s="315">
        <v>4161737.518848</v>
      </c>
      <c r="E162" s="20">
        <v>315344.0</v>
      </c>
      <c r="F162" s="20">
        <v>473013.0</v>
      </c>
      <c r="G162" s="247">
        <v>1235000.0</v>
      </c>
      <c r="H162" s="329"/>
      <c r="I162" s="43">
        <f t="shared" si="4"/>
        <v>6185094.528848</v>
      </c>
    </row>
    <row r="163" spans="8:8">
      <c r="A163" s="3" t="s">
        <v>175</v>
      </c>
      <c r="B163" s="164" t="s">
        <v>65</v>
      </c>
      <c r="C163" s="315">
        <v>0.01</v>
      </c>
      <c r="D163" s="315">
        <v>4604475.552768</v>
      </c>
      <c r="E163" s="20">
        <v>315344.0</v>
      </c>
      <c r="F163" s="20">
        <v>473013.0</v>
      </c>
      <c r="G163" s="247">
        <v>1235000.0</v>
      </c>
      <c r="H163" s="329"/>
      <c r="I163" s="43">
        <f t="shared" si="4"/>
        <v>6627832.562768</v>
      </c>
    </row>
    <row r="164" spans="8:8">
      <c r="A164" s="3" t="s">
        <v>176</v>
      </c>
      <c r="B164" s="164" t="s">
        <v>65</v>
      </c>
      <c r="C164" s="315">
        <v>0.01</v>
      </c>
      <c r="D164" s="315">
        <v>1822604.9063040002</v>
      </c>
      <c r="E164" s="20">
        <v>315344.0</v>
      </c>
      <c r="F164" s="20">
        <v>473013.0</v>
      </c>
      <c r="G164" s="247">
        <v>1235000.0</v>
      </c>
      <c r="H164" s="329"/>
      <c r="I164" s="43">
        <f t="shared" si="4"/>
        <v>3845961.916304</v>
      </c>
    </row>
    <row r="165" spans="8:8">
      <c r="A165" s="3" t="s">
        <v>177</v>
      </c>
      <c r="B165" s="164" t="s">
        <v>65</v>
      </c>
      <c r="C165" s="315">
        <v>0.01</v>
      </c>
      <c r="D165" s="315">
        <v>2302237.776384</v>
      </c>
      <c r="E165" s="20">
        <v>315344.0</v>
      </c>
      <c r="F165" s="20">
        <v>473013.0</v>
      </c>
      <c r="G165" s="247">
        <v>1235000.0</v>
      </c>
      <c r="H165" s="329"/>
      <c r="I165" s="43">
        <f t="shared" si="4"/>
        <v>4325594.7863839995</v>
      </c>
    </row>
    <row r="166" spans="8:8">
      <c r="A166" s="3" t="s">
        <v>178</v>
      </c>
      <c r="B166" s="164" t="s">
        <v>65</v>
      </c>
      <c r="C166" s="315">
        <v>1.1154E7</v>
      </c>
      <c r="D166" s="315">
        <v>3.4585219416384004E7</v>
      </c>
      <c r="E166" s="20">
        <v>315344.0</v>
      </c>
      <c r="F166" s="20">
        <v>473013.0</v>
      </c>
      <c r="G166" s="247">
        <v>1235000.0</v>
      </c>
      <c r="H166" s="329"/>
      <c r="I166" s="43">
        <f t="shared" si="4"/>
        <v>4.7762576416384004E7</v>
      </c>
    </row>
    <row r="167" spans="8:8">
      <c r="A167" s="3" t="s">
        <v>179</v>
      </c>
      <c r="B167" s="164" t="s">
        <v>65</v>
      </c>
      <c r="C167" s="315">
        <v>0.01</v>
      </c>
      <c r="D167" s="315">
        <v>4434759.306432</v>
      </c>
      <c r="E167" s="20">
        <v>315344.0</v>
      </c>
      <c r="F167" s="20">
        <v>473013.0</v>
      </c>
      <c r="G167" s="247">
        <v>1235000.0</v>
      </c>
      <c r="H167" s="329"/>
      <c r="I167" s="43">
        <f t="shared" si="4"/>
        <v>6458116.316432</v>
      </c>
    </row>
    <row r="168" spans="8:8">
      <c r="A168" s="3" t="s">
        <v>180</v>
      </c>
      <c r="B168" s="164" t="s">
        <v>65</v>
      </c>
      <c r="C168" s="315">
        <v>0.01</v>
      </c>
      <c r="D168" s="315">
        <v>2080868.759424</v>
      </c>
      <c r="E168" s="20">
        <v>315344.0</v>
      </c>
      <c r="F168" s="20">
        <v>473013.0</v>
      </c>
      <c r="G168" s="247">
        <v>1235000.0</v>
      </c>
      <c r="H168" s="329"/>
      <c r="I168" s="43">
        <f t="shared" si="4"/>
        <v>4104225.769424</v>
      </c>
    </row>
    <row r="169" spans="8:8">
      <c r="A169" s="3" t="s">
        <v>181</v>
      </c>
      <c r="B169" s="164" t="s">
        <v>65</v>
      </c>
      <c r="C169" s="315">
        <v>0.01</v>
      </c>
      <c r="D169" s="315">
        <v>4161737.518848</v>
      </c>
      <c r="E169" s="20">
        <v>315344.0</v>
      </c>
      <c r="F169" s="20">
        <v>473013.0</v>
      </c>
      <c r="G169" s="247">
        <v>1235000.0</v>
      </c>
      <c r="H169" s="329"/>
      <c r="I169" s="43">
        <f t="shared" si="4"/>
        <v>6185094.528848</v>
      </c>
    </row>
    <row r="170" spans="8:8">
      <c r="A170" s="3" t="s">
        <v>182</v>
      </c>
      <c r="B170" s="164" t="s">
        <v>65</v>
      </c>
      <c r="C170" s="315">
        <v>0.01</v>
      </c>
      <c r="D170" s="315">
        <v>1955426.3164799998</v>
      </c>
      <c r="E170" s="20">
        <v>315344.0</v>
      </c>
      <c r="F170" s="20">
        <v>473013.0</v>
      </c>
      <c r="G170" s="247">
        <v>1235000.0</v>
      </c>
      <c r="H170" s="329"/>
      <c r="I170" s="43">
        <f t="shared" si="4"/>
        <v>3978783.32648</v>
      </c>
    </row>
    <row r="171" spans="8:8">
      <c r="A171" s="3" t="s">
        <v>183</v>
      </c>
      <c r="B171" s="164" t="s">
        <v>65</v>
      </c>
      <c r="C171" s="315">
        <v>0.01</v>
      </c>
      <c r="D171" s="315">
        <v>2080868.759424</v>
      </c>
      <c r="E171" s="20">
        <v>315344.0</v>
      </c>
      <c r="F171" s="20">
        <v>473013.0</v>
      </c>
      <c r="G171" s="247">
        <v>1235000.0</v>
      </c>
      <c r="H171" s="329"/>
      <c r="I171" s="43">
        <f t="shared" si="4"/>
        <v>4104225.769424</v>
      </c>
    </row>
    <row r="172" spans="8:8">
      <c r="A172" s="3" t="s">
        <v>184</v>
      </c>
      <c r="B172" s="164" t="s">
        <v>65</v>
      </c>
      <c r="C172" s="315">
        <v>0.01</v>
      </c>
      <c r="D172" s="315">
        <v>2302237.776384</v>
      </c>
      <c r="E172" s="20">
        <v>315344.0</v>
      </c>
      <c r="F172" s="20">
        <v>473013.0</v>
      </c>
      <c r="G172" s="247">
        <v>1235000.0</v>
      </c>
      <c r="H172" s="329"/>
      <c r="I172" s="43">
        <f t="shared" si="4"/>
        <v>4325594.7863839995</v>
      </c>
    </row>
    <row r="173" spans="8:8">
      <c r="A173" s="3" t="s">
        <v>185</v>
      </c>
      <c r="B173" s="164" t="s">
        <v>65</v>
      </c>
      <c r="C173" s="315">
        <v>0.01</v>
      </c>
      <c r="D173" s="315">
        <v>3910852.6329599996</v>
      </c>
      <c r="E173" s="20">
        <v>315344.0</v>
      </c>
      <c r="F173" s="20">
        <v>473013.0</v>
      </c>
      <c r="G173" s="247">
        <v>1235000.0</v>
      </c>
      <c r="H173" s="329"/>
      <c r="I173" s="43">
        <f t="shared" si="4"/>
        <v>5934209.642959999</v>
      </c>
    </row>
    <row r="174" spans="8:8">
      <c r="A174" s="3" t="s">
        <v>186</v>
      </c>
      <c r="B174" s="164" t="s">
        <v>65</v>
      </c>
      <c r="C174" s="315">
        <v>0.01</v>
      </c>
      <c r="D174" s="315">
        <v>4161737.518848</v>
      </c>
      <c r="E174" s="20">
        <v>315344.0</v>
      </c>
      <c r="F174" s="20">
        <v>473013.0</v>
      </c>
      <c r="G174" s="247">
        <v>1235000.0</v>
      </c>
      <c r="H174" s="329"/>
      <c r="I174" s="43">
        <f t="shared" si="4"/>
        <v>6185094.528848</v>
      </c>
    </row>
    <row r="175" spans="8:8">
      <c r="A175" s="3" t="s">
        <v>187</v>
      </c>
      <c r="B175" s="164" t="s">
        <v>65</v>
      </c>
      <c r="C175" s="315">
        <v>0.01</v>
      </c>
      <c r="D175" s="315">
        <v>4604475.552768</v>
      </c>
      <c r="E175" s="20">
        <v>315344.0</v>
      </c>
      <c r="F175" s="20">
        <v>473013.0</v>
      </c>
      <c r="G175" s="247">
        <v>1235000.0</v>
      </c>
      <c r="H175" s="329"/>
      <c r="I175" s="43">
        <f t="shared" si="4"/>
        <v>6627832.562768</v>
      </c>
    </row>
    <row r="176" spans="8:8">
      <c r="A176" s="15" t="s">
        <v>188</v>
      </c>
      <c r="B176" s="171" t="s">
        <v>65</v>
      </c>
      <c r="C176" s="315">
        <v>0.01</v>
      </c>
      <c r="D176" s="315">
        <v>1955426.3164799998</v>
      </c>
      <c r="E176" s="20">
        <v>315344.0</v>
      </c>
      <c r="F176" s="20">
        <v>473013.0</v>
      </c>
      <c r="G176" s="247">
        <v>1235000.0</v>
      </c>
      <c r="H176" s="329"/>
      <c r="I176" s="43">
        <f t="shared" si="4"/>
        <v>3978783.32648</v>
      </c>
    </row>
    <row r="177" spans="8:8">
      <c r="A177" s="3" t="s">
        <v>189</v>
      </c>
      <c r="B177" s="164" t="s">
        <v>65</v>
      </c>
      <c r="C177" s="315">
        <v>0.01</v>
      </c>
      <c r="D177" s="315">
        <v>2080868.759424</v>
      </c>
      <c r="E177" s="20">
        <v>315344.0</v>
      </c>
      <c r="F177" s="20">
        <v>473013.0</v>
      </c>
      <c r="G177" s="247">
        <v>1235000.0</v>
      </c>
      <c r="H177" s="329"/>
      <c r="I177" s="43">
        <f t="shared" si="4"/>
        <v>4104225.769424</v>
      </c>
    </row>
    <row r="178" spans="8:8">
      <c r="A178" s="3" t="s">
        <v>190</v>
      </c>
      <c r="B178" s="171" t="s">
        <v>65</v>
      </c>
      <c r="C178" s="315">
        <v>0.01</v>
      </c>
      <c r="D178" s="315">
        <v>1955426.3164799998</v>
      </c>
      <c r="E178" s="20">
        <v>315344.0</v>
      </c>
      <c r="F178" s="20">
        <v>473013.0</v>
      </c>
      <c r="G178" s="247">
        <v>1235000.0</v>
      </c>
      <c r="H178" s="329"/>
      <c r="I178" s="43">
        <f t="shared" si="5" ref="I178:I182">SUM(C178:H178)</f>
        <v>3978783.32648</v>
      </c>
    </row>
    <row r="179" spans="8:8" s="49" ht="15.0" customFormat="1">
      <c r="A179" s="3" t="s">
        <v>191</v>
      </c>
      <c r="B179" s="164" t="s">
        <v>65</v>
      </c>
      <c r="C179" s="315">
        <v>0.01</v>
      </c>
      <c r="D179" s="315">
        <v>2080868.759424</v>
      </c>
      <c r="E179" s="20">
        <v>315344.0</v>
      </c>
      <c r="F179" s="20">
        <v>473013.0</v>
      </c>
      <c r="G179" s="247">
        <v>1235000.0</v>
      </c>
      <c r="H179" s="329"/>
      <c r="I179" s="241">
        <f t="shared" si="5"/>
        <v>4104225.769424</v>
      </c>
    </row>
    <row r="180" spans="8:8">
      <c r="A180" s="3" t="s">
        <v>192</v>
      </c>
      <c r="B180" s="164" t="s">
        <v>65</v>
      </c>
      <c r="C180" s="315">
        <v>0.01</v>
      </c>
      <c r="D180" s="315">
        <v>2302237.776384</v>
      </c>
      <c r="E180" s="20">
        <v>315344.0</v>
      </c>
      <c r="F180" s="20">
        <v>473013.0</v>
      </c>
      <c r="G180" s="247">
        <v>1235000.0</v>
      </c>
      <c r="H180" s="329"/>
      <c r="I180" s="43">
        <f t="shared" si="5"/>
        <v>4325594.7863839995</v>
      </c>
    </row>
    <row r="181" spans="8:8">
      <c r="A181" s="3" t="s">
        <v>193</v>
      </c>
      <c r="B181" s="164" t="s">
        <v>65</v>
      </c>
      <c r="C181" s="315">
        <v>0.01</v>
      </c>
      <c r="D181" s="315">
        <v>1955426.3164799998</v>
      </c>
      <c r="E181" s="20">
        <v>315344.0</v>
      </c>
      <c r="F181" s="20">
        <v>473013.0</v>
      </c>
      <c r="G181" s="247">
        <v>1235000.0</v>
      </c>
      <c r="H181" s="329"/>
      <c r="I181" s="43">
        <f t="shared" si="5"/>
        <v>3978783.32648</v>
      </c>
    </row>
    <row r="182" spans="8:8" ht="15.75">
      <c r="A182" s="51" t="s">
        <v>194</v>
      </c>
      <c r="B182" s="317" t="s">
        <v>65</v>
      </c>
      <c r="C182" s="325">
        <v>0.01</v>
      </c>
      <c r="D182" s="325">
        <v>2080868.759424</v>
      </c>
      <c r="E182" s="54">
        <v>315344.0</v>
      </c>
      <c r="F182" s="54">
        <v>473013.0</v>
      </c>
      <c r="G182" s="331">
        <v>1235000.0</v>
      </c>
      <c r="H182" s="319"/>
      <c r="I182" s="55">
        <f t="shared" si="5"/>
        <v>4104225.769424</v>
      </c>
    </row>
    <row r="183" spans="8:8">
      <c r="A183" s="10" t="s">
        <v>197</v>
      </c>
      <c r="B183" s="166" t="s">
        <v>196</v>
      </c>
      <c r="C183" s="328">
        <v>0.01</v>
      </c>
      <c r="D183" s="328">
        <v>4844643.3672</v>
      </c>
      <c r="E183" s="321">
        <v>315344.0</v>
      </c>
      <c r="F183" s="321">
        <v>473013.0</v>
      </c>
      <c r="G183" s="316"/>
      <c r="H183" s="316"/>
      <c r="I183" s="46">
        <f t="shared" si="6" ref="I183:I239">SUM(C183:F183)</f>
        <v>5633000.3772</v>
      </c>
    </row>
    <row r="184" spans="8:8">
      <c r="A184" s="3" t="s">
        <v>198</v>
      </c>
      <c r="B184" s="164" t="s">
        <v>196</v>
      </c>
      <c r="C184" s="315">
        <v>0.01</v>
      </c>
      <c r="D184" s="315">
        <v>4.8239998279199995E7</v>
      </c>
      <c r="E184" s="20">
        <v>315344.0</v>
      </c>
      <c r="F184" s="20">
        <v>473013.0</v>
      </c>
      <c r="G184" s="316"/>
      <c r="H184" s="329"/>
      <c r="I184" s="43">
        <f t="shared" si="6"/>
        <v>4.902835528919999E7</v>
      </c>
    </row>
    <row r="185" spans="8:8">
      <c r="A185" s="10" t="s">
        <v>199</v>
      </c>
      <c r="B185" s="166" t="s">
        <v>196</v>
      </c>
      <c r="C185" s="315">
        <v>0.01</v>
      </c>
      <c r="D185" s="315">
        <v>1.3816739664E7</v>
      </c>
      <c r="E185" s="20">
        <v>315344.0</v>
      </c>
      <c r="F185" s="20">
        <v>473013.0</v>
      </c>
      <c r="G185" s="316"/>
      <c r="H185" s="329"/>
      <c r="I185" s="46">
        <f t="shared" si="6"/>
        <v>1.4605096674E7</v>
      </c>
      <c r="M185" s="233"/>
      <c r="N185" s="238"/>
    </row>
    <row r="186" spans="8:8">
      <c r="A186" s="3" t="s">
        <v>201</v>
      </c>
      <c r="B186" s="164" t="s">
        <v>196</v>
      </c>
      <c r="C186" s="315">
        <v>0.01</v>
      </c>
      <c r="D186" s="315">
        <v>1.3816739664E7</v>
      </c>
      <c r="E186" s="20">
        <v>315344.0</v>
      </c>
      <c r="F186" s="20">
        <v>473013.0</v>
      </c>
      <c r="G186" s="316"/>
      <c r="H186" s="329"/>
      <c r="I186" s="46">
        <f t="shared" si="6"/>
        <v>1.4605096674E7</v>
      </c>
    </row>
    <row r="187" spans="8:8">
      <c r="A187" s="3" t="s">
        <v>202</v>
      </c>
      <c r="B187" s="171" t="s">
        <v>196</v>
      </c>
      <c r="C187" s="315">
        <v>0.01</v>
      </c>
      <c r="D187" s="315">
        <v>1.3816739664E7</v>
      </c>
      <c r="E187" s="20">
        <v>315344.0</v>
      </c>
      <c r="F187" s="20">
        <v>473013.0</v>
      </c>
      <c r="G187" s="316"/>
      <c r="H187" s="329"/>
      <c r="I187" s="43">
        <f t="shared" si="6"/>
        <v>1.4605096674E7</v>
      </c>
    </row>
    <row r="188" spans="8:8">
      <c r="A188" s="3" t="s">
        <v>203</v>
      </c>
      <c r="B188" s="164" t="s">
        <v>196</v>
      </c>
      <c r="C188" s="315">
        <v>0.01</v>
      </c>
      <c r="D188" s="315">
        <v>1.3816739664E7</v>
      </c>
      <c r="E188" s="20">
        <v>315344.0</v>
      </c>
      <c r="F188" s="20">
        <v>473013.0</v>
      </c>
      <c r="G188" s="316"/>
      <c r="H188" s="329"/>
      <c r="I188" s="43">
        <f t="shared" si="6"/>
        <v>1.4605096674E7</v>
      </c>
    </row>
    <row r="189" spans="8:8">
      <c r="A189" s="3" t="s">
        <v>204</v>
      </c>
      <c r="B189" s="164" t="s">
        <v>196</v>
      </c>
      <c r="C189" s="315">
        <v>0.01</v>
      </c>
      <c r="D189" s="315">
        <v>1.3816739664E7</v>
      </c>
      <c r="E189" s="20">
        <v>315344.0</v>
      </c>
      <c r="F189" s="20">
        <v>473013.0</v>
      </c>
      <c r="G189" s="316"/>
      <c r="H189" s="329"/>
      <c r="I189" s="43">
        <f t="shared" si="6"/>
        <v>1.4605096674E7</v>
      </c>
      <c r="P189" s="233"/>
      <c r="Q189" s="76"/>
    </row>
    <row r="190" spans="8:8">
      <c r="A190" s="3" t="s">
        <v>206</v>
      </c>
      <c r="B190" s="164" t="s">
        <v>196</v>
      </c>
      <c r="C190" s="315">
        <v>0.01</v>
      </c>
      <c r="D190" s="315">
        <v>1.3816739664E7</v>
      </c>
      <c r="E190" s="20">
        <v>315344.0</v>
      </c>
      <c r="F190" s="20">
        <v>473013.0</v>
      </c>
      <c r="G190" s="316"/>
      <c r="H190" s="329"/>
      <c r="I190" s="43">
        <f t="shared" si="6"/>
        <v>1.4605096674E7</v>
      </c>
    </row>
    <row r="191" spans="8:8">
      <c r="A191" s="3" t="s">
        <v>207</v>
      </c>
      <c r="B191" s="164" t="s">
        <v>196</v>
      </c>
      <c r="C191" s="315">
        <v>0.01</v>
      </c>
      <c r="D191" s="315">
        <v>1.3816739664E7</v>
      </c>
      <c r="E191" s="20">
        <v>315344.0</v>
      </c>
      <c r="F191" s="20">
        <v>473013.0</v>
      </c>
      <c r="G191" s="316"/>
      <c r="H191" s="329"/>
      <c r="I191" s="43">
        <f t="shared" si="6"/>
        <v>1.4605096674E7</v>
      </c>
      <c r="N191" s="233"/>
      <c r="O191" s="76"/>
    </row>
    <row r="192" spans="8:8">
      <c r="A192" s="3" t="s">
        <v>208</v>
      </c>
      <c r="B192" s="164" t="s">
        <v>196</v>
      </c>
      <c r="C192" s="315">
        <v>0.01</v>
      </c>
      <c r="D192" s="315">
        <v>1.3816739664E7</v>
      </c>
      <c r="E192" s="20">
        <v>315344.0</v>
      </c>
      <c r="F192" s="20">
        <v>473013.0</v>
      </c>
      <c r="G192" s="316"/>
      <c r="H192" s="329"/>
      <c r="I192" s="43">
        <f t="shared" si="6"/>
        <v>1.4605096674E7</v>
      </c>
    </row>
    <row r="193" spans="8:8">
      <c r="A193" s="3" t="s">
        <v>209</v>
      </c>
      <c r="B193" s="164" t="s">
        <v>196</v>
      </c>
      <c r="C193" s="315">
        <v>0.01</v>
      </c>
      <c r="D193" s="315">
        <v>1.3816739664E7</v>
      </c>
      <c r="E193" s="20">
        <v>315344.0</v>
      </c>
      <c r="F193" s="20">
        <v>473013.0</v>
      </c>
      <c r="G193" s="316"/>
      <c r="H193" s="329"/>
      <c r="I193" s="43">
        <f t="shared" si="6"/>
        <v>1.4605096674E7</v>
      </c>
    </row>
    <row r="194" spans="8:8">
      <c r="A194" s="3" t="s">
        <v>210</v>
      </c>
      <c r="B194" s="164" t="s">
        <v>196</v>
      </c>
      <c r="C194" s="315">
        <v>0.01</v>
      </c>
      <c r="D194" s="315">
        <v>1.3816739664E7</v>
      </c>
      <c r="E194" s="20">
        <v>315344.0</v>
      </c>
      <c r="F194" s="20">
        <v>473013.0</v>
      </c>
      <c r="G194" s="316"/>
      <c r="H194" s="329"/>
      <c r="I194" s="43">
        <f t="shared" si="6"/>
        <v>1.4605096674E7</v>
      </c>
    </row>
    <row r="195" spans="8:8">
      <c r="A195" s="3" t="s">
        <v>211</v>
      </c>
      <c r="B195" s="164" t="s">
        <v>196</v>
      </c>
      <c r="C195" s="315">
        <v>0.01</v>
      </c>
      <c r="D195" s="315">
        <v>1.3816739664E7</v>
      </c>
      <c r="E195" s="20">
        <v>315344.0</v>
      </c>
      <c r="F195" s="20">
        <v>473013.0</v>
      </c>
      <c r="G195" s="316"/>
      <c r="H195" s="329"/>
      <c r="I195" s="43">
        <f t="shared" si="6"/>
        <v>1.4605096674E7</v>
      </c>
    </row>
    <row r="196" spans="8:8">
      <c r="A196" s="3" t="s">
        <v>212</v>
      </c>
      <c r="B196" s="164" t="s">
        <v>196</v>
      </c>
      <c r="C196" s="315">
        <v>0.01</v>
      </c>
      <c r="D196" s="315">
        <v>1.3816739664E7</v>
      </c>
      <c r="E196" s="20">
        <v>315344.0</v>
      </c>
      <c r="F196" s="20">
        <v>473013.0</v>
      </c>
      <c r="G196" s="316"/>
      <c r="H196" s="329"/>
      <c r="I196" s="43">
        <f t="shared" si="6"/>
        <v>1.4605096674E7</v>
      </c>
    </row>
    <row r="197" spans="8:8">
      <c r="A197" s="3" t="s">
        <v>214</v>
      </c>
      <c r="B197" s="164" t="s">
        <v>196</v>
      </c>
      <c r="C197" s="315">
        <v>0.01</v>
      </c>
      <c r="D197" s="315">
        <v>1.3816739664E7</v>
      </c>
      <c r="E197" s="20">
        <v>315344.0</v>
      </c>
      <c r="F197" s="20">
        <v>473013.0</v>
      </c>
      <c r="G197" s="316"/>
      <c r="H197" s="329"/>
      <c r="I197" s="43">
        <f t="shared" si="6"/>
        <v>1.4605096674E7</v>
      </c>
    </row>
    <row r="198" spans="8:8">
      <c r="A198" s="3" t="s">
        <v>215</v>
      </c>
      <c r="B198" s="164" t="s">
        <v>196</v>
      </c>
      <c r="C198" s="315">
        <v>0.01</v>
      </c>
      <c r="D198" s="315">
        <v>1.3816739664E7</v>
      </c>
      <c r="E198" s="20">
        <v>315344.0</v>
      </c>
      <c r="F198" s="20">
        <v>473013.0</v>
      </c>
      <c r="G198" s="316"/>
      <c r="H198" s="329"/>
      <c r="I198" s="43">
        <f t="shared" si="6"/>
        <v>1.4605096674E7</v>
      </c>
    </row>
    <row r="199" spans="8:8">
      <c r="A199" s="3" t="s">
        <v>216</v>
      </c>
      <c r="B199" s="164" t="s">
        <v>196</v>
      </c>
      <c r="C199" s="315">
        <v>0.01</v>
      </c>
      <c r="D199" s="315">
        <v>1.3816739664E7</v>
      </c>
      <c r="E199" s="20">
        <v>315344.0</v>
      </c>
      <c r="F199" s="20">
        <v>473013.0</v>
      </c>
      <c r="G199" s="316"/>
      <c r="H199" s="329"/>
      <c r="I199" s="43">
        <f t="shared" si="6"/>
        <v>1.4605096674E7</v>
      </c>
    </row>
    <row r="200" spans="8:8">
      <c r="A200" s="3" t="s">
        <v>217</v>
      </c>
      <c r="B200" s="164" t="s">
        <v>196</v>
      </c>
      <c r="C200" s="315">
        <v>0.01</v>
      </c>
      <c r="D200" s="315">
        <v>1.3816739664E7</v>
      </c>
      <c r="E200" s="20">
        <v>315344.0</v>
      </c>
      <c r="F200" s="20">
        <v>473013.0</v>
      </c>
      <c r="G200" s="316"/>
      <c r="H200" s="329"/>
      <c r="I200" s="43">
        <f t="shared" si="6"/>
        <v>1.4605096674E7</v>
      </c>
    </row>
    <row r="201" spans="8:8">
      <c r="A201" s="3" t="s">
        <v>218</v>
      </c>
      <c r="B201" s="164" t="s">
        <v>196</v>
      </c>
      <c r="C201" s="315">
        <v>0.01</v>
      </c>
      <c r="D201" s="315">
        <v>1.3816739664E7</v>
      </c>
      <c r="E201" s="20">
        <v>315344.0</v>
      </c>
      <c r="F201" s="20">
        <v>473013.0</v>
      </c>
      <c r="G201" s="316"/>
      <c r="H201" s="329"/>
      <c r="I201" s="43">
        <f t="shared" si="6"/>
        <v>1.4605096674E7</v>
      </c>
    </row>
    <row r="202" spans="8:8">
      <c r="A202" s="3" t="s">
        <v>219</v>
      </c>
      <c r="B202" s="164" t="s">
        <v>196</v>
      </c>
      <c r="C202" s="315">
        <v>0.01</v>
      </c>
      <c r="D202" s="315">
        <v>1.3816739664E7</v>
      </c>
      <c r="E202" s="20">
        <v>315344.0</v>
      </c>
      <c r="F202" s="20">
        <v>473013.0</v>
      </c>
      <c r="G202" s="316"/>
      <c r="H202" s="329"/>
      <c r="I202" s="43">
        <f t="shared" si="6"/>
        <v>1.4605096674E7</v>
      </c>
    </row>
    <row r="203" spans="8:8">
      <c r="A203" s="3" t="s">
        <v>220</v>
      </c>
      <c r="B203" s="164" t="s">
        <v>196</v>
      </c>
      <c r="C203" s="315">
        <v>0.01</v>
      </c>
      <c r="D203" s="315">
        <v>1.3816739664E7</v>
      </c>
      <c r="E203" s="20">
        <v>315344.0</v>
      </c>
      <c r="F203" s="20">
        <v>473013.0</v>
      </c>
      <c r="G203" s="316"/>
      <c r="H203" s="329"/>
      <c r="I203" s="43">
        <f t="shared" si="6"/>
        <v>1.4605096674E7</v>
      </c>
    </row>
    <row r="204" spans="8:8">
      <c r="A204" s="15" t="s">
        <v>221</v>
      </c>
      <c r="B204" s="164" t="s">
        <v>196</v>
      </c>
      <c r="C204" s="315">
        <v>0.01</v>
      </c>
      <c r="D204" s="315">
        <v>1.3816739664E7</v>
      </c>
      <c r="E204" s="20">
        <v>315344.0</v>
      </c>
      <c r="F204" s="20">
        <v>473013.0</v>
      </c>
      <c r="G204" s="316"/>
      <c r="H204" s="329"/>
      <c r="I204" s="43">
        <f t="shared" si="6"/>
        <v>1.4605096674E7</v>
      </c>
    </row>
    <row r="205" spans="8:8">
      <c r="A205" s="3" t="s">
        <v>222</v>
      </c>
      <c r="B205" s="164" t="s">
        <v>196</v>
      </c>
      <c r="C205" s="315">
        <v>0.01</v>
      </c>
      <c r="D205" s="315">
        <v>2.7633479328E7</v>
      </c>
      <c r="E205" s="20">
        <v>315344.0</v>
      </c>
      <c r="F205" s="20">
        <v>473013.0</v>
      </c>
      <c r="G205" s="316"/>
      <c r="H205" s="329"/>
      <c r="I205" s="43">
        <f t="shared" si="6"/>
        <v>2.8421836338000003E7</v>
      </c>
    </row>
    <row r="206" spans="8:8">
      <c r="A206" s="3" t="s">
        <v>223</v>
      </c>
      <c r="B206" s="164" t="s">
        <v>196</v>
      </c>
      <c r="C206" s="315">
        <v>0.01</v>
      </c>
      <c r="D206" s="315">
        <v>1.3816739664E7</v>
      </c>
      <c r="E206" s="20">
        <v>315344.0</v>
      </c>
      <c r="F206" s="20">
        <v>473013.0</v>
      </c>
      <c r="G206" s="316"/>
      <c r="H206" s="329"/>
      <c r="I206" s="43">
        <f t="shared" si="6"/>
        <v>1.4605096674E7</v>
      </c>
    </row>
    <row r="207" spans="8:8">
      <c r="A207" s="3" t="s">
        <v>224</v>
      </c>
      <c r="B207" s="164" t="s">
        <v>196</v>
      </c>
      <c r="C207" s="315">
        <v>0.01</v>
      </c>
      <c r="D207" s="315">
        <v>1.3816739664E7</v>
      </c>
      <c r="E207" s="20">
        <v>315344.0</v>
      </c>
      <c r="F207" s="20">
        <v>473013.0</v>
      </c>
      <c r="G207" s="316"/>
      <c r="H207" s="329"/>
      <c r="I207" s="43">
        <f t="shared" si="6"/>
        <v>1.4605096674E7</v>
      </c>
    </row>
    <row r="208" spans="8:8">
      <c r="A208" s="3" t="s">
        <v>225</v>
      </c>
      <c r="B208" s="164" t="s">
        <v>196</v>
      </c>
      <c r="C208" s="315">
        <v>0.01</v>
      </c>
      <c r="D208" s="315">
        <v>1.3816739664E7</v>
      </c>
      <c r="E208" s="20">
        <v>315344.0</v>
      </c>
      <c r="F208" s="20">
        <v>473013.0</v>
      </c>
      <c r="G208" s="316"/>
      <c r="H208" s="329"/>
      <c r="I208" s="43">
        <f t="shared" si="6"/>
        <v>1.4605096674E7</v>
      </c>
    </row>
    <row r="209" spans="8:8">
      <c r="A209" s="3" t="s">
        <v>226</v>
      </c>
      <c r="B209" s="164" t="s">
        <v>196</v>
      </c>
      <c r="C209" s="315">
        <v>0.01</v>
      </c>
      <c r="D209" s="315">
        <v>1.8158785008E7</v>
      </c>
      <c r="E209" s="20">
        <v>315344.0</v>
      </c>
      <c r="F209" s="20">
        <v>473013.0</v>
      </c>
      <c r="G209" s="316"/>
      <c r="H209" s="329"/>
      <c r="I209" s="43">
        <f t="shared" si="6"/>
        <v>1.8947142018000003E7</v>
      </c>
    </row>
    <row r="210" spans="8:8">
      <c r="A210" s="3" t="s">
        <v>228</v>
      </c>
      <c r="B210" s="164" t="s">
        <v>196</v>
      </c>
      <c r="C210" s="315">
        <v>0.01</v>
      </c>
      <c r="D210" s="315">
        <v>1.3816739664E7</v>
      </c>
      <c r="E210" s="20">
        <v>315344.0</v>
      </c>
      <c r="F210" s="20">
        <v>473013.0</v>
      </c>
      <c r="G210" s="316"/>
      <c r="H210" s="329"/>
      <c r="I210" s="43">
        <f t="shared" si="6"/>
        <v>1.4605096674E7</v>
      </c>
    </row>
    <row r="211" spans="8:8">
      <c r="A211" s="3" t="s">
        <v>229</v>
      </c>
      <c r="B211" s="164" t="s">
        <v>196</v>
      </c>
      <c r="C211" s="315">
        <v>0.01</v>
      </c>
      <c r="D211" s="315">
        <v>1.3816739664E7</v>
      </c>
      <c r="E211" s="20">
        <v>315344.0</v>
      </c>
      <c r="F211" s="20">
        <v>473013.0</v>
      </c>
      <c r="G211" s="316"/>
      <c r="H211" s="329"/>
      <c r="I211" s="43">
        <f t="shared" si="6"/>
        <v>1.4605096674E7</v>
      </c>
    </row>
    <row r="212" spans="8:8">
      <c r="A212" s="3" t="s">
        <v>230</v>
      </c>
      <c r="B212" s="164" t="s">
        <v>196</v>
      </c>
      <c r="C212" s="315">
        <v>0.01</v>
      </c>
      <c r="D212" s="315">
        <v>1.3816739664E7</v>
      </c>
      <c r="E212" s="20">
        <v>315344.0</v>
      </c>
      <c r="F212" s="20">
        <v>473013.0</v>
      </c>
      <c r="G212" s="316"/>
      <c r="H212" s="329"/>
      <c r="I212" s="43">
        <f t="shared" si="6"/>
        <v>1.4605096674E7</v>
      </c>
    </row>
    <row r="213" spans="8:8">
      <c r="A213" s="3" t="s">
        <v>231</v>
      </c>
      <c r="B213" s="164" t="s">
        <v>196</v>
      </c>
      <c r="C213" s="315">
        <v>0.01</v>
      </c>
      <c r="D213" s="315">
        <v>1.3816739664E7</v>
      </c>
      <c r="E213" s="20">
        <v>315344.0</v>
      </c>
      <c r="F213" s="20">
        <v>473013.0</v>
      </c>
      <c r="G213" s="316"/>
      <c r="H213" s="329"/>
      <c r="I213" s="43">
        <f t="shared" si="6"/>
        <v>1.4605096674E7</v>
      </c>
    </row>
    <row r="214" spans="8:8">
      <c r="A214" s="3" t="s">
        <v>232</v>
      </c>
      <c r="B214" s="164" t="s">
        <v>196</v>
      </c>
      <c r="C214" s="315">
        <v>0.01</v>
      </c>
      <c r="D214" s="315">
        <v>1.3816739664E7</v>
      </c>
      <c r="E214" s="20">
        <v>315344.0</v>
      </c>
      <c r="F214" s="20">
        <v>473013.0</v>
      </c>
      <c r="G214" s="316"/>
      <c r="H214" s="329"/>
      <c r="I214" s="43">
        <f t="shared" si="6"/>
        <v>1.4605096674E7</v>
      </c>
    </row>
    <row r="215" spans="8:8">
      <c r="A215" s="3" t="s">
        <v>233</v>
      </c>
      <c r="B215" s="164" t="s">
        <v>196</v>
      </c>
      <c r="C215" s="315">
        <v>0.01</v>
      </c>
      <c r="D215" s="315">
        <v>1.3816739664E7</v>
      </c>
      <c r="E215" s="20">
        <v>315344.0</v>
      </c>
      <c r="F215" s="20">
        <v>473013.0</v>
      </c>
      <c r="G215" s="316"/>
      <c r="H215" s="329"/>
      <c r="I215" s="43">
        <f t="shared" si="6"/>
        <v>1.4605096674E7</v>
      </c>
    </row>
    <row r="216" spans="8:8">
      <c r="A216" s="3" t="s">
        <v>234</v>
      </c>
      <c r="B216" s="164" t="s">
        <v>196</v>
      </c>
      <c r="C216" s="315">
        <v>0.01</v>
      </c>
      <c r="D216" s="315">
        <v>1.3816739664E7</v>
      </c>
      <c r="E216" s="20">
        <v>315344.0</v>
      </c>
      <c r="F216" s="20">
        <v>473013.0</v>
      </c>
      <c r="G216" s="316"/>
      <c r="H216" s="329"/>
      <c r="I216" s="43">
        <f t="shared" si="6"/>
        <v>1.4605096674E7</v>
      </c>
    </row>
    <row r="217" spans="8:8">
      <c r="A217" s="3" t="s">
        <v>235</v>
      </c>
      <c r="B217" s="164" t="s">
        <v>196</v>
      </c>
      <c r="C217" s="315">
        <v>0.01</v>
      </c>
      <c r="D217" s="315">
        <v>1.3816739664E7</v>
      </c>
      <c r="E217" s="20">
        <v>315344.0</v>
      </c>
      <c r="F217" s="20">
        <v>473013.0</v>
      </c>
      <c r="G217" s="316"/>
      <c r="H217" s="329"/>
      <c r="I217" s="43">
        <f t="shared" si="6"/>
        <v>1.4605096674E7</v>
      </c>
    </row>
    <row r="218" spans="8:8">
      <c r="A218" s="3" t="s">
        <v>236</v>
      </c>
      <c r="B218" s="164" t="s">
        <v>196</v>
      </c>
      <c r="C218" s="315">
        <v>0.01</v>
      </c>
      <c r="D218" s="315">
        <v>1.3816739664E7</v>
      </c>
      <c r="E218" s="20">
        <v>315344.0</v>
      </c>
      <c r="F218" s="20">
        <v>473013.0</v>
      </c>
      <c r="G218" s="316"/>
      <c r="H218" s="329"/>
      <c r="I218" s="43">
        <f t="shared" si="6"/>
        <v>1.4605096674E7</v>
      </c>
    </row>
    <row r="219" spans="8:8">
      <c r="A219" s="3" t="s">
        <v>237</v>
      </c>
      <c r="B219" s="164" t="s">
        <v>196</v>
      </c>
      <c r="C219" s="315">
        <v>0.01</v>
      </c>
      <c r="D219" s="315">
        <v>1.3816739664E7</v>
      </c>
      <c r="E219" s="20">
        <v>315344.0</v>
      </c>
      <c r="F219" s="20">
        <v>473013.0</v>
      </c>
      <c r="G219" s="316"/>
      <c r="H219" s="329"/>
      <c r="I219" s="43">
        <f t="shared" si="6"/>
        <v>1.4605096674E7</v>
      </c>
    </row>
    <row r="220" spans="8:8">
      <c r="A220" s="3" t="s">
        <v>238</v>
      </c>
      <c r="B220" s="164" t="s">
        <v>196</v>
      </c>
      <c r="C220" s="315">
        <v>0.01</v>
      </c>
      <c r="D220" s="315">
        <v>1.3816739664E7</v>
      </c>
      <c r="E220" s="20">
        <v>315344.0</v>
      </c>
      <c r="F220" s="20">
        <v>473013.0</v>
      </c>
      <c r="G220" s="316"/>
      <c r="H220" s="329"/>
      <c r="I220" s="43">
        <f t="shared" si="6"/>
        <v>1.4605096674E7</v>
      </c>
    </row>
    <row r="221" spans="8:8">
      <c r="A221" s="3" t="s">
        <v>239</v>
      </c>
      <c r="B221" s="164" t="s">
        <v>196</v>
      </c>
      <c r="C221" s="315">
        <v>0.01</v>
      </c>
      <c r="D221" s="315">
        <v>1.3816739664E7</v>
      </c>
      <c r="E221" s="20">
        <v>315344.0</v>
      </c>
      <c r="F221" s="20">
        <v>473013.0</v>
      </c>
      <c r="G221" s="316"/>
      <c r="H221" s="329"/>
      <c r="I221" s="43">
        <f t="shared" si="6"/>
        <v>1.4605096674E7</v>
      </c>
    </row>
    <row r="222" spans="8:8">
      <c r="A222" s="3" t="s">
        <v>240</v>
      </c>
      <c r="B222" s="164" t="s">
        <v>196</v>
      </c>
      <c r="C222" s="315">
        <v>0.01</v>
      </c>
      <c r="D222" s="315">
        <v>1.3816739664E7</v>
      </c>
      <c r="E222" s="20">
        <v>315344.0</v>
      </c>
      <c r="F222" s="20">
        <v>473013.0</v>
      </c>
      <c r="G222" s="316"/>
      <c r="H222" s="329"/>
      <c r="I222" s="43">
        <f t="shared" si="6"/>
        <v>1.4605096674E7</v>
      </c>
    </row>
    <row r="223" spans="8:8">
      <c r="A223" s="3" t="s">
        <v>241</v>
      </c>
      <c r="B223" s="171" t="s">
        <v>196</v>
      </c>
      <c r="C223" s="315">
        <v>0.01</v>
      </c>
      <c r="D223" s="315">
        <v>1.3816739664E7</v>
      </c>
      <c r="E223" s="20">
        <v>315344.0</v>
      </c>
      <c r="F223" s="20">
        <v>473013.0</v>
      </c>
      <c r="G223" s="316"/>
      <c r="H223" s="329"/>
      <c r="I223" s="43">
        <f t="shared" si="6"/>
        <v>1.4605096674E7</v>
      </c>
    </row>
    <row r="224" spans="8:8">
      <c r="A224" s="3" t="s">
        <v>242</v>
      </c>
      <c r="B224" s="164" t="s">
        <v>196</v>
      </c>
      <c r="C224" s="315">
        <v>0.01</v>
      </c>
      <c r="D224" s="315">
        <v>1.3816739664E7</v>
      </c>
      <c r="E224" s="20">
        <v>315344.0</v>
      </c>
      <c r="F224" s="20">
        <v>473013.0</v>
      </c>
      <c r="G224" s="316"/>
      <c r="H224" s="329"/>
      <c r="I224" s="43">
        <f t="shared" si="6"/>
        <v>1.4605096674E7</v>
      </c>
    </row>
    <row r="225" spans="8:8">
      <c r="A225" s="3" t="s">
        <v>243</v>
      </c>
      <c r="B225" s="164" t="s">
        <v>196</v>
      </c>
      <c r="C225" s="315">
        <v>0.01</v>
      </c>
      <c r="D225" s="315">
        <v>1.3816739664E7</v>
      </c>
      <c r="E225" s="20">
        <v>315344.0</v>
      </c>
      <c r="F225" s="20">
        <v>473013.0</v>
      </c>
      <c r="G225" s="316"/>
      <c r="H225" s="329"/>
      <c r="I225" s="43">
        <f t="shared" si="6"/>
        <v>1.4605096674E7</v>
      </c>
      <c r="J225" s="49"/>
    </row>
    <row r="226" spans="8:8" s="49" ht="15.0" customFormat="1">
      <c r="A226" s="3" t="s">
        <v>244</v>
      </c>
      <c r="B226" s="164" t="s">
        <v>196</v>
      </c>
      <c r="C226" s="315">
        <v>0.01</v>
      </c>
      <c r="D226" s="315">
        <v>1.3816739664E7</v>
      </c>
      <c r="E226" s="20">
        <v>315344.0</v>
      </c>
      <c r="F226" s="20">
        <v>473013.0</v>
      </c>
      <c r="G226" s="316"/>
      <c r="H226" s="329"/>
      <c r="I226" s="241">
        <f t="shared" si="6"/>
        <v>1.4605096674E7</v>
      </c>
      <c r="J226" s="39"/>
    </row>
    <row r="227" spans="8:8">
      <c r="A227" s="3" t="s">
        <v>246</v>
      </c>
      <c r="B227" s="164" t="s">
        <v>196</v>
      </c>
      <c r="C227" s="315">
        <v>0.01</v>
      </c>
      <c r="D227" s="315">
        <v>1.3816739664E7</v>
      </c>
      <c r="E227" s="20">
        <v>315344.0</v>
      </c>
      <c r="F227" s="20">
        <v>473013.0</v>
      </c>
      <c r="G227" s="316"/>
      <c r="H227" s="329"/>
      <c r="I227" s="43">
        <f t="shared" si="6"/>
        <v>1.4605096674E7</v>
      </c>
    </row>
    <row r="228" spans="8:8">
      <c r="A228" s="3" t="s">
        <v>247</v>
      </c>
      <c r="B228" s="164" t="s">
        <v>196</v>
      </c>
      <c r="C228" s="315">
        <v>0.01</v>
      </c>
      <c r="D228" s="315">
        <v>1.3816739664E7</v>
      </c>
      <c r="E228" s="20">
        <v>315344.0</v>
      </c>
      <c r="F228" s="20">
        <v>473013.0</v>
      </c>
      <c r="G228" s="316"/>
      <c r="H228" s="329"/>
      <c r="I228" s="43">
        <f t="shared" si="6"/>
        <v>1.4605096674E7</v>
      </c>
    </row>
    <row r="229" spans="8:8">
      <c r="A229" s="3" t="s">
        <v>248</v>
      </c>
      <c r="B229" s="164" t="s">
        <v>196</v>
      </c>
      <c r="C229" s="315">
        <v>0.01</v>
      </c>
      <c r="D229" s="315">
        <v>1.3816739664E7</v>
      </c>
      <c r="E229" s="20">
        <v>315344.0</v>
      </c>
      <c r="F229" s="20">
        <v>473013.0</v>
      </c>
      <c r="G229" s="316"/>
      <c r="H229" s="329"/>
      <c r="I229" s="43">
        <f t="shared" si="6"/>
        <v>1.4605096674E7</v>
      </c>
    </row>
    <row r="230" spans="8:8">
      <c r="A230" s="3" t="s">
        <v>249</v>
      </c>
      <c r="B230" s="164" t="s">
        <v>196</v>
      </c>
      <c r="C230" s="315">
        <v>0.01</v>
      </c>
      <c r="D230" s="315">
        <v>1.3816739664E7</v>
      </c>
      <c r="E230" s="20">
        <v>315344.0</v>
      </c>
      <c r="F230" s="20">
        <v>473013.0</v>
      </c>
      <c r="G230" s="316"/>
      <c r="H230" s="329"/>
      <c r="I230" s="43">
        <f t="shared" si="6"/>
        <v>1.4605096674E7</v>
      </c>
    </row>
    <row r="231" spans="8:8">
      <c r="A231" s="3" t="s">
        <v>250</v>
      </c>
      <c r="B231" s="164" t="s">
        <v>196</v>
      </c>
      <c r="C231" s="315">
        <v>0.01</v>
      </c>
      <c r="D231" s="315">
        <v>1.3816739664E7</v>
      </c>
      <c r="E231" s="20">
        <v>315344.0</v>
      </c>
      <c r="F231" s="20">
        <v>473013.0</v>
      </c>
      <c r="G231" s="316"/>
      <c r="H231" s="329"/>
      <c r="I231" s="43">
        <f t="shared" si="6"/>
        <v>1.4605096674E7</v>
      </c>
    </row>
    <row r="232" spans="8:8">
      <c r="A232" s="3" t="s">
        <v>251</v>
      </c>
      <c r="B232" s="164" t="s">
        <v>196</v>
      </c>
      <c r="C232" s="315">
        <v>0.01</v>
      </c>
      <c r="D232" s="315">
        <v>1.3816739664E7</v>
      </c>
      <c r="E232" s="20">
        <v>315344.0</v>
      </c>
      <c r="F232" s="20">
        <v>473013.0</v>
      </c>
      <c r="G232" s="316"/>
      <c r="H232" s="329"/>
      <c r="I232" s="43">
        <f t="shared" si="6"/>
        <v>1.4605096674E7</v>
      </c>
    </row>
    <row r="233" spans="8:8">
      <c r="A233" s="3" t="s">
        <v>252</v>
      </c>
      <c r="B233" s="164" t="s">
        <v>196</v>
      </c>
      <c r="C233" s="315">
        <v>0.01</v>
      </c>
      <c r="D233" s="315">
        <v>1.3816739664E7</v>
      </c>
      <c r="E233" s="20">
        <v>315344.0</v>
      </c>
      <c r="F233" s="20">
        <v>473013.0</v>
      </c>
      <c r="G233" s="316"/>
      <c r="H233" s="329"/>
      <c r="I233" s="43">
        <f t="shared" si="6"/>
        <v>1.4605096674E7</v>
      </c>
    </row>
    <row r="234" spans="8:8">
      <c r="A234" s="3" t="s">
        <v>253</v>
      </c>
      <c r="B234" s="164" t="s">
        <v>196</v>
      </c>
      <c r="C234" s="315">
        <v>0.01</v>
      </c>
      <c r="D234" s="315">
        <v>1.3816739664E7</v>
      </c>
      <c r="E234" s="20">
        <v>315344.0</v>
      </c>
      <c r="F234" s="20">
        <v>473013.0</v>
      </c>
      <c r="G234" s="316"/>
      <c r="H234" s="329"/>
      <c r="I234" s="43">
        <f t="shared" si="6"/>
        <v>1.4605096674E7</v>
      </c>
    </row>
    <row r="235" spans="8:8">
      <c r="A235" s="3" t="s">
        <v>254</v>
      </c>
      <c r="B235" s="164" t="s">
        <v>196</v>
      </c>
      <c r="C235" s="315">
        <v>0.01</v>
      </c>
      <c r="D235" s="315">
        <v>1.3816739664E7</v>
      </c>
      <c r="E235" s="20">
        <v>315344.0</v>
      </c>
      <c r="F235" s="20">
        <v>473013.0</v>
      </c>
      <c r="G235" s="316"/>
      <c r="H235" s="329"/>
      <c r="I235" s="43">
        <f t="shared" si="6"/>
        <v>1.4605096674E7</v>
      </c>
    </row>
    <row r="236" spans="8:8">
      <c r="A236" s="3" t="s">
        <v>255</v>
      </c>
      <c r="B236" s="164" t="s">
        <v>196</v>
      </c>
      <c r="C236" s="315">
        <v>0.01</v>
      </c>
      <c r="D236" s="315">
        <v>1.3816739664E7</v>
      </c>
      <c r="E236" s="20">
        <v>315344.0</v>
      </c>
      <c r="F236" s="20">
        <v>473013.0</v>
      </c>
      <c r="G236" s="316"/>
      <c r="H236" s="329"/>
      <c r="I236" s="43">
        <f t="shared" si="6"/>
        <v>1.4605096674E7</v>
      </c>
    </row>
    <row r="237" spans="8:8">
      <c r="A237" s="3" t="s">
        <v>256</v>
      </c>
      <c r="B237" s="164" t="s">
        <v>196</v>
      </c>
      <c r="C237" s="315">
        <v>0.01</v>
      </c>
      <c r="D237" s="315">
        <v>1.3816739664E7</v>
      </c>
      <c r="E237" s="20">
        <v>315344.0</v>
      </c>
      <c r="F237" s="20">
        <v>473013.0</v>
      </c>
      <c r="G237" s="316"/>
      <c r="H237" s="329"/>
      <c r="I237" s="43">
        <f t="shared" si="6"/>
        <v>1.4605096674E7</v>
      </c>
    </row>
    <row r="238" spans="8:8">
      <c r="A238" s="3" t="s">
        <v>257</v>
      </c>
      <c r="B238" s="164" t="s">
        <v>196</v>
      </c>
      <c r="C238" s="315">
        <v>0.01</v>
      </c>
      <c r="D238" s="315">
        <v>1.3816739664E7</v>
      </c>
      <c r="E238" s="20">
        <v>315344.0</v>
      </c>
      <c r="F238" s="20">
        <v>473013.0</v>
      </c>
      <c r="G238" s="316"/>
      <c r="H238" s="329"/>
      <c r="I238" s="43">
        <f t="shared" si="6"/>
        <v>1.4605096674E7</v>
      </c>
    </row>
    <row r="239" spans="8:8">
      <c r="A239" s="3" t="s">
        <v>258</v>
      </c>
      <c r="B239" s="164" t="s">
        <v>196</v>
      </c>
      <c r="C239" s="315">
        <v>0.01</v>
      </c>
      <c r="D239" s="315">
        <v>1.3816739664E7</v>
      </c>
      <c r="E239" s="20">
        <v>315344.0</v>
      </c>
      <c r="F239" s="20">
        <v>473013.0</v>
      </c>
      <c r="G239" s="316"/>
      <c r="H239" s="329"/>
      <c r="I239" s="43">
        <f t="shared" si="6"/>
        <v>1.4605096674E7</v>
      </c>
    </row>
    <row r="240" spans="8:8">
      <c r="A240" s="3" t="s">
        <v>259</v>
      </c>
      <c r="B240" s="164" t="s">
        <v>196</v>
      </c>
      <c r="C240" s="315">
        <v>0.01</v>
      </c>
      <c r="D240" s="315">
        <v>1.3816739664E7</v>
      </c>
      <c r="E240" s="20">
        <v>315344.0</v>
      </c>
      <c r="F240" s="20">
        <v>473013.0</v>
      </c>
      <c r="G240" s="316"/>
      <c r="H240" s="329"/>
      <c r="I240" s="43">
        <f>SUM(C240:H240)</f>
        <v>1.4605096674E7</v>
      </c>
    </row>
    <row r="241" spans="8:8">
      <c r="A241" s="3" t="s">
        <v>260</v>
      </c>
      <c r="B241" s="164" t="s">
        <v>196</v>
      </c>
      <c r="C241" s="315">
        <v>7058509.24272</v>
      </c>
      <c r="D241" s="315">
        <v>1.6595146713599999E7</v>
      </c>
      <c r="E241" s="20">
        <v>315344.0</v>
      </c>
      <c r="F241" s="20">
        <v>473013.0</v>
      </c>
      <c r="G241" s="316"/>
      <c r="H241" s="329"/>
      <c r="I241" s="43">
        <f>SUM(C241:H241)</f>
        <v>2.444201295632E7</v>
      </c>
    </row>
    <row r="242" spans="8:8">
      <c r="A242" s="3" t="s">
        <v>262</v>
      </c>
      <c r="B242" s="164" t="s">
        <v>196</v>
      </c>
      <c r="C242" s="315">
        <v>0.01</v>
      </c>
      <c r="D242" s="315">
        <v>1.6580087596799998E7</v>
      </c>
      <c r="E242" s="20">
        <v>315344.0</v>
      </c>
      <c r="F242" s="20">
        <v>473013.0</v>
      </c>
      <c r="G242" s="316"/>
      <c r="H242" s="329"/>
      <c r="I242" s="43">
        <f t="shared" si="7" ref="I242:I254">SUM(C242:F242)</f>
        <v>1.7368444606799997E7</v>
      </c>
    </row>
    <row r="243" spans="8:8">
      <c r="A243" s="3" t="s">
        <v>265</v>
      </c>
      <c r="B243" s="164" t="s">
        <v>196</v>
      </c>
      <c r="C243" s="315">
        <v>0.01</v>
      </c>
      <c r="D243" s="315">
        <v>1.3816739664E7</v>
      </c>
      <c r="E243" s="20">
        <v>315344.0</v>
      </c>
      <c r="F243" s="20">
        <v>473013.0</v>
      </c>
      <c r="G243" s="316"/>
      <c r="H243" s="329"/>
      <c r="I243" s="43">
        <f t="shared" si="7"/>
        <v>1.4605096674E7</v>
      </c>
    </row>
    <row r="244" spans="8:8">
      <c r="A244" s="3" t="s">
        <v>266</v>
      </c>
      <c r="B244" s="164" t="s">
        <v>196</v>
      </c>
      <c r="C244" s="315">
        <v>0.01</v>
      </c>
      <c r="D244" s="315">
        <v>1.3816739664E7</v>
      </c>
      <c r="E244" s="20">
        <v>315344.0</v>
      </c>
      <c r="F244" s="20">
        <v>473013.0</v>
      </c>
      <c r="G244" s="316"/>
      <c r="H244" s="329"/>
      <c r="I244" s="43">
        <f t="shared" si="7"/>
        <v>1.4605096674E7</v>
      </c>
    </row>
    <row r="245" spans="8:8">
      <c r="A245" s="3" t="s">
        <v>267</v>
      </c>
      <c r="B245" s="164" t="s">
        <v>196</v>
      </c>
      <c r="C245" s="315">
        <v>0.01</v>
      </c>
      <c r="D245" s="315">
        <v>1.3816739664E7</v>
      </c>
      <c r="E245" s="20">
        <v>315344.0</v>
      </c>
      <c r="F245" s="20">
        <v>473013.0</v>
      </c>
      <c r="G245" s="316"/>
      <c r="H245" s="329"/>
      <c r="I245" s="43">
        <f t="shared" si="7"/>
        <v>1.4605096674E7</v>
      </c>
    </row>
    <row r="246" spans="8:8">
      <c r="A246" s="3" t="s">
        <v>268</v>
      </c>
      <c r="B246" s="164" t="s">
        <v>196</v>
      </c>
      <c r="C246" s="315">
        <v>0.01</v>
      </c>
      <c r="D246" s="315">
        <v>1.3816739664E7</v>
      </c>
      <c r="E246" s="20">
        <v>315344.0</v>
      </c>
      <c r="F246" s="20">
        <v>473013.0</v>
      </c>
      <c r="G246" s="316"/>
      <c r="H246" s="329"/>
      <c r="I246" s="43">
        <f t="shared" si="7"/>
        <v>1.4605096674E7</v>
      </c>
    </row>
    <row r="247" spans="8:8">
      <c r="A247" s="3" t="s">
        <v>269</v>
      </c>
      <c r="B247" s="164" t="s">
        <v>196</v>
      </c>
      <c r="C247" s="315">
        <v>0.01</v>
      </c>
      <c r="D247" s="315">
        <v>1.3816739664E7</v>
      </c>
      <c r="E247" s="20">
        <v>315344.0</v>
      </c>
      <c r="F247" s="20">
        <v>473013.0</v>
      </c>
      <c r="G247" s="316"/>
      <c r="H247" s="329"/>
      <c r="I247" s="43">
        <f t="shared" si="7"/>
        <v>1.4605096674E7</v>
      </c>
    </row>
    <row r="248" spans="8:8">
      <c r="A248" s="3" t="s">
        <v>270</v>
      </c>
      <c r="B248" s="164" t="s">
        <v>196</v>
      </c>
      <c r="C248" s="315">
        <v>0.01</v>
      </c>
      <c r="D248" s="315">
        <v>1.3816739664E7</v>
      </c>
      <c r="E248" s="20">
        <v>315344.0</v>
      </c>
      <c r="F248" s="20">
        <v>473013.0</v>
      </c>
      <c r="G248" s="316"/>
      <c r="H248" s="329"/>
      <c r="I248" s="43">
        <f t="shared" si="7"/>
        <v>1.4605096674E7</v>
      </c>
    </row>
    <row r="249" spans="8:8">
      <c r="A249" s="3" t="s">
        <v>271</v>
      </c>
      <c r="B249" s="164" t="s">
        <v>196</v>
      </c>
      <c r="C249" s="315">
        <v>0.01</v>
      </c>
      <c r="D249" s="315">
        <v>1.3816739664E7</v>
      </c>
      <c r="E249" s="20">
        <v>315344.0</v>
      </c>
      <c r="F249" s="20">
        <v>473013.0</v>
      </c>
      <c r="G249" s="316"/>
      <c r="H249" s="329"/>
      <c r="I249" s="43">
        <f t="shared" si="7"/>
        <v>1.4605096674E7</v>
      </c>
    </row>
    <row r="250" spans="8:8">
      <c r="A250" s="3" t="s">
        <v>272</v>
      </c>
      <c r="B250" s="164" t="s">
        <v>196</v>
      </c>
      <c r="C250" s="315">
        <v>0.01</v>
      </c>
      <c r="D250" s="315">
        <v>1.3816739664E7</v>
      </c>
      <c r="E250" s="20">
        <v>315344.0</v>
      </c>
      <c r="F250" s="20">
        <v>473013.0</v>
      </c>
      <c r="G250" s="316"/>
      <c r="H250" s="329"/>
      <c r="I250" s="43">
        <f t="shared" si="7"/>
        <v>1.4605096674E7</v>
      </c>
    </row>
    <row r="251" spans="8:8">
      <c r="A251" s="3" t="s">
        <v>273</v>
      </c>
      <c r="B251" s="164" t="s">
        <v>196</v>
      </c>
      <c r="C251" s="315">
        <v>0.01</v>
      </c>
      <c r="D251" s="315">
        <v>1.3816739664E7</v>
      </c>
      <c r="E251" s="20">
        <v>315344.0</v>
      </c>
      <c r="F251" s="20">
        <v>473013.0</v>
      </c>
      <c r="G251" s="316"/>
      <c r="H251" s="329"/>
      <c r="I251" s="43">
        <f t="shared" si="7"/>
        <v>1.4605096674E7</v>
      </c>
    </row>
    <row r="252" spans="8:8">
      <c r="A252" s="3" t="s">
        <v>274</v>
      </c>
      <c r="B252" s="164" t="s">
        <v>196</v>
      </c>
      <c r="C252" s="315">
        <v>0.01</v>
      </c>
      <c r="D252" s="315">
        <v>1.3816739664E7</v>
      </c>
      <c r="E252" s="20">
        <v>315344.0</v>
      </c>
      <c r="F252" s="20">
        <v>473013.0</v>
      </c>
      <c r="G252" s="316"/>
      <c r="H252" s="329"/>
      <c r="I252" s="43">
        <f t="shared" si="7"/>
        <v>1.4605096674E7</v>
      </c>
    </row>
    <row r="253" spans="8:8">
      <c r="A253" s="3" t="s">
        <v>275</v>
      </c>
      <c r="B253" s="164" t="s">
        <v>196</v>
      </c>
      <c r="C253" s="315">
        <v>0.01</v>
      </c>
      <c r="D253" s="315">
        <v>1.3816739664E7</v>
      </c>
      <c r="E253" s="20">
        <v>315344.0</v>
      </c>
      <c r="F253" s="20">
        <v>473013.0</v>
      </c>
      <c r="G253" s="316"/>
      <c r="H253" s="329"/>
      <c r="I253" s="43">
        <f t="shared" si="7"/>
        <v>1.4605096674E7</v>
      </c>
    </row>
    <row r="254" spans="8:8">
      <c r="A254" s="29" t="s">
        <v>276</v>
      </c>
      <c r="B254" s="177" t="s">
        <v>196</v>
      </c>
      <c r="C254" s="332">
        <v>0.01</v>
      </c>
      <c r="D254" s="332">
        <v>1.3816739664E7</v>
      </c>
      <c r="E254" s="333">
        <v>315344.0</v>
      </c>
      <c r="F254" s="333">
        <v>473013.0</v>
      </c>
      <c r="G254" s="316"/>
      <c r="H254" s="329"/>
      <c r="I254" s="43">
        <f t="shared" si="7"/>
        <v>1.4605096674E7</v>
      </c>
    </row>
    <row r="255" spans="8:8">
      <c r="A255" s="334" t="s">
        <v>407</v>
      </c>
      <c r="B255" s="4" t="s">
        <v>196</v>
      </c>
      <c r="C255" s="315">
        <v>0.01</v>
      </c>
      <c r="D255" s="315">
        <v>2.7633479328E7</v>
      </c>
      <c r="E255" s="20">
        <v>315344.0</v>
      </c>
      <c r="F255" s="20">
        <v>473013.0</v>
      </c>
      <c r="G255" s="335"/>
      <c r="H255" s="329"/>
      <c r="I255" s="43">
        <f>SUM(C255:H255)</f>
        <v>2.8421836338000003E7</v>
      </c>
    </row>
    <row r="256" spans="8:8">
      <c r="A256" s="334" t="s">
        <v>408</v>
      </c>
      <c r="B256" s="4" t="s">
        <v>196</v>
      </c>
      <c r="C256" s="315">
        <v>0.01</v>
      </c>
      <c r="D256" s="315">
        <v>2.7633479328E7</v>
      </c>
      <c r="E256" s="20">
        <v>315344.0</v>
      </c>
      <c r="F256" s="20">
        <v>473013.0</v>
      </c>
      <c r="G256" s="335"/>
      <c r="H256" s="329"/>
      <c r="I256" s="43">
        <f>SUM(C256:H256)</f>
        <v>2.8421836338000003E7</v>
      </c>
    </row>
    <row r="257" spans="8:8">
      <c r="A257" s="320" t="s">
        <v>277</v>
      </c>
      <c r="B257" s="166" t="s">
        <v>196</v>
      </c>
      <c r="C257" s="328">
        <v>0.01</v>
      </c>
      <c r="D257" s="328">
        <v>1.3816739664E7</v>
      </c>
      <c r="E257" s="321">
        <v>315344.0</v>
      </c>
      <c r="F257" s="321">
        <v>473013.0</v>
      </c>
      <c r="G257" s="316"/>
      <c r="H257" s="329"/>
      <c r="I257" s="43">
        <f>SUM(C257:H257)</f>
        <v>1.4605096674E7</v>
      </c>
    </row>
    <row r="258" spans="8:8" ht="15.75">
      <c r="A258" s="51" t="s">
        <v>280</v>
      </c>
      <c r="B258" s="317" t="s">
        <v>196</v>
      </c>
      <c r="C258" s="325">
        <v>7058509.226496002</v>
      </c>
      <c r="D258" s="325">
        <v>1.6595146713599999E7</v>
      </c>
      <c r="E258" s="54">
        <v>315344.0</v>
      </c>
      <c r="F258" s="54">
        <v>473013.0</v>
      </c>
      <c r="G258" s="319"/>
      <c r="H258" s="319"/>
      <c r="I258" s="55">
        <f>SUM(C258:H258)</f>
        <v>2.4442012940096E7</v>
      </c>
    </row>
    <row r="259" spans="8:8">
      <c r="A259" s="336" t="s">
        <v>281</v>
      </c>
      <c r="B259" s="337" t="s">
        <v>282</v>
      </c>
      <c r="C259" s="328">
        <v>1.5E7</v>
      </c>
      <c r="D259" s="338"/>
      <c r="E259" s="183"/>
      <c r="F259" s="184"/>
      <c r="G259" s="316"/>
      <c r="H259" s="316"/>
      <c r="I259" s="225">
        <f>SUM(C259:F259)</f>
        <v>1.5E7</v>
      </c>
    </row>
    <row r="260" spans="8:8" ht="15.75">
      <c r="A260" s="339" t="s">
        <v>283</v>
      </c>
      <c r="B260" s="340" t="s">
        <v>282</v>
      </c>
      <c r="C260" s="325">
        <v>1.5E7</v>
      </c>
      <c r="D260" s="341"/>
      <c r="E260" s="341"/>
      <c r="F260" s="341"/>
      <c r="G260" s="319"/>
      <c r="H260" s="319"/>
      <c r="I260" s="342">
        <f t="shared" si="8" ref="I260:I268">SUM(C260:D260)</f>
        <v>1.5E7</v>
      </c>
    </row>
    <row r="261" spans="8:8">
      <c r="A261" s="336" t="s">
        <v>284</v>
      </c>
      <c r="B261" s="343" t="s">
        <v>285</v>
      </c>
      <c r="C261" s="344">
        <v>104000.0</v>
      </c>
      <c r="D261" s="184"/>
      <c r="E261" s="184"/>
      <c r="F261" s="184"/>
      <c r="G261" s="316"/>
      <c r="H261" s="316"/>
      <c r="I261" s="225">
        <f t="shared" si="8"/>
        <v>104000.0</v>
      </c>
    </row>
    <row r="262" spans="8:8">
      <c r="A262" s="207" t="s">
        <v>286</v>
      </c>
      <c r="B262" s="345" t="s">
        <v>285</v>
      </c>
      <c r="C262" s="211">
        <v>157040.0</v>
      </c>
      <c r="D262" s="184"/>
      <c r="E262" s="184"/>
      <c r="F262" s="184"/>
      <c r="G262" s="316"/>
      <c r="H262" s="316"/>
      <c r="I262" s="210">
        <f t="shared" si="8"/>
        <v>157040.0</v>
      </c>
    </row>
    <row r="263" spans="8:8">
      <c r="A263" s="15" t="s">
        <v>4</v>
      </c>
      <c r="B263" s="171" t="s">
        <v>285</v>
      </c>
      <c r="C263" s="20">
        <v>315344.0</v>
      </c>
      <c r="D263" s="184"/>
      <c r="E263" s="184"/>
      <c r="F263" s="184"/>
      <c r="G263" s="316"/>
      <c r="H263" s="316"/>
      <c r="I263" s="210">
        <f t="shared" si="8"/>
        <v>315344.0</v>
      </c>
    </row>
    <row r="264" spans="8:8">
      <c r="A264" s="15" t="s">
        <v>406</v>
      </c>
      <c r="B264" s="171" t="s">
        <v>285</v>
      </c>
      <c r="C264" s="20">
        <v>1235000.0</v>
      </c>
      <c r="D264" s="184"/>
      <c r="E264" s="184"/>
      <c r="F264" s="184"/>
      <c r="G264" s="316"/>
      <c r="H264" s="316"/>
      <c r="I264" s="210">
        <f t="shared" si="8"/>
        <v>1235000.0</v>
      </c>
    </row>
    <row r="265" spans="8:8">
      <c r="A265" s="207" t="s">
        <v>287</v>
      </c>
      <c r="B265" s="171" t="s">
        <v>285</v>
      </c>
      <c r="C265" s="20">
        <v>946026.0</v>
      </c>
      <c r="D265" s="184"/>
      <c r="E265" s="184"/>
      <c r="F265" s="184"/>
      <c r="G265" s="316"/>
      <c r="H265" s="316"/>
      <c r="I265" s="210">
        <f t="shared" si="8"/>
        <v>946026.0</v>
      </c>
    </row>
    <row r="266" spans="8:8">
      <c r="A266" s="15" t="s">
        <v>319</v>
      </c>
      <c r="B266" s="171" t="s">
        <v>285</v>
      </c>
      <c r="C266" s="20">
        <v>572000.0</v>
      </c>
      <c r="D266" s="184"/>
      <c r="E266" s="184"/>
      <c r="F266" s="184"/>
      <c r="G266" s="316"/>
      <c r="H266" s="316"/>
      <c r="I266" s="210">
        <f t="shared" si="8"/>
        <v>572000.0</v>
      </c>
    </row>
    <row r="267" spans="8:8">
      <c r="A267" s="15" t="s">
        <v>5</v>
      </c>
      <c r="B267" s="171" t="s">
        <v>285</v>
      </c>
      <c r="C267" s="20">
        <v>473013.0</v>
      </c>
      <c r="D267" s="184"/>
      <c r="E267" s="184"/>
      <c r="F267" s="184"/>
      <c r="G267" s="316"/>
      <c r="H267" s="316"/>
      <c r="I267" s="210">
        <f t="shared" si="8"/>
        <v>473013.0</v>
      </c>
    </row>
    <row r="268" spans="8:8" ht="15.75">
      <c r="A268" s="65" t="s">
        <v>288</v>
      </c>
      <c r="B268" s="324" t="s">
        <v>285</v>
      </c>
      <c r="C268" s="54">
        <v>1576703.0</v>
      </c>
      <c r="D268" s="341"/>
      <c r="E268" s="341"/>
      <c r="F268" s="341"/>
      <c r="G268" s="319"/>
      <c r="H268" s="319"/>
      <c r="I268" s="342">
        <f t="shared" si="8"/>
        <v>1576703.0</v>
      </c>
    </row>
    <row r="269" spans="8:8">
      <c r="A269" s="346" t="s">
        <v>291</v>
      </c>
      <c r="B269" s="347" t="s">
        <v>290</v>
      </c>
      <c r="C269" s="348">
        <v>5609150.322047999</v>
      </c>
      <c r="D269" s="349">
        <v>5609150.322047999</v>
      </c>
      <c r="E269" s="184">
        <v>315344.0</v>
      </c>
      <c r="F269" s="350">
        <v>473013.0</v>
      </c>
      <c r="G269" s="316"/>
      <c r="H269" s="316"/>
      <c r="I269" s="225">
        <f>SUM(C269:H269)</f>
        <v>1.2006657644095998E7</v>
      </c>
    </row>
    <row r="270" spans="8:8">
      <c r="A270" s="39"/>
      <c r="C270" s="161"/>
      <c r="D270" s="39"/>
    </row>
    <row r="271" spans="8:8">
      <c r="A271" s="39"/>
      <c r="C271" s="161"/>
      <c r="D271" s="39"/>
    </row>
    <row r="272" spans="8:8">
      <c r="A272" s="39"/>
    </row>
    <row r="273" spans="8:8">
      <c r="A273" s="39"/>
    </row>
    <row r="275" spans="8:8">
      <c r="A275" s="38" t="s">
        <v>351</v>
      </c>
    </row>
    <row r="284" spans="8:8">
      <c r="H284" s="351"/>
    </row>
    <row r="285" spans="8:8" s="49" ht="15.0" customFormat="1">
      <c r="A285" s="38"/>
      <c r="B285" s="39"/>
      <c r="C285" s="40"/>
      <c r="D285" s="163"/>
      <c r="E285" s="163"/>
      <c r="F285" s="163"/>
      <c r="G285" s="314"/>
      <c r="H285" s="351"/>
    </row>
    <row r="293" spans="8:8" s="49" ht="15.0" customFormat="1">
      <c r="A293" s="38"/>
      <c r="B293" s="39"/>
      <c r="C293" s="40"/>
      <c r="D293" s="163"/>
      <c r="E293" s="163"/>
      <c r="F293" s="163"/>
      <c r="G293" s="314"/>
      <c r="H293" s="351"/>
    </row>
    <row r="296" spans="8:8" s="49" ht="15.0" customFormat="1">
      <c r="A296" s="38"/>
      <c r="B296" s="39"/>
      <c r="C296" s="40"/>
      <c r="D296" s="163"/>
      <c r="E296" s="163"/>
      <c r="F296" s="163"/>
      <c r="G296" s="314"/>
      <c r="H296" s="351"/>
    </row>
    <row r="297" spans="8:8" s="49" ht="15.0" customFormat="1">
      <c r="A297" s="38"/>
      <c r="B297" s="39"/>
      <c r="C297" s="40"/>
      <c r="D297" s="163"/>
      <c r="E297" s="163"/>
      <c r="F297" s="163"/>
      <c r="G297" s="314"/>
      <c r="H297" s="351"/>
    </row>
    <row r="298" spans="8:8">
      <c r="H298" s="248"/>
    </row>
    <row r="299" spans="8:8">
      <c r="H299" s="248"/>
    </row>
  </sheetData>
  <pageMargins left="0.7" right="0.7" top="0.75" bottom="0.75" header="0.3" footer="0.3"/>
</worksheet>
</file>

<file path=xl/worksheets/sheet24.xml><?xml version="1.0" encoding="utf-8"?>
<worksheet xmlns:r="http://schemas.openxmlformats.org/officeDocument/2006/relationships" xmlns="http://schemas.openxmlformats.org/spreadsheetml/2006/main">
  <dimension ref="A1:L294"/>
  <sheetViews>
    <sheetView workbookViewId="0" topLeftCell="A4">
      <selection activeCell="A39" sqref="A39"/>
    </sheetView>
  </sheetViews>
  <sheetFormatPr defaultRowHeight="15.0" defaultColWidth="10"/>
  <cols>
    <col min="1" max="1" customWidth="1" width="61.0" style="38"/>
    <col min="2" max="2" customWidth="1" width="14.0" style="39"/>
    <col min="3" max="3" customWidth="1" bestFit="1" width="14.5703125" style="39"/>
    <col min="4" max="4" customWidth="1" bestFit="1" width="12.5703125" style="39"/>
    <col min="5" max="16384" customWidth="0" width="11.425781" style="39"/>
  </cols>
  <sheetData>
    <row r="1" spans="8:8">
      <c r="A1" s="1" t="s">
        <v>0</v>
      </c>
      <c r="B1" s="352" t="s">
        <v>1</v>
      </c>
      <c r="C1" s="2" t="s">
        <v>294</v>
      </c>
    </row>
    <row r="2" spans="8:8">
      <c r="A2" s="3" t="s">
        <v>7</v>
      </c>
      <c r="B2" s="164" t="s">
        <v>8</v>
      </c>
      <c r="C2" s="43">
        <v>4681408.8</v>
      </c>
    </row>
    <row r="3" spans="8:8">
      <c r="A3" s="3" t="s">
        <v>9</v>
      </c>
      <c r="B3" s="164" t="s">
        <v>8</v>
      </c>
      <c r="C3" s="43">
        <v>4681408.8</v>
      </c>
    </row>
    <row r="4" spans="8:8">
      <c r="A4" s="3" t="s">
        <v>10</v>
      </c>
      <c r="B4" s="164" t="s">
        <v>8</v>
      </c>
      <c r="C4" s="43">
        <v>4681408.8</v>
      </c>
    </row>
    <row r="5" spans="8:8" ht="15.75">
      <c r="A5" s="51" t="s">
        <v>11</v>
      </c>
      <c r="B5" s="317" t="s">
        <v>8</v>
      </c>
      <c r="C5" s="55">
        <v>8416789.62</v>
      </c>
    </row>
    <row r="6" spans="8:8" ht="15.75">
      <c r="A6" s="353" t="s">
        <v>409</v>
      </c>
      <c r="B6" s="181" t="s">
        <v>13</v>
      </c>
      <c r="C6" s="46">
        <v>5918132.17</v>
      </c>
      <c r="D6" s="71"/>
      <c r="E6" s="71"/>
      <c r="F6" s="71"/>
      <c r="G6" s="71"/>
      <c r="H6" s="71"/>
      <c r="I6" s="71"/>
    </row>
    <row r="7" spans="8:8" ht="15.75">
      <c r="A7" s="354" t="s">
        <v>410</v>
      </c>
      <c r="B7" s="181" t="s">
        <v>13</v>
      </c>
      <c r="C7" s="46">
        <v>1.183626434E7</v>
      </c>
      <c r="D7" s="71"/>
      <c r="E7" s="71"/>
      <c r="F7" s="71"/>
      <c r="G7" s="71"/>
      <c r="H7" s="71"/>
      <c r="I7" s="71"/>
    </row>
    <row r="8" spans="8:8">
      <c r="A8" s="3" t="s">
        <v>15</v>
      </c>
      <c r="B8" s="164" t="s">
        <v>13</v>
      </c>
      <c r="C8" s="46">
        <v>5918132.17</v>
      </c>
      <c r="D8" s="71"/>
      <c r="E8" s="71"/>
      <c r="F8" s="71"/>
      <c r="G8" s="71"/>
      <c r="H8" s="71"/>
      <c r="I8" s="71"/>
    </row>
    <row r="9" spans="8:8">
      <c r="A9" s="3" t="s">
        <v>16</v>
      </c>
      <c r="B9" s="164" t="s">
        <v>13</v>
      </c>
      <c r="C9" s="46">
        <v>5918132.17</v>
      </c>
      <c r="D9" s="71"/>
      <c r="E9" s="71"/>
      <c r="G9" s="71"/>
      <c r="H9" s="71"/>
      <c r="I9" s="71"/>
    </row>
    <row r="10" spans="8:8">
      <c r="A10" s="3" t="s">
        <v>17</v>
      </c>
      <c r="B10" s="164" t="s">
        <v>13</v>
      </c>
      <c r="C10" s="43">
        <v>1.472087113E7</v>
      </c>
      <c r="D10" s="71"/>
      <c r="E10" s="71"/>
      <c r="F10" s="71"/>
      <c r="G10" s="71"/>
      <c r="H10" s="71"/>
      <c r="I10" s="71"/>
    </row>
    <row r="11" spans="8:8">
      <c r="A11" s="3" t="s">
        <v>18</v>
      </c>
      <c r="B11" s="164" t="s">
        <v>13</v>
      </c>
      <c r="C11" s="43">
        <v>8401892.54</v>
      </c>
      <c r="D11" s="71"/>
      <c r="E11" s="71"/>
      <c r="F11" s="71"/>
      <c r="G11" s="71"/>
      <c r="H11" s="71"/>
      <c r="I11" s="71"/>
    </row>
    <row r="12" spans="8:8">
      <c r="A12" s="3" t="s">
        <v>19</v>
      </c>
      <c r="B12" s="164" t="s">
        <v>13</v>
      </c>
      <c r="C12" s="43">
        <v>8401892.54</v>
      </c>
      <c r="D12" s="71"/>
      <c r="E12" s="71"/>
      <c r="F12" s="3"/>
      <c r="G12" s="71"/>
      <c r="H12" s="71"/>
      <c r="I12" s="71"/>
    </row>
    <row r="13" spans="8:8">
      <c r="A13" s="3" t="s">
        <v>20</v>
      </c>
      <c r="B13" s="164" t="s">
        <v>13</v>
      </c>
      <c r="C13" s="43">
        <v>8401892.54</v>
      </c>
    </row>
    <row r="14" spans="8:8">
      <c r="A14" s="206" t="s">
        <v>21</v>
      </c>
      <c r="B14" s="164" t="s">
        <v>13</v>
      </c>
      <c r="C14" s="43">
        <v>1.680378508E7</v>
      </c>
    </row>
    <row r="15" spans="8:8">
      <c r="A15" s="15" t="s">
        <v>22</v>
      </c>
      <c r="B15" s="171" t="s">
        <v>13</v>
      </c>
      <c r="C15" s="43">
        <v>8401892.54</v>
      </c>
    </row>
    <row r="16" spans="8:8">
      <c r="A16" s="206" t="s">
        <v>23</v>
      </c>
      <c r="B16" s="171" t="s">
        <v>13</v>
      </c>
      <c r="C16" s="43">
        <v>1.680378508E7</v>
      </c>
    </row>
    <row r="17" spans="8:8">
      <c r="A17" s="3" t="s">
        <v>24</v>
      </c>
      <c r="B17" s="171" t="s">
        <v>13</v>
      </c>
      <c r="C17" s="43">
        <v>8401892.54</v>
      </c>
    </row>
    <row r="18" spans="8:8">
      <c r="A18" s="3" t="s">
        <v>25</v>
      </c>
      <c r="B18" s="164" t="s">
        <v>13</v>
      </c>
      <c r="C18" s="43">
        <v>8401892.54</v>
      </c>
    </row>
    <row r="19" spans="8:8">
      <c r="A19" s="3" t="s">
        <v>26</v>
      </c>
      <c r="B19" s="164" t="s">
        <v>13</v>
      </c>
      <c r="C19" s="43">
        <v>8401892.54</v>
      </c>
    </row>
    <row r="20" spans="8:8">
      <c r="A20" s="3" t="s">
        <v>28</v>
      </c>
      <c r="B20" s="164" t="s">
        <v>13</v>
      </c>
      <c r="C20" s="43">
        <v>8401892.54</v>
      </c>
    </row>
    <row r="21" spans="8:8">
      <c r="A21" s="3" t="s">
        <v>29</v>
      </c>
      <c r="B21" s="164" t="s">
        <v>13</v>
      </c>
      <c r="C21" s="43">
        <v>8401892.54</v>
      </c>
    </row>
    <row r="22" spans="8:8" ht="15.75">
      <c r="A22" s="14" t="s">
        <v>411</v>
      </c>
      <c r="B22" s="164" t="s">
        <v>13</v>
      </c>
      <c r="C22" s="43">
        <v>8401892.54</v>
      </c>
    </row>
    <row r="23" spans="8:8">
      <c r="A23" s="3" t="s">
        <v>31</v>
      </c>
      <c r="B23" s="164" t="s">
        <v>13</v>
      </c>
      <c r="C23" s="43">
        <v>8401892.54</v>
      </c>
    </row>
    <row r="24" spans="8:8">
      <c r="A24" s="3" t="s">
        <v>32</v>
      </c>
      <c r="B24" s="164" t="s">
        <v>13</v>
      </c>
      <c r="C24" s="43">
        <v>8401892.54</v>
      </c>
    </row>
    <row r="25" spans="8:8">
      <c r="A25" s="3" t="s">
        <v>33</v>
      </c>
      <c r="B25" s="164" t="s">
        <v>13</v>
      </c>
      <c r="C25" s="43">
        <v>8401892.54</v>
      </c>
    </row>
    <row r="26" spans="8:8">
      <c r="A26" s="3" t="s">
        <v>34</v>
      </c>
      <c r="B26" s="164" t="s">
        <v>13</v>
      </c>
      <c r="C26" s="46">
        <v>5918132.17</v>
      </c>
    </row>
    <row r="27" spans="8:8">
      <c r="A27" s="3" t="s">
        <v>35</v>
      </c>
      <c r="B27" s="164" t="s">
        <v>13</v>
      </c>
      <c r="C27" s="46">
        <v>5918132.17</v>
      </c>
    </row>
    <row r="28" spans="8:8" ht="15.75">
      <c r="A28" s="14" t="s">
        <v>412</v>
      </c>
      <c r="B28" s="164" t="s">
        <v>13</v>
      </c>
      <c r="C28" s="46">
        <v>5918132.17</v>
      </c>
    </row>
    <row r="29" spans="8:8">
      <c r="A29" s="3" t="s">
        <v>38</v>
      </c>
      <c r="B29" s="164" t="s">
        <v>13</v>
      </c>
      <c r="C29" s="46">
        <v>5918132.17</v>
      </c>
    </row>
    <row r="30" spans="8:8">
      <c r="A30" s="15" t="s">
        <v>41</v>
      </c>
      <c r="B30" s="171" t="s">
        <v>13</v>
      </c>
      <c r="C30" s="46">
        <v>5918132.17</v>
      </c>
    </row>
    <row r="31" spans="8:8" s="49" ht="15.0" customFormat="1">
      <c r="A31" s="3" t="s">
        <v>42</v>
      </c>
      <c r="B31" s="171" t="s">
        <v>13</v>
      </c>
      <c r="C31" s="46">
        <v>5918132.17</v>
      </c>
    </row>
    <row r="32" spans="8:8">
      <c r="A32" s="3" t="s">
        <v>43</v>
      </c>
      <c r="B32" s="164" t="s">
        <v>13</v>
      </c>
      <c r="C32" s="46">
        <v>5918132.17</v>
      </c>
    </row>
    <row r="33" spans="8:8" ht="15.75">
      <c r="A33" s="14" t="s">
        <v>413</v>
      </c>
      <c r="B33" s="164" t="s">
        <v>13</v>
      </c>
      <c r="C33" s="46">
        <v>5918132.17</v>
      </c>
    </row>
    <row r="34" spans="8:8">
      <c r="A34" s="3" t="s">
        <v>45</v>
      </c>
      <c r="B34" s="164" t="s">
        <v>13</v>
      </c>
      <c r="C34" s="43">
        <v>1.1506593E7</v>
      </c>
    </row>
    <row r="35" spans="8:8">
      <c r="A35" s="3" t="s">
        <v>46</v>
      </c>
      <c r="B35" s="164" t="s">
        <v>13</v>
      </c>
      <c r="C35" s="43">
        <v>1.1506593E7</v>
      </c>
    </row>
    <row r="36" spans="8:8">
      <c r="A36" s="3" t="s">
        <v>47</v>
      </c>
      <c r="B36" s="164" t="s">
        <v>13</v>
      </c>
      <c r="C36" s="43">
        <v>1.403905456E7</v>
      </c>
    </row>
    <row r="37" spans="8:8">
      <c r="A37" s="3" t="s">
        <v>48</v>
      </c>
      <c r="B37" s="164" t="s">
        <v>13</v>
      </c>
      <c r="C37" s="43">
        <v>8036633.66</v>
      </c>
    </row>
    <row r="38" spans="8:8">
      <c r="A38" s="3" t="s">
        <v>49</v>
      </c>
      <c r="B38" s="164" t="s">
        <v>13</v>
      </c>
      <c r="C38" s="46">
        <v>5918132.17</v>
      </c>
    </row>
    <row r="39" spans="8:8">
      <c r="A39" s="18" t="s">
        <v>414</v>
      </c>
      <c r="B39" s="164" t="s">
        <v>13</v>
      </c>
      <c r="C39" s="46">
        <v>5918132.17</v>
      </c>
    </row>
    <row r="40" spans="8:8" s="49" ht="15.0" customFormat="1">
      <c r="A40" s="3" t="s">
        <v>51</v>
      </c>
      <c r="B40" s="171" t="s">
        <v>13</v>
      </c>
      <c r="C40" s="46">
        <v>5918132.17</v>
      </c>
    </row>
    <row r="41" spans="8:8">
      <c r="A41" s="3" t="s">
        <v>52</v>
      </c>
      <c r="B41" s="164" t="s">
        <v>13</v>
      </c>
      <c r="C41" s="46">
        <v>5918132.17</v>
      </c>
    </row>
    <row r="42" spans="8:8">
      <c r="A42" s="3" t="s">
        <v>53</v>
      </c>
      <c r="B42" s="164" t="s">
        <v>13</v>
      </c>
      <c r="C42" s="46">
        <v>5918132.17</v>
      </c>
    </row>
    <row r="43" spans="8:8">
      <c r="A43" s="3" t="s">
        <v>54</v>
      </c>
      <c r="B43" s="164" t="s">
        <v>13</v>
      </c>
      <c r="C43" s="46">
        <v>5918132.17</v>
      </c>
    </row>
    <row r="44" spans="8:8">
      <c r="A44" s="15" t="s">
        <v>55</v>
      </c>
      <c r="B44" s="164" t="s">
        <v>13</v>
      </c>
      <c r="C44" s="46">
        <v>5918132.17</v>
      </c>
    </row>
    <row r="45" spans="8:8" s="49" ht="15.75" customFormat="1">
      <c r="A45" s="355" t="s">
        <v>415</v>
      </c>
      <c r="B45" s="324" t="s">
        <v>13</v>
      </c>
      <c r="C45" s="327">
        <v>8401892.54</v>
      </c>
    </row>
    <row r="46" spans="8:8">
      <c r="A46" s="10" t="s">
        <v>57</v>
      </c>
      <c r="B46" s="166" t="s">
        <v>60</v>
      </c>
      <c r="C46" s="46">
        <v>4744720.34</v>
      </c>
    </row>
    <row r="47" spans="8:8">
      <c r="A47" s="3" t="s">
        <v>58</v>
      </c>
      <c r="B47" s="166" t="s">
        <v>60</v>
      </c>
      <c r="C47" s="43">
        <v>4744720.34</v>
      </c>
    </row>
    <row r="48" spans="8:8">
      <c r="A48" s="10" t="s">
        <v>59</v>
      </c>
      <c r="B48" s="164" t="s">
        <v>60</v>
      </c>
      <c r="C48" s="43">
        <v>4744720.34</v>
      </c>
    </row>
    <row r="49" spans="8:8">
      <c r="A49" s="3" t="s">
        <v>61</v>
      </c>
      <c r="B49" s="164" t="s">
        <v>60</v>
      </c>
      <c r="C49" s="46">
        <v>1.38153158E7</v>
      </c>
    </row>
    <row r="50" spans="8:8">
      <c r="A50" s="3" t="s">
        <v>62</v>
      </c>
      <c r="B50" s="164" t="s">
        <v>60</v>
      </c>
      <c r="C50" s="43">
        <v>4744720.34</v>
      </c>
    </row>
    <row r="51" spans="8:8" ht="15.75">
      <c r="A51" s="51" t="s">
        <v>63</v>
      </c>
      <c r="B51" s="317" t="s">
        <v>60</v>
      </c>
      <c r="C51" s="43">
        <v>4744720.34</v>
      </c>
    </row>
    <row r="52" spans="8:8">
      <c r="A52" s="10" t="s">
        <v>64</v>
      </c>
      <c r="B52" s="166" t="s">
        <v>65</v>
      </c>
      <c r="C52" s="330">
        <v>5224287.64</v>
      </c>
    </row>
    <row r="53" spans="8:8">
      <c r="A53" s="3" t="s">
        <v>66</v>
      </c>
      <c r="B53" s="164" t="s">
        <v>65</v>
      </c>
      <c r="C53" s="46">
        <v>5403670.34</v>
      </c>
    </row>
    <row r="54" spans="8:8">
      <c r="A54" s="3" t="s">
        <v>67</v>
      </c>
      <c r="B54" s="164" t="s">
        <v>65</v>
      </c>
      <c r="C54" s="43">
        <v>5224287.64</v>
      </c>
    </row>
    <row r="55" spans="8:8">
      <c r="A55" s="3" t="s">
        <v>68</v>
      </c>
      <c r="B55" s="164" t="s">
        <v>65</v>
      </c>
      <c r="C55" s="43">
        <v>5403670.34</v>
      </c>
    </row>
    <row r="56" spans="8:8">
      <c r="A56" s="3" t="s">
        <v>69</v>
      </c>
      <c r="B56" s="164" t="s">
        <v>65</v>
      </c>
      <c r="C56" s="43">
        <v>6057889.57</v>
      </c>
    </row>
    <row r="57" spans="8:8">
      <c r="A57" s="3" t="s">
        <v>70</v>
      </c>
      <c r="B57" s="164" t="s">
        <v>65</v>
      </c>
      <c r="C57" s="43">
        <v>5224287.64</v>
      </c>
    </row>
    <row r="58" spans="8:8">
      <c r="A58" s="15" t="s">
        <v>71</v>
      </c>
      <c r="B58" s="171" t="s">
        <v>65</v>
      </c>
      <c r="C58" s="43">
        <v>5403670.34</v>
      </c>
    </row>
    <row r="59" spans="8:8">
      <c r="A59" s="15" t="s">
        <v>72</v>
      </c>
      <c r="B59" s="171" t="s">
        <v>65</v>
      </c>
      <c r="C59" s="43">
        <v>5720228.03</v>
      </c>
    </row>
    <row r="60" spans="8:8">
      <c r="A60" s="3" t="s">
        <v>73</v>
      </c>
      <c r="B60" s="164" t="s">
        <v>65</v>
      </c>
      <c r="C60" s="43">
        <v>5224287.64</v>
      </c>
    </row>
    <row r="61" spans="8:8">
      <c r="A61" s="3" t="s">
        <v>74</v>
      </c>
      <c r="B61" s="164" t="s">
        <v>65</v>
      </c>
      <c r="C61" s="43">
        <v>5403670.34</v>
      </c>
    </row>
    <row r="62" spans="8:8">
      <c r="A62" s="3" t="s">
        <v>75</v>
      </c>
      <c r="B62" s="164" t="s">
        <v>65</v>
      </c>
      <c r="C62" s="43">
        <v>7018114.58</v>
      </c>
    </row>
    <row r="63" spans="8:8">
      <c r="A63" s="3" t="s">
        <v>76</v>
      </c>
      <c r="B63" s="164" t="s">
        <v>65</v>
      </c>
      <c r="C63" s="43">
        <v>5224287.64</v>
      </c>
    </row>
    <row r="64" spans="8:8">
      <c r="A64" s="3" t="s">
        <v>77</v>
      </c>
      <c r="B64" s="164" t="s">
        <v>65</v>
      </c>
      <c r="C64" s="43">
        <v>5403670.34</v>
      </c>
    </row>
    <row r="65" spans="8:8">
      <c r="A65" s="3" t="s">
        <v>78</v>
      </c>
      <c r="B65" s="164" t="s">
        <v>65</v>
      </c>
      <c r="C65" s="43">
        <v>5720228.03</v>
      </c>
    </row>
    <row r="66" spans="8:8">
      <c r="A66" s="3" t="s">
        <v>79</v>
      </c>
      <c r="B66" s="164" t="s">
        <v>65</v>
      </c>
      <c r="C66" s="43">
        <v>6057889.57</v>
      </c>
    </row>
    <row r="67" spans="8:8">
      <c r="A67" s="3" t="s">
        <v>80</v>
      </c>
      <c r="B67" s="164" t="s">
        <v>65</v>
      </c>
      <c r="C67" s="43">
        <v>5224287.64</v>
      </c>
    </row>
    <row r="68" spans="8:8">
      <c r="A68" s="3" t="s">
        <v>81</v>
      </c>
      <c r="B68" s="164" t="s">
        <v>65</v>
      </c>
      <c r="C68" s="43">
        <v>5403670.34</v>
      </c>
    </row>
    <row r="69" spans="8:8">
      <c r="A69" s="3" t="s">
        <v>82</v>
      </c>
      <c r="B69" s="164" t="s">
        <v>65</v>
      </c>
      <c r="C69" s="43">
        <v>8020547.28</v>
      </c>
    </row>
    <row r="70" spans="8:8">
      <c r="A70" s="3" t="s">
        <v>83</v>
      </c>
      <c r="B70" s="164" t="s">
        <v>65</v>
      </c>
      <c r="C70" s="43">
        <v>8379312.66</v>
      </c>
    </row>
    <row r="71" spans="8:8">
      <c r="A71" s="3" t="s">
        <v>84</v>
      </c>
      <c r="B71" s="164" t="s">
        <v>65</v>
      </c>
      <c r="C71" s="43">
        <v>5403670.34</v>
      </c>
    </row>
    <row r="72" spans="8:8">
      <c r="A72" s="3" t="s">
        <v>85</v>
      </c>
      <c r="B72" s="164" t="s">
        <v>65</v>
      </c>
      <c r="C72" s="43">
        <v>8379312.66</v>
      </c>
    </row>
    <row r="73" spans="8:8">
      <c r="A73" s="15" t="s">
        <v>86</v>
      </c>
      <c r="B73" s="171" t="s">
        <v>65</v>
      </c>
      <c r="C73" s="43">
        <v>5403670.34</v>
      </c>
    </row>
    <row r="74" spans="8:8" s="49" ht="15.0" customFormat="1">
      <c r="A74" s="15" t="s">
        <v>87</v>
      </c>
      <c r="B74" s="171" t="s">
        <v>65</v>
      </c>
      <c r="C74" s="241">
        <v>5720228.03</v>
      </c>
    </row>
    <row r="75" spans="8:8">
      <c r="A75" s="15" t="s">
        <v>88</v>
      </c>
      <c r="B75" s="171" t="s">
        <v>65</v>
      </c>
      <c r="C75" s="43">
        <v>6057889.57</v>
      </c>
    </row>
    <row r="76" spans="8:8">
      <c r="A76" s="15" t="s">
        <v>89</v>
      </c>
      <c r="B76" s="171" t="s">
        <v>65</v>
      </c>
      <c r="C76" s="43">
        <v>6543278.04</v>
      </c>
    </row>
    <row r="77" spans="8:8">
      <c r="A77" s="15" t="s">
        <v>90</v>
      </c>
      <c r="B77" s="171" t="s">
        <v>65</v>
      </c>
      <c r="C77" s="43">
        <v>6849283.81</v>
      </c>
    </row>
    <row r="78" spans="8:8">
      <c r="A78" s="15" t="s">
        <v>91</v>
      </c>
      <c r="B78" s="171" t="s">
        <v>65</v>
      </c>
      <c r="C78" s="43">
        <v>7113081.88</v>
      </c>
    </row>
    <row r="79" spans="8:8">
      <c r="A79" s="15" t="s">
        <v>92</v>
      </c>
      <c r="B79" s="171" t="s">
        <v>65</v>
      </c>
      <c r="C79" s="43">
        <v>6224287.64</v>
      </c>
    </row>
    <row r="80" spans="8:8">
      <c r="A80" s="15" t="s">
        <v>93</v>
      </c>
      <c r="B80" s="171" t="s">
        <v>65</v>
      </c>
      <c r="C80" s="43">
        <v>5403670.34</v>
      </c>
    </row>
    <row r="81" spans="8:8">
      <c r="A81" s="15" t="s">
        <v>94</v>
      </c>
      <c r="B81" s="171" t="s">
        <v>65</v>
      </c>
      <c r="C81" s="43">
        <v>6057889.57</v>
      </c>
    </row>
    <row r="82" spans="8:8">
      <c r="A82" s="15" t="s">
        <v>95</v>
      </c>
      <c r="B82" s="171" t="s">
        <v>65</v>
      </c>
      <c r="C82" s="43">
        <v>5403670.34</v>
      </c>
    </row>
    <row r="83" spans="8:8">
      <c r="A83" s="15" t="s">
        <v>96</v>
      </c>
      <c r="B83" s="171" t="s">
        <v>65</v>
      </c>
      <c r="C83" s="43">
        <v>6057889.57</v>
      </c>
    </row>
    <row r="84" spans="8:8">
      <c r="A84" s="15" t="s">
        <v>97</v>
      </c>
      <c r="B84" s="171" t="s">
        <v>65</v>
      </c>
      <c r="C84" s="43">
        <v>5224287.64</v>
      </c>
    </row>
    <row r="85" spans="8:8">
      <c r="A85" s="15" t="s">
        <v>98</v>
      </c>
      <c r="B85" s="171" t="s">
        <v>65</v>
      </c>
      <c r="C85" s="43">
        <v>5403670.34</v>
      </c>
    </row>
    <row r="86" spans="8:8" s="49" ht="15.0" customFormat="1">
      <c r="A86" s="15" t="s">
        <v>99</v>
      </c>
      <c r="B86" s="171" t="s">
        <v>65</v>
      </c>
      <c r="C86" s="43">
        <v>6057889.57</v>
      </c>
    </row>
    <row r="87" spans="8:8">
      <c r="A87" s="15" t="s">
        <v>100</v>
      </c>
      <c r="B87" s="171" t="s">
        <v>65</v>
      </c>
      <c r="C87" s="43">
        <v>6849283.81</v>
      </c>
    </row>
    <row r="88" spans="8:8">
      <c r="A88" s="15" t="s">
        <v>101</v>
      </c>
      <c r="B88" s="171" t="s">
        <v>65</v>
      </c>
      <c r="C88" s="43">
        <v>8113081.88</v>
      </c>
    </row>
    <row r="89" spans="8:8">
      <c r="A89" s="15" t="s">
        <v>102</v>
      </c>
      <c r="B89" s="171" t="s">
        <v>65</v>
      </c>
      <c r="C89" s="43">
        <v>5372014.57</v>
      </c>
    </row>
    <row r="90" spans="8:8">
      <c r="A90" s="15" t="s">
        <v>103</v>
      </c>
      <c r="B90" s="171" t="s">
        <v>65</v>
      </c>
      <c r="C90" s="43">
        <v>5224287.64</v>
      </c>
    </row>
    <row r="91" spans="8:8">
      <c r="A91" s="15" t="s">
        <v>104</v>
      </c>
      <c r="B91" s="171" t="s">
        <v>65</v>
      </c>
      <c r="C91" s="43">
        <v>5403670.34</v>
      </c>
    </row>
    <row r="92" spans="8:8" s="49" ht="15.0" customFormat="1">
      <c r="A92" s="3" t="s">
        <v>105</v>
      </c>
      <c r="B92" s="164" t="s">
        <v>65</v>
      </c>
      <c r="C92" s="241">
        <v>5720228.03</v>
      </c>
    </row>
    <row r="93" spans="8:8">
      <c r="A93" s="3" t="s">
        <v>108</v>
      </c>
      <c r="B93" s="164" t="s">
        <v>65</v>
      </c>
      <c r="C93" s="43">
        <v>5403670.34</v>
      </c>
    </row>
    <row r="94" spans="8:8">
      <c r="A94" s="3" t="s">
        <v>109</v>
      </c>
      <c r="B94" s="164" t="s">
        <v>65</v>
      </c>
      <c r="C94" s="43">
        <v>5720228.03</v>
      </c>
    </row>
    <row r="95" spans="8:8">
      <c r="A95" s="3" t="s">
        <v>110</v>
      </c>
      <c r="B95" s="164" t="s">
        <v>65</v>
      </c>
      <c r="C95" s="43">
        <v>2.111119609E7</v>
      </c>
    </row>
    <row r="96" spans="8:8">
      <c r="A96" s="3" t="s">
        <v>111</v>
      </c>
      <c r="B96" s="164" t="s">
        <v>65</v>
      </c>
      <c r="C96" s="43">
        <v>5224287.64</v>
      </c>
    </row>
    <row r="97" spans="8:8">
      <c r="A97" s="3" t="s">
        <v>112</v>
      </c>
      <c r="B97" s="164" t="s">
        <v>65</v>
      </c>
      <c r="C97" s="43">
        <v>5403670.34</v>
      </c>
    </row>
    <row r="98" spans="8:8">
      <c r="A98" s="3" t="s">
        <v>113</v>
      </c>
      <c r="B98" s="164" t="s">
        <v>65</v>
      </c>
      <c r="C98" s="43">
        <v>5720228.03</v>
      </c>
    </row>
    <row r="99" spans="8:8">
      <c r="A99" s="3" t="s">
        <v>114</v>
      </c>
      <c r="B99" s="164" t="s">
        <v>65</v>
      </c>
      <c r="C99" s="43">
        <v>5224287.64</v>
      </c>
    </row>
    <row r="100" spans="8:8">
      <c r="A100" s="3" t="s">
        <v>115</v>
      </c>
      <c r="B100" s="164" t="s">
        <v>65</v>
      </c>
      <c r="C100" s="43">
        <v>5403670.34</v>
      </c>
    </row>
    <row r="101" spans="8:8">
      <c r="A101" s="3" t="s">
        <v>116</v>
      </c>
      <c r="B101" s="164" t="s">
        <v>65</v>
      </c>
      <c r="C101" s="43">
        <v>5720228.03</v>
      </c>
    </row>
    <row r="102" spans="8:8">
      <c r="A102" s="3" t="s">
        <v>117</v>
      </c>
      <c r="B102" s="164" t="s">
        <v>65</v>
      </c>
      <c r="C102" s="43">
        <v>5403670.34</v>
      </c>
    </row>
    <row r="103" spans="8:8">
      <c r="A103" s="3" t="s">
        <v>118</v>
      </c>
      <c r="B103" s="164" t="s">
        <v>65</v>
      </c>
      <c r="C103" s="43">
        <v>5224287.64</v>
      </c>
    </row>
    <row r="104" spans="8:8">
      <c r="A104" s="3" t="s">
        <v>119</v>
      </c>
      <c r="B104" s="164" t="s">
        <v>65</v>
      </c>
      <c r="C104" s="43">
        <v>5403670.34</v>
      </c>
    </row>
    <row r="105" spans="8:8">
      <c r="A105" s="3" t="s">
        <v>120</v>
      </c>
      <c r="B105" s="164" t="s">
        <v>65</v>
      </c>
      <c r="C105" s="43">
        <v>8020547.28</v>
      </c>
    </row>
    <row r="106" spans="8:8">
      <c r="A106" s="3" t="s">
        <v>121</v>
      </c>
      <c r="B106" s="164" t="s">
        <v>65</v>
      </c>
      <c r="C106" s="43">
        <v>8379312.66</v>
      </c>
    </row>
    <row r="107" spans="8:8">
      <c r="A107" s="3" t="s">
        <v>122</v>
      </c>
      <c r="B107" s="164" t="s">
        <v>65</v>
      </c>
      <c r="C107" s="43">
        <v>5224287.64</v>
      </c>
    </row>
    <row r="108" spans="8:8">
      <c r="A108" s="3" t="s">
        <v>123</v>
      </c>
      <c r="B108" s="164" t="s">
        <v>65</v>
      </c>
      <c r="C108" s="43">
        <v>5403670.34</v>
      </c>
    </row>
    <row r="109" spans="8:8">
      <c r="A109" s="3" t="s">
        <v>124</v>
      </c>
      <c r="B109" s="164" t="s">
        <v>65</v>
      </c>
      <c r="C109" s="43">
        <v>5720228.03</v>
      </c>
    </row>
    <row r="110" spans="8:8">
      <c r="A110" s="3" t="s">
        <v>125</v>
      </c>
      <c r="B110" s="164" t="s">
        <v>65</v>
      </c>
      <c r="C110" s="43">
        <v>6057889.57</v>
      </c>
    </row>
    <row r="111" spans="8:8">
      <c r="A111" s="3" t="s">
        <v>126</v>
      </c>
      <c r="B111" s="164" t="s">
        <v>65</v>
      </c>
      <c r="C111" s="43">
        <v>6543278.04</v>
      </c>
    </row>
    <row r="112" spans="8:8">
      <c r="A112" s="3" t="s">
        <v>127</v>
      </c>
      <c r="B112" s="164" t="s">
        <v>65</v>
      </c>
      <c r="C112" s="43">
        <v>8020547.28</v>
      </c>
    </row>
    <row r="113" spans="8:8">
      <c r="A113" s="3" t="s">
        <v>128</v>
      </c>
      <c r="B113" s="164" t="s">
        <v>65</v>
      </c>
      <c r="C113" s="43">
        <v>8379312.66</v>
      </c>
    </row>
    <row r="114" spans="8:8">
      <c r="A114" s="3" t="s">
        <v>129</v>
      </c>
      <c r="B114" s="164" t="s">
        <v>65</v>
      </c>
      <c r="C114" s="43">
        <v>9012428.05</v>
      </c>
    </row>
    <row r="115" spans="8:8">
      <c r="A115" s="3" t="s">
        <v>130</v>
      </c>
      <c r="B115" s="164" t="s">
        <v>65</v>
      </c>
      <c r="C115" s="43">
        <v>9687751.13</v>
      </c>
    </row>
    <row r="116" spans="8:8">
      <c r="A116" s="3" t="s">
        <v>131</v>
      </c>
      <c r="B116" s="164" t="s">
        <v>65</v>
      </c>
      <c r="C116" s="43">
        <v>1.065852806E7</v>
      </c>
    </row>
    <row r="117" spans="8:8">
      <c r="A117" s="3" t="s">
        <v>132</v>
      </c>
      <c r="B117" s="164" t="s">
        <v>65</v>
      </c>
      <c r="C117" s="43">
        <v>5224287.64</v>
      </c>
    </row>
    <row r="118" spans="8:8">
      <c r="A118" s="3" t="s">
        <v>133</v>
      </c>
      <c r="B118" s="164" t="s">
        <v>65</v>
      </c>
      <c r="C118" s="43">
        <v>5403670.34</v>
      </c>
    </row>
    <row r="119" spans="8:8">
      <c r="A119" s="3" t="s">
        <v>134</v>
      </c>
      <c r="B119" s="164" t="s">
        <v>65</v>
      </c>
      <c r="C119" s="43">
        <v>5720228.03</v>
      </c>
    </row>
    <row r="120" spans="8:8">
      <c r="A120" s="3" t="s">
        <v>135</v>
      </c>
      <c r="B120" s="164" t="s">
        <v>65</v>
      </c>
      <c r="C120" s="43">
        <v>5224287.64</v>
      </c>
    </row>
    <row r="121" spans="8:8">
      <c r="A121" s="3" t="s">
        <v>136</v>
      </c>
      <c r="B121" s="164" t="s">
        <v>65</v>
      </c>
      <c r="C121" s="43">
        <v>5403670.34</v>
      </c>
    </row>
    <row r="122" spans="8:8">
      <c r="A122" s="3" t="s">
        <v>137</v>
      </c>
      <c r="B122" s="164" t="s">
        <v>65</v>
      </c>
      <c r="C122" s="43">
        <v>8020547.28</v>
      </c>
    </row>
    <row r="123" spans="8:8">
      <c r="A123" s="3" t="s">
        <v>138</v>
      </c>
      <c r="B123" s="164" t="s">
        <v>65</v>
      </c>
      <c r="C123" s="43">
        <v>8379312.66</v>
      </c>
    </row>
    <row r="124" spans="8:8">
      <c r="A124" s="3" t="s">
        <v>139</v>
      </c>
      <c r="B124" s="164" t="s">
        <v>65</v>
      </c>
      <c r="C124" s="43">
        <v>5224287.64</v>
      </c>
    </row>
    <row r="125" spans="8:8">
      <c r="A125" s="3" t="s">
        <v>140</v>
      </c>
      <c r="B125" s="164" t="s">
        <v>65</v>
      </c>
      <c r="C125" s="43">
        <v>5403670.34</v>
      </c>
    </row>
    <row r="126" spans="8:8">
      <c r="A126" s="3" t="s">
        <v>141</v>
      </c>
      <c r="B126" s="164" t="s">
        <v>65</v>
      </c>
      <c r="C126" s="43">
        <v>5720228.03</v>
      </c>
    </row>
    <row r="127" spans="8:8">
      <c r="A127" s="3" t="s">
        <v>142</v>
      </c>
      <c r="B127" s="164" t="s">
        <v>65</v>
      </c>
      <c r="C127" s="43">
        <v>8020547.28</v>
      </c>
    </row>
    <row r="128" spans="8:8">
      <c r="A128" s="3" t="s">
        <v>143</v>
      </c>
      <c r="B128" s="164" t="s">
        <v>65</v>
      </c>
      <c r="C128" s="43">
        <v>8379312.66</v>
      </c>
    </row>
    <row r="129" spans="8:8">
      <c r="A129" s="3" t="s">
        <v>144</v>
      </c>
      <c r="B129" s="164" t="s">
        <v>65</v>
      </c>
      <c r="C129" s="43">
        <v>9012428.05</v>
      </c>
    </row>
    <row r="130" spans="8:8">
      <c r="A130" s="3" t="s">
        <v>145</v>
      </c>
      <c r="B130" s="164" t="s">
        <v>65</v>
      </c>
      <c r="C130" s="43">
        <v>5224287.64</v>
      </c>
    </row>
    <row r="131" spans="8:8">
      <c r="A131" s="3" t="s">
        <v>146</v>
      </c>
      <c r="B131" s="164" t="s">
        <v>65</v>
      </c>
      <c r="C131" s="43">
        <v>5403670.34</v>
      </c>
    </row>
    <row r="132" spans="8:8">
      <c r="A132" s="3" t="s">
        <v>147</v>
      </c>
      <c r="B132" s="164" t="s">
        <v>65</v>
      </c>
      <c r="C132" s="43">
        <v>5720228.03</v>
      </c>
    </row>
    <row r="133" spans="8:8">
      <c r="A133" s="3" t="s">
        <v>148</v>
      </c>
      <c r="B133" s="164" t="s">
        <v>65</v>
      </c>
      <c r="C133" s="43">
        <v>5403670.34</v>
      </c>
    </row>
    <row r="134" spans="8:8">
      <c r="A134" s="3" t="s">
        <v>149</v>
      </c>
      <c r="B134" s="164" t="s">
        <v>65</v>
      </c>
      <c r="C134" s="43">
        <v>5720228.03</v>
      </c>
    </row>
    <row r="135" spans="8:8">
      <c r="A135" s="3" t="s">
        <v>150</v>
      </c>
      <c r="B135" s="164" t="s">
        <v>65</v>
      </c>
      <c r="C135" s="43">
        <v>6849283.81</v>
      </c>
    </row>
    <row r="136" spans="8:8">
      <c r="A136" s="3" t="s">
        <v>151</v>
      </c>
      <c r="B136" s="164" t="s">
        <v>65</v>
      </c>
      <c r="C136" s="43">
        <v>8379312.66</v>
      </c>
    </row>
    <row r="137" spans="8:8">
      <c r="A137" s="3" t="s">
        <v>152</v>
      </c>
      <c r="B137" s="164" t="s">
        <v>65</v>
      </c>
      <c r="C137" s="43">
        <v>9012428.05</v>
      </c>
    </row>
    <row r="138" spans="8:8">
      <c r="A138" s="3" t="s">
        <v>153</v>
      </c>
      <c r="B138" s="164" t="s">
        <v>65</v>
      </c>
      <c r="C138" s="43">
        <v>1.615452809E7</v>
      </c>
    </row>
    <row r="139" spans="8:8">
      <c r="A139" s="3" t="s">
        <v>154</v>
      </c>
      <c r="B139" s="164" t="s">
        <v>65</v>
      </c>
      <c r="C139" s="43">
        <v>5066008.8</v>
      </c>
    </row>
    <row r="140" spans="8:8">
      <c r="A140" s="3" t="s">
        <v>155</v>
      </c>
      <c r="B140" s="164" t="s">
        <v>65</v>
      </c>
      <c r="C140" s="43">
        <v>5224287.64</v>
      </c>
    </row>
    <row r="141" spans="8:8">
      <c r="A141" s="3" t="s">
        <v>156</v>
      </c>
      <c r="B141" s="164" t="s">
        <v>65</v>
      </c>
      <c r="C141" s="43">
        <v>5403670.34</v>
      </c>
    </row>
    <row r="142" spans="8:8">
      <c r="A142" s="3" t="s">
        <v>157</v>
      </c>
      <c r="B142" s="164" t="s">
        <v>65</v>
      </c>
      <c r="C142" s="43">
        <v>5224287.64</v>
      </c>
    </row>
    <row r="143" spans="8:8">
      <c r="A143" s="3" t="s">
        <v>158</v>
      </c>
      <c r="B143" s="164" t="s">
        <v>65</v>
      </c>
      <c r="C143" s="43">
        <v>5403670.34</v>
      </c>
    </row>
    <row r="144" spans="8:8">
      <c r="A144" s="3" t="s">
        <v>159</v>
      </c>
      <c r="B144" s="164" t="s">
        <v>65</v>
      </c>
      <c r="C144" s="43">
        <v>5720228.03</v>
      </c>
    </row>
    <row r="145" spans="8:8">
      <c r="A145" s="3" t="s">
        <v>160</v>
      </c>
      <c r="B145" s="164" t="s">
        <v>65</v>
      </c>
      <c r="C145" s="43">
        <v>5403670.34</v>
      </c>
    </row>
    <row r="146" spans="8:8">
      <c r="A146" s="15" t="s">
        <v>161</v>
      </c>
      <c r="B146" s="171" t="s">
        <v>65</v>
      </c>
      <c r="C146" s="43">
        <v>5720228.03</v>
      </c>
    </row>
    <row r="147" spans="8:8">
      <c r="A147" s="15" t="s">
        <v>162</v>
      </c>
      <c r="B147" s="171" t="s">
        <v>65</v>
      </c>
      <c r="C147" s="43">
        <v>8379312.66</v>
      </c>
    </row>
    <row r="148" spans="8:8">
      <c r="A148" s="15" t="s">
        <v>163</v>
      </c>
      <c r="B148" s="171" t="s">
        <v>65</v>
      </c>
      <c r="C148" s="43">
        <v>9012428.05</v>
      </c>
    </row>
    <row r="149" spans="8:8">
      <c r="A149" s="3" t="s">
        <v>164</v>
      </c>
      <c r="B149" s="164" t="s">
        <v>65</v>
      </c>
      <c r="C149" s="43">
        <v>5002697.26</v>
      </c>
    </row>
    <row r="150" spans="8:8">
      <c r="A150" s="3" t="s">
        <v>165</v>
      </c>
      <c r="B150" s="164" t="s">
        <v>65</v>
      </c>
      <c r="C150" s="43">
        <v>5319254.95</v>
      </c>
    </row>
    <row r="151" spans="8:8">
      <c r="A151" s="3" t="s">
        <v>166</v>
      </c>
      <c r="B151" s="164" t="s">
        <v>65</v>
      </c>
      <c r="C151" s="43">
        <v>5224287.64</v>
      </c>
    </row>
    <row r="152" spans="8:8">
      <c r="A152" s="3" t="s">
        <v>167</v>
      </c>
      <c r="B152" s="164" t="s">
        <v>65</v>
      </c>
      <c r="C152" s="43">
        <v>5403670.34</v>
      </c>
    </row>
    <row r="153" spans="8:8">
      <c r="A153" s="3" t="s">
        <v>168</v>
      </c>
      <c r="B153" s="164" t="s">
        <v>65</v>
      </c>
      <c r="C153" s="43">
        <v>8020547.28</v>
      </c>
    </row>
    <row r="154" spans="8:8">
      <c r="A154" s="3" t="s">
        <v>169</v>
      </c>
      <c r="B154" s="164" t="s">
        <v>65</v>
      </c>
      <c r="C154" s="43">
        <v>8379312.66</v>
      </c>
    </row>
    <row r="155" spans="8:8">
      <c r="A155" s="3" t="s">
        <v>170</v>
      </c>
      <c r="B155" s="164" t="s">
        <v>65</v>
      </c>
      <c r="C155" s="43">
        <v>5224287.64</v>
      </c>
    </row>
    <row r="156" spans="8:8">
      <c r="A156" s="3" t="s">
        <v>171</v>
      </c>
      <c r="B156" s="164" t="s">
        <v>65</v>
      </c>
      <c r="C156" s="43">
        <v>5403670.34</v>
      </c>
    </row>
    <row r="157" spans="8:8">
      <c r="A157" s="3" t="s">
        <v>172</v>
      </c>
      <c r="B157" s="164" t="s">
        <v>65</v>
      </c>
      <c r="C157" s="43">
        <v>5720228.03</v>
      </c>
    </row>
    <row r="158" spans="8:8">
      <c r="A158" s="3" t="s">
        <v>173</v>
      </c>
      <c r="B158" s="164" t="s">
        <v>65</v>
      </c>
      <c r="C158" s="43">
        <v>8020547.28</v>
      </c>
    </row>
    <row r="159" spans="8:8">
      <c r="A159" s="3" t="s">
        <v>174</v>
      </c>
      <c r="B159" s="164" t="s">
        <v>65</v>
      </c>
      <c r="C159" s="43">
        <v>8379312.66</v>
      </c>
    </row>
    <row r="160" spans="8:8">
      <c r="A160" s="3" t="s">
        <v>175</v>
      </c>
      <c r="B160" s="164" t="s">
        <v>65</v>
      </c>
      <c r="C160" s="43">
        <v>9012428.05</v>
      </c>
    </row>
    <row r="161" spans="8:8">
      <c r="A161" s="3" t="s">
        <v>176</v>
      </c>
      <c r="B161" s="164" t="s">
        <v>65</v>
      </c>
      <c r="C161" s="43">
        <v>5034353.03</v>
      </c>
    </row>
    <row r="162" spans="8:8">
      <c r="A162" s="3" t="s">
        <v>177</v>
      </c>
      <c r="B162" s="164" t="s">
        <v>65</v>
      </c>
      <c r="C162" s="43">
        <v>5720228.03</v>
      </c>
    </row>
    <row r="163" spans="8:8">
      <c r="A163" s="3" t="s">
        <v>178</v>
      </c>
      <c r="B163" s="164" t="s">
        <v>65</v>
      </c>
      <c r="C163" s="43">
        <v>6.783511177E7</v>
      </c>
    </row>
    <row r="164" spans="8:8">
      <c r="A164" s="3" t="s">
        <v>179</v>
      </c>
      <c r="B164" s="164" t="s">
        <v>65</v>
      </c>
      <c r="C164" s="43">
        <v>8769733.82</v>
      </c>
    </row>
    <row r="165" spans="8:8">
      <c r="A165" s="3" t="s">
        <v>180</v>
      </c>
      <c r="B165" s="164" t="s">
        <v>65</v>
      </c>
      <c r="C165" s="43">
        <v>5403670.34</v>
      </c>
    </row>
    <row r="166" spans="8:8">
      <c r="A166" s="3" t="s">
        <v>181</v>
      </c>
      <c r="B166" s="164" t="s">
        <v>65</v>
      </c>
      <c r="C166" s="43">
        <v>8379312.66</v>
      </c>
    </row>
    <row r="167" spans="8:8">
      <c r="A167" s="3" t="s">
        <v>182</v>
      </c>
      <c r="B167" s="164" t="s">
        <v>65</v>
      </c>
      <c r="C167" s="43">
        <v>5224287.64</v>
      </c>
    </row>
    <row r="168" spans="8:8">
      <c r="A168" s="3" t="s">
        <v>183</v>
      </c>
      <c r="B168" s="164" t="s">
        <v>65</v>
      </c>
      <c r="C168" s="43">
        <v>5403670.34</v>
      </c>
    </row>
    <row r="169" spans="8:8">
      <c r="A169" s="3" t="s">
        <v>184</v>
      </c>
      <c r="B169" s="164" t="s">
        <v>65</v>
      </c>
      <c r="C169" s="43">
        <v>5720228.03</v>
      </c>
    </row>
    <row r="170" spans="8:8">
      <c r="A170" s="3" t="s">
        <v>185</v>
      </c>
      <c r="B170" s="164" t="s">
        <v>65</v>
      </c>
      <c r="C170" s="43">
        <v>8020547.28</v>
      </c>
    </row>
    <row r="171" spans="8:8">
      <c r="A171" s="3" t="s">
        <v>186</v>
      </c>
      <c r="B171" s="164" t="s">
        <v>65</v>
      </c>
      <c r="C171" s="43">
        <v>8379312.66</v>
      </c>
    </row>
    <row r="172" spans="8:8">
      <c r="A172" s="3" t="s">
        <v>187</v>
      </c>
      <c r="B172" s="164" t="s">
        <v>65</v>
      </c>
      <c r="C172" s="43">
        <v>9012428.05</v>
      </c>
    </row>
    <row r="173" spans="8:8">
      <c r="A173" s="15" t="s">
        <v>188</v>
      </c>
      <c r="B173" s="171" t="s">
        <v>65</v>
      </c>
      <c r="C173" s="43">
        <v>5224287.64</v>
      </c>
    </row>
    <row r="174" spans="8:8">
      <c r="A174" s="3" t="s">
        <v>189</v>
      </c>
      <c r="B174" s="164" t="s">
        <v>65</v>
      </c>
      <c r="C174" s="43">
        <v>5403670.34</v>
      </c>
    </row>
    <row r="175" spans="8:8">
      <c r="A175" s="3" t="s">
        <v>190</v>
      </c>
      <c r="B175" s="171" t="s">
        <v>65</v>
      </c>
      <c r="C175" s="43">
        <v>5224287.64</v>
      </c>
    </row>
    <row r="176" spans="8:8" s="49" ht="15.0" customFormat="1">
      <c r="A176" s="3" t="s">
        <v>191</v>
      </c>
      <c r="B176" s="164" t="s">
        <v>65</v>
      </c>
      <c r="C176" s="241">
        <v>5403670.34</v>
      </c>
    </row>
    <row r="177" spans="8:8">
      <c r="A177" s="3" t="s">
        <v>192</v>
      </c>
      <c r="B177" s="164" t="s">
        <v>65</v>
      </c>
      <c r="C177" s="43">
        <v>2720228.03</v>
      </c>
    </row>
    <row r="178" spans="8:8">
      <c r="A178" s="3" t="s">
        <v>193</v>
      </c>
      <c r="B178" s="164" t="s">
        <v>65</v>
      </c>
      <c r="C178" s="43">
        <v>5224287.64</v>
      </c>
    </row>
    <row r="179" spans="8:8" ht="15.75">
      <c r="A179" s="51" t="s">
        <v>194</v>
      </c>
      <c r="B179" s="317" t="s">
        <v>65</v>
      </c>
      <c r="C179" s="55">
        <v>5403670.34</v>
      </c>
    </row>
    <row r="180" spans="8:8">
      <c r="A180" s="10" t="s">
        <v>197</v>
      </c>
      <c r="B180" s="166" t="s">
        <v>196</v>
      </c>
      <c r="C180" s="46">
        <v>7873868.03</v>
      </c>
    </row>
    <row r="181" spans="8:8">
      <c r="A181" s="3" t="s">
        <v>198</v>
      </c>
      <c r="B181" s="164" t="s">
        <v>196</v>
      </c>
      <c r="C181" s="43">
        <v>6.992922555E7</v>
      </c>
    </row>
    <row r="182" spans="8:8">
      <c r="A182" s="10" t="s">
        <v>199</v>
      </c>
      <c r="B182" s="166" t="s">
        <v>196</v>
      </c>
      <c r="C182" s="46">
        <v>2.070396573E7</v>
      </c>
      <c r="G182" s="233"/>
      <c r="H182" s="238"/>
    </row>
    <row r="183" spans="8:8">
      <c r="A183" s="3" t="s">
        <v>201</v>
      </c>
      <c r="B183" s="164" t="s">
        <v>196</v>
      </c>
      <c r="C183" s="46">
        <v>2.070396573E7</v>
      </c>
    </row>
    <row r="184" spans="8:8">
      <c r="A184" s="3" t="s">
        <v>202</v>
      </c>
      <c r="B184" s="171" t="s">
        <v>196</v>
      </c>
      <c r="C184" s="46">
        <v>2.070396573E7</v>
      </c>
    </row>
    <row r="185" spans="8:8">
      <c r="A185" s="3" t="s">
        <v>203</v>
      </c>
      <c r="B185" s="164" t="s">
        <v>196</v>
      </c>
      <c r="C185" s="46">
        <v>2.070396573E7</v>
      </c>
    </row>
    <row r="186" spans="8:8">
      <c r="A186" s="3" t="s">
        <v>204</v>
      </c>
      <c r="B186" s="164" t="s">
        <v>196</v>
      </c>
      <c r="C186" s="46">
        <v>2.070396573E7</v>
      </c>
      <c r="J186" s="233"/>
      <c r="K186" s="76"/>
    </row>
    <row r="187" spans="8:8">
      <c r="A187" s="3" t="s">
        <v>206</v>
      </c>
      <c r="B187" s="164" t="s">
        <v>196</v>
      </c>
      <c r="C187" s="46">
        <v>2.070396573E7</v>
      </c>
    </row>
    <row r="188" spans="8:8">
      <c r="A188" s="3" t="s">
        <v>207</v>
      </c>
      <c r="B188" s="164" t="s">
        <v>196</v>
      </c>
      <c r="C188" s="46">
        <v>2.070396573E7</v>
      </c>
      <c r="H188" s="233"/>
      <c r="I188" s="76"/>
    </row>
    <row r="189" spans="8:8">
      <c r="A189" s="3" t="s">
        <v>208</v>
      </c>
      <c r="B189" s="164" t="s">
        <v>196</v>
      </c>
      <c r="C189" s="46">
        <v>2.070396573E7</v>
      </c>
    </row>
    <row r="190" spans="8:8">
      <c r="A190" s="3" t="s">
        <v>209</v>
      </c>
      <c r="B190" s="164" t="s">
        <v>196</v>
      </c>
      <c r="C190" s="46">
        <v>2.070396573E7</v>
      </c>
    </row>
    <row r="191" spans="8:8">
      <c r="A191" s="3" t="s">
        <v>210</v>
      </c>
      <c r="B191" s="164" t="s">
        <v>196</v>
      </c>
      <c r="C191" s="46">
        <v>2.070396573E7</v>
      </c>
    </row>
    <row r="192" spans="8:8">
      <c r="A192" s="3" t="s">
        <v>211</v>
      </c>
      <c r="B192" s="164" t="s">
        <v>196</v>
      </c>
      <c r="C192" s="46">
        <v>2.070396573E7</v>
      </c>
    </row>
    <row r="193" spans="8:8">
      <c r="A193" s="3" t="s">
        <v>212</v>
      </c>
      <c r="B193" s="164" t="s">
        <v>196</v>
      </c>
      <c r="C193" s="46">
        <v>2.070396573E7</v>
      </c>
    </row>
    <row r="194" spans="8:8">
      <c r="A194" s="3" t="s">
        <v>214</v>
      </c>
      <c r="B194" s="164" t="s">
        <v>196</v>
      </c>
      <c r="C194" s="46">
        <v>2.070396573E7</v>
      </c>
    </row>
    <row r="195" spans="8:8">
      <c r="A195" s="3" t="s">
        <v>215</v>
      </c>
      <c r="B195" s="164" t="s">
        <v>196</v>
      </c>
      <c r="C195" s="46">
        <v>2.070396573E7</v>
      </c>
    </row>
    <row r="196" spans="8:8">
      <c r="A196" s="3" t="s">
        <v>216</v>
      </c>
      <c r="B196" s="164" t="s">
        <v>196</v>
      </c>
      <c r="C196" s="46">
        <v>2.070396573E7</v>
      </c>
    </row>
    <row r="197" spans="8:8">
      <c r="A197" s="3" t="s">
        <v>217</v>
      </c>
      <c r="B197" s="164" t="s">
        <v>196</v>
      </c>
      <c r="C197" s="46">
        <v>2.070396573E7</v>
      </c>
    </row>
    <row r="198" spans="8:8">
      <c r="A198" s="3" t="s">
        <v>218</v>
      </c>
      <c r="B198" s="164" t="s">
        <v>196</v>
      </c>
      <c r="C198" s="46">
        <v>2.070396573E7</v>
      </c>
    </row>
    <row r="199" spans="8:8">
      <c r="A199" s="3" t="s">
        <v>219</v>
      </c>
      <c r="B199" s="164" t="s">
        <v>196</v>
      </c>
      <c r="C199" s="46">
        <v>2.070396573E7</v>
      </c>
    </row>
    <row r="200" spans="8:8">
      <c r="A200" s="3" t="s">
        <v>220</v>
      </c>
      <c r="B200" s="164" t="s">
        <v>196</v>
      </c>
      <c r="C200" s="46">
        <v>2.070396573E7</v>
      </c>
    </row>
    <row r="201" spans="8:8">
      <c r="A201" s="15" t="s">
        <v>221</v>
      </c>
      <c r="B201" s="164" t="s">
        <v>196</v>
      </c>
      <c r="C201" s="46">
        <v>2.070396573E7</v>
      </c>
    </row>
    <row r="202" spans="8:8">
      <c r="A202" s="3" t="s">
        <v>222</v>
      </c>
      <c r="B202" s="164" t="s">
        <v>196</v>
      </c>
      <c r="C202" s="43">
        <v>4.046190345E7</v>
      </c>
    </row>
    <row r="203" spans="8:8">
      <c r="A203" s="3" t="s">
        <v>223</v>
      </c>
      <c r="B203" s="164" t="s">
        <v>196</v>
      </c>
      <c r="C203" s="46">
        <v>2.070396573E7</v>
      </c>
    </row>
    <row r="204" spans="8:8">
      <c r="A204" s="3" t="s">
        <v>224</v>
      </c>
      <c r="B204" s="164" t="s">
        <v>196</v>
      </c>
      <c r="C204" s="46">
        <v>2.070396573E7</v>
      </c>
    </row>
    <row r="205" spans="8:8">
      <c r="A205" s="3" t="s">
        <v>225</v>
      </c>
      <c r="B205" s="164" t="s">
        <v>196</v>
      </c>
      <c r="C205" s="46">
        <v>2.070396573E7</v>
      </c>
    </row>
    <row r="206" spans="8:8">
      <c r="A206" s="3" t="s">
        <v>226</v>
      </c>
      <c r="B206" s="164" t="s">
        <v>196</v>
      </c>
      <c r="C206" s="43">
        <v>2.691309057E7</v>
      </c>
    </row>
    <row r="207" spans="8:8">
      <c r="A207" s="3" t="s">
        <v>228</v>
      </c>
      <c r="B207" s="164" t="s">
        <v>196</v>
      </c>
      <c r="C207" s="46">
        <v>2.070396573E7</v>
      </c>
    </row>
    <row r="208" spans="8:8">
      <c r="A208" s="3" t="s">
        <v>229</v>
      </c>
      <c r="B208" s="164" t="s">
        <v>196</v>
      </c>
      <c r="C208" s="46">
        <v>2.070396573E7</v>
      </c>
    </row>
    <row r="209" spans="8:8">
      <c r="A209" s="3" t="s">
        <v>230</v>
      </c>
      <c r="B209" s="164" t="s">
        <v>196</v>
      </c>
      <c r="C209" s="46">
        <v>2.070396573E7</v>
      </c>
    </row>
    <row r="210" spans="8:8">
      <c r="A210" s="3" t="s">
        <v>231</v>
      </c>
      <c r="B210" s="164" t="s">
        <v>196</v>
      </c>
      <c r="C210" s="46">
        <v>2.070396573E7</v>
      </c>
    </row>
    <row r="211" spans="8:8">
      <c r="A211" s="3" t="s">
        <v>232</v>
      </c>
      <c r="B211" s="164" t="s">
        <v>196</v>
      </c>
      <c r="C211" s="46">
        <v>2.070396573E7</v>
      </c>
    </row>
    <row r="212" spans="8:8">
      <c r="A212" s="3" t="s">
        <v>233</v>
      </c>
      <c r="B212" s="164" t="s">
        <v>196</v>
      </c>
      <c r="C212" s="46">
        <v>2.070396573E7</v>
      </c>
    </row>
    <row r="213" spans="8:8">
      <c r="A213" s="3" t="s">
        <v>234</v>
      </c>
      <c r="B213" s="164" t="s">
        <v>196</v>
      </c>
      <c r="C213" s="46">
        <v>2.070396573E7</v>
      </c>
    </row>
    <row r="214" spans="8:8">
      <c r="A214" s="3" t="s">
        <v>235</v>
      </c>
      <c r="B214" s="164" t="s">
        <v>196</v>
      </c>
      <c r="C214" s="46">
        <v>2.070396573E7</v>
      </c>
    </row>
    <row r="215" spans="8:8">
      <c r="A215" s="3" t="s">
        <v>236</v>
      </c>
      <c r="B215" s="164" t="s">
        <v>196</v>
      </c>
      <c r="C215" s="46">
        <v>2.070396573E7</v>
      </c>
    </row>
    <row r="216" spans="8:8">
      <c r="A216" s="3" t="s">
        <v>237</v>
      </c>
      <c r="B216" s="164" t="s">
        <v>196</v>
      </c>
      <c r="C216" s="46">
        <v>2.070396573E7</v>
      </c>
    </row>
    <row r="217" spans="8:8">
      <c r="A217" s="3" t="s">
        <v>238</v>
      </c>
      <c r="B217" s="164" t="s">
        <v>196</v>
      </c>
      <c r="C217" s="46">
        <v>2.070396573E7</v>
      </c>
    </row>
    <row r="218" spans="8:8">
      <c r="A218" s="3" t="s">
        <v>239</v>
      </c>
      <c r="B218" s="164" t="s">
        <v>196</v>
      </c>
      <c r="C218" s="46">
        <v>2.070396573E7</v>
      </c>
    </row>
    <row r="219" spans="8:8">
      <c r="A219" s="3" t="s">
        <v>240</v>
      </c>
      <c r="B219" s="164" t="s">
        <v>196</v>
      </c>
      <c r="C219" s="46">
        <v>2.070396573E7</v>
      </c>
    </row>
    <row r="220" spans="8:8">
      <c r="A220" s="3" t="s">
        <v>241</v>
      </c>
      <c r="B220" s="171" t="s">
        <v>196</v>
      </c>
      <c r="C220" s="46">
        <v>2.070396573E7</v>
      </c>
    </row>
    <row r="221" spans="8:8">
      <c r="A221" s="3" t="s">
        <v>242</v>
      </c>
      <c r="B221" s="164" t="s">
        <v>196</v>
      </c>
      <c r="C221" s="46">
        <v>2.070396573E7</v>
      </c>
    </row>
    <row r="222" spans="8:8">
      <c r="A222" s="3" t="s">
        <v>243</v>
      </c>
      <c r="B222" s="164" t="s">
        <v>196</v>
      </c>
      <c r="C222" s="46">
        <v>2.070396573E7</v>
      </c>
      <c r="D222" s="49"/>
    </row>
    <row r="223" spans="8:8" s="49" ht="15.0" customFormat="1">
      <c r="A223" s="3" t="s">
        <v>244</v>
      </c>
      <c r="B223" s="164" t="s">
        <v>196</v>
      </c>
      <c r="C223" s="46">
        <v>2.070396573E7</v>
      </c>
      <c r="D223" s="39"/>
    </row>
    <row r="224" spans="8:8">
      <c r="A224" s="3" t="s">
        <v>246</v>
      </c>
      <c r="B224" s="164" t="s">
        <v>196</v>
      </c>
      <c r="C224" s="46">
        <v>2.070396573E7</v>
      </c>
    </row>
    <row r="225" spans="8:8">
      <c r="A225" s="3" t="s">
        <v>247</v>
      </c>
      <c r="B225" s="164" t="s">
        <v>196</v>
      </c>
      <c r="C225" s="46">
        <v>2.070396573E7</v>
      </c>
    </row>
    <row r="226" spans="8:8">
      <c r="A226" s="3" t="s">
        <v>248</v>
      </c>
      <c r="B226" s="164" t="s">
        <v>196</v>
      </c>
      <c r="C226" s="46">
        <v>2.070396573E7</v>
      </c>
    </row>
    <row r="227" spans="8:8">
      <c r="A227" s="3" t="s">
        <v>249</v>
      </c>
      <c r="B227" s="164" t="s">
        <v>196</v>
      </c>
      <c r="C227" s="46">
        <v>2.070396573E7</v>
      </c>
    </row>
    <row r="228" spans="8:8">
      <c r="A228" s="3" t="s">
        <v>250</v>
      </c>
      <c r="B228" s="164" t="s">
        <v>196</v>
      </c>
      <c r="C228" s="46">
        <v>2.070396573E7</v>
      </c>
    </row>
    <row r="229" spans="8:8">
      <c r="A229" s="3" t="s">
        <v>251</v>
      </c>
      <c r="B229" s="164" t="s">
        <v>196</v>
      </c>
      <c r="C229" s="46">
        <v>2.070396573E7</v>
      </c>
    </row>
    <row r="230" spans="8:8">
      <c r="A230" s="3" t="s">
        <v>252</v>
      </c>
      <c r="B230" s="164" t="s">
        <v>196</v>
      </c>
      <c r="C230" s="46">
        <v>2.070396573E7</v>
      </c>
    </row>
    <row r="231" spans="8:8">
      <c r="A231" s="3" t="s">
        <v>253</v>
      </c>
      <c r="B231" s="164" t="s">
        <v>196</v>
      </c>
      <c r="C231" s="46">
        <v>2.070396573E7</v>
      </c>
    </row>
    <row r="232" spans="8:8">
      <c r="A232" s="3" t="s">
        <v>254</v>
      </c>
      <c r="B232" s="164" t="s">
        <v>196</v>
      </c>
      <c r="C232" s="46">
        <v>2.070396573E7</v>
      </c>
    </row>
    <row r="233" spans="8:8">
      <c r="A233" s="3" t="s">
        <v>255</v>
      </c>
      <c r="B233" s="164" t="s">
        <v>196</v>
      </c>
      <c r="C233" s="46">
        <v>2.070396573E7</v>
      </c>
    </row>
    <row r="234" spans="8:8">
      <c r="A234" s="3" t="s">
        <v>256</v>
      </c>
      <c r="B234" s="164" t="s">
        <v>196</v>
      </c>
      <c r="C234" s="46">
        <v>2.070396573E7</v>
      </c>
    </row>
    <row r="235" spans="8:8">
      <c r="A235" s="3" t="s">
        <v>257</v>
      </c>
      <c r="B235" s="164" t="s">
        <v>196</v>
      </c>
      <c r="C235" s="46">
        <v>2.070396573E7</v>
      </c>
    </row>
    <row r="236" spans="8:8">
      <c r="A236" s="3" t="s">
        <v>258</v>
      </c>
      <c r="B236" s="164" t="s">
        <v>196</v>
      </c>
      <c r="C236" s="46">
        <v>2.070396573E7</v>
      </c>
    </row>
    <row r="237" spans="8:8">
      <c r="A237" s="3" t="s">
        <v>259</v>
      </c>
      <c r="B237" s="164" t="s">
        <v>196</v>
      </c>
      <c r="C237" s="46">
        <v>2.070396573E7</v>
      </c>
    </row>
    <row r="238" spans="8:8">
      <c r="A238" s="3" t="s">
        <v>260</v>
      </c>
      <c r="B238" s="164" t="s">
        <v>196</v>
      </c>
      <c r="C238" s="43">
        <v>3.477075602E7</v>
      </c>
    </row>
    <row r="239" spans="8:8">
      <c r="A239" s="3" t="s">
        <v>262</v>
      </c>
      <c r="B239" s="164" t="s">
        <v>196</v>
      </c>
      <c r="C239" s="43">
        <v>2.465555327E7</v>
      </c>
    </row>
    <row r="240" spans="8:8">
      <c r="A240" s="3" t="s">
        <v>265</v>
      </c>
      <c r="B240" s="164" t="s">
        <v>196</v>
      </c>
      <c r="C240" s="46">
        <v>2.070396573E7</v>
      </c>
    </row>
    <row r="241" spans="8:8">
      <c r="A241" s="3" t="s">
        <v>266</v>
      </c>
      <c r="B241" s="164" t="s">
        <v>196</v>
      </c>
      <c r="C241" s="46">
        <v>2.070396573E7</v>
      </c>
    </row>
    <row r="242" spans="8:8">
      <c r="A242" s="3" t="s">
        <v>267</v>
      </c>
      <c r="B242" s="164" t="s">
        <v>196</v>
      </c>
      <c r="C242" s="46">
        <v>2.070396573E7</v>
      </c>
    </row>
    <row r="243" spans="8:8">
      <c r="A243" s="3" t="s">
        <v>268</v>
      </c>
      <c r="B243" s="164" t="s">
        <v>196</v>
      </c>
      <c r="C243" s="46">
        <v>2.070396573E7</v>
      </c>
    </row>
    <row r="244" spans="8:8">
      <c r="A244" s="3" t="s">
        <v>269</v>
      </c>
      <c r="B244" s="164" t="s">
        <v>196</v>
      </c>
      <c r="C244" s="46">
        <v>2.070396573E7</v>
      </c>
    </row>
    <row r="245" spans="8:8">
      <c r="A245" s="3" t="s">
        <v>270</v>
      </c>
      <c r="B245" s="164" t="s">
        <v>196</v>
      </c>
      <c r="C245" s="46">
        <v>2.070396573E7</v>
      </c>
    </row>
    <row r="246" spans="8:8">
      <c r="A246" s="3" t="s">
        <v>271</v>
      </c>
      <c r="B246" s="164" t="s">
        <v>196</v>
      </c>
      <c r="C246" s="46">
        <v>2.070396573E7</v>
      </c>
    </row>
    <row r="247" spans="8:8">
      <c r="A247" s="3" t="s">
        <v>272</v>
      </c>
      <c r="B247" s="164" t="s">
        <v>196</v>
      </c>
      <c r="C247" s="46">
        <v>2.070396573E7</v>
      </c>
    </row>
    <row r="248" spans="8:8">
      <c r="A248" s="3" t="s">
        <v>273</v>
      </c>
      <c r="B248" s="164" t="s">
        <v>196</v>
      </c>
      <c r="C248" s="46">
        <v>2.070396573E7</v>
      </c>
    </row>
    <row r="249" spans="8:8">
      <c r="A249" s="3" t="s">
        <v>274</v>
      </c>
      <c r="B249" s="164" t="s">
        <v>196</v>
      </c>
      <c r="C249" s="46">
        <v>2.070396573E7</v>
      </c>
    </row>
    <row r="250" spans="8:8">
      <c r="A250" s="3" t="s">
        <v>275</v>
      </c>
      <c r="B250" s="164" t="s">
        <v>196</v>
      </c>
      <c r="C250" s="46">
        <v>2.070396573E7</v>
      </c>
    </row>
    <row r="251" spans="8:8">
      <c r="A251" s="29" t="s">
        <v>276</v>
      </c>
      <c r="B251" s="177" t="s">
        <v>196</v>
      </c>
      <c r="C251" s="46">
        <v>2.070396573E7</v>
      </c>
    </row>
    <row r="252" spans="8:8">
      <c r="A252" s="334" t="s">
        <v>407</v>
      </c>
      <c r="B252" s="164" t="s">
        <v>196</v>
      </c>
      <c r="C252" s="43">
        <v>4.046190345E7</v>
      </c>
    </row>
    <row r="253" spans="8:8">
      <c r="A253" s="334" t="s">
        <v>408</v>
      </c>
      <c r="B253" s="164" t="s">
        <v>196</v>
      </c>
      <c r="C253" s="43">
        <v>4.046190345E7</v>
      </c>
    </row>
    <row r="254" spans="8:8">
      <c r="A254" s="320" t="s">
        <v>277</v>
      </c>
      <c r="B254" s="166" t="s">
        <v>196</v>
      </c>
      <c r="C254" s="46">
        <v>2.070396573E7</v>
      </c>
    </row>
    <row r="255" spans="8:8" ht="15.75">
      <c r="A255" s="51" t="s">
        <v>280</v>
      </c>
      <c r="B255" s="317" t="s">
        <v>196</v>
      </c>
      <c r="C255" s="55">
        <v>3.477075599E7</v>
      </c>
    </row>
    <row r="256" spans="8:8">
      <c r="A256" s="336" t="s">
        <v>281</v>
      </c>
      <c r="B256" s="337" t="s">
        <v>282</v>
      </c>
      <c r="C256" s="225">
        <v>2.0E7</v>
      </c>
    </row>
    <row r="257" spans="8:8" ht="15.75">
      <c r="A257" s="339" t="s">
        <v>283</v>
      </c>
      <c r="B257" s="340" t="s">
        <v>282</v>
      </c>
      <c r="C257" s="342">
        <v>1.65E7</v>
      </c>
    </row>
    <row r="258" spans="8:8">
      <c r="A258" s="336" t="s">
        <v>284</v>
      </c>
      <c r="B258" s="343" t="s">
        <v>285</v>
      </c>
      <c r="C258" s="225">
        <v>124800.0</v>
      </c>
    </row>
    <row r="259" spans="8:8">
      <c r="A259" s="207" t="s">
        <v>286</v>
      </c>
      <c r="B259" s="345" t="s">
        <v>285</v>
      </c>
      <c r="C259" s="210">
        <v>188448.0</v>
      </c>
    </row>
    <row r="260" spans="8:8">
      <c r="A260" s="15" t="s">
        <v>4</v>
      </c>
      <c r="B260" s="171" t="s">
        <v>285</v>
      </c>
      <c r="C260" s="210">
        <v>378412.0</v>
      </c>
    </row>
    <row r="261" spans="8:8">
      <c r="A261" s="15" t="s">
        <v>406</v>
      </c>
      <c r="B261" s="171" t="s">
        <v>285</v>
      </c>
      <c r="C261" s="210">
        <v>1482000.0</v>
      </c>
    </row>
    <row r="262" spans="8:8">
      <c r="A262" s="207" t="s">
        <v>287</v>
      </c>
      <c r="B262" s="171" t="s">
        <v>285</v>
      </c>
      <c r="C262" s="210">
        <v>1135232.0</v>
      </c>
    </row>
    <row r="263" spans="8:8">
      <c r="A263" s="15" t="s">
        <v>319</v>
      </c>
      <c r="B263" s="171" t="s">
        <v>285</v>
      </c>
      <c r="C263" s="210">
        <v>686400.0</v>
      </c>
    </row>
    <row r="264" spans="8:8">
      <c r="A264" s="15" t="s">
        <v>5</v>
      </c>
      <c r="B264" s="171" t="s">
        <v>285</v>
      </c>
      <c r="C264" s="210">
        <v>567616.0</v>
      </c>
    </row>
    <row r="265" spans="8:8" ht="15.75">
      <c r="A265" s="65" t="s">
        <v>288</v>
      </c>
      <c r="B265" s="324" t="s">
        <v>285</v>
      </c>
      <c r="C265" s="342">
        <v>1892044.0</v>
      </c>
    </row>
    <row r="266" spans="8:8">
      <c r="A266" s="346" t="s">
        <v>291</v>
      </c>
      <c r="B266" s="347" t="s">
        <v>290</v>
      </c>
      <c r="C266" s="225">
        <v>1.698819792E7</v>
      </c>
    </row>
    <row r="267" spans="8:8">
      <c r="A267" s="39"/>
    </row>
    <row r="268" spans="8:8">
      <c r="A268" s="39"/>
    </row>
    <row r="269" spans="8:8">
      <c r="A269" s="39"/>
    </row>
    <row r="270" spans="8:8">
      <c r="A270" s="39"/>
    </row>
    <row r="272" spans="8:8">
      <c r="A272" s="38" t="s">
        <v>351</v>
      </c>
    </row>
    <row r="282" spans="8:8" s="49" ht="15.0" customFormat="1">
      <c r="A282" s="38"/>
      <c r="B282" s="39"/>
    </row>
    <row r="290" spans="8:8" s="49" ht="15.0" customFormat="1">
      <c r="A290" s="38"/>
      <c r="B290" s="39"/>
    </row>
    <row r="293" spans="8:8" s="49" ht="15.0" customFormat="1">
      <c r="A293" s="38"/>
      <c r="B293" s="39"/>
    </row>
    <row r="294" spans="8:8" s="49" ht="15.0" customFormat="1">
      <c r="A294" s="38"/>
      <c r="B294" s="39"/>
    </row>
  </sheetData>
  <pageMargins left="0.7" right="0.7" top="0.75" bottom="0.75" header="0.3" footer="0.3"/>
</worksheet>
</file>

<file path=xl/worksheets/sheet25.xml><?xml version="1.0" encoding="utf-8"?>
<worksheet xmlns:r="http://schemas.openxmlformats.org/officeDocument/2006/relationships" xmlns="http://schemas.openxmlformats.org/spreadsheetml/2006/main">
  <dimension ref="A1:R299"/>
  <sheetViews>
    <sheetView workbookViewId="0" topLeftCell="A222">
      <selection activeCell="A1" sqref="A1:I269"/>
    </sheetView>
  </sheetViews>
  <sheetFormatPr defaultRowHeight="15.0" defaultColWidth="10"/>
  <cols>
    <col min="1" max="1" customWidth="1" width="45.570312" style="38"/>
    <col min="2" max="2" customWidth="1" width="14.0" style="39"/>
    <col min="3" max="3" hidden="1" customWidth="1" width="13.5703125" style="40"/>
    <col min="4" max="5" hidden="1" customWidth="1" width="18.140625" style="163"/>
    <col min="6" max="6" hidden="1" customWidth="1" width="19.710938" style="163"/>
    <col min="7" max="7" hidden="1" customWidth="1" width="14.5703125" style="314"/>
    <col min="8" max="8" hidden="1" customWidth="1" width="8.7109375" style="244"/>
    <col min="9" max="9" customWidth="1" bestFit="1" width="14.5703125" style="39"/>
    <col min="10" max="10" customWidth="1" bestFit="1" width="12.5703125" style="39"/>
    <col min="11" max="16384" customWidth="0" width="11.425781" style="39"/>
  </cols>
  <sheetData>
    <row r="1" spans="8:8">
      <c r="A1" s="1" t="s">
        <v>0</v>
      </c>
      <c r="B1" s="1" t="s">
        <v>1</v>
      </c>
      <c r="C1" s="2" t="s">
        <v>416</v>
      </c>
      <c r="D1" s="2" t="s">
        <v>3</v>
      </c>
      <c r="E1" s="80" t="s">
        <v>4</v>
      </c>
      <c r="F1" s="80" t="s">
        <v>5</v>
      </c>
      <c r="G1" s="80" t="s">
        <v>406</v>
      </c>
      <c r="H1" s="80" t="s">
        <v>319</v>
      </c>
      <c r="I1" s="2" t="s">
        <v>294</v>
      </c>
    </row>
    <row r="2" spans="8:8">
      <c r="A2" s="3" t="s">
        <v>7</v>
      </c>
      <c r="B2" s="4" t="s">
        <v>8</v>
      </c>
      <c r="C2" s="356">
        <v>0.01</v>
      </c>
      <c r="D2" s="356">
        <v>3735380.79218304</v>
      </c>
      <c r="E2" s="20">
        <v>378412.0</v>
      </c>
      <c r="F2" s="20">
        <v>567616.0</v>
      </c>
      <c r="G2" s="329"/>
      <c r="H2" s="204"/>
      <c r="I2" s="43">
        <f>SUM(C2:H2)</f>
        <v>4681408.8021830395</v>
      </c>
    </row>
    <row r="3" spans="8:8">
      <c r="A3" s="3" t="s">
        <v>9</v>
      </c>
      <c r="B3" s="4" t="s">
        <v>8</v>
      </c>
      <c r="C3" s="356">
        <v>0.01</v>
      </c>
      <c r="D3" s="356">
        <v>3735380.79218304</v>
      </c>
      <c r="E3" s="20">
        <v>378412.0</v>
      </c>
      <c r="F3" s="20">
        <v>567616.0</v>
      </c>
      <c r="G3" s="329"/>
      <c r="H3" s="329"/>
      <c r="I3" s="43">
        <f>SUM(C3:F3)</f>
        <v>4681408.8021830395</v>
      </c>
    </row>
    <row r="4" spans="8:8">
      <c r="A4" s="3" t="s">
        <v>10</v>
      </c>
      <c r="B4" s="4" t="s">
        <v>8</v>
      </c>
      <c r="C4" s="356">
        <v>0.01</v>
      </c>
      <c r="D4" s="356">
        <v>3735380.79218304</v>
      </c>
      <c r="E4" s="20">
        <v>378412.0</v>
      </c>
      <c r="F4" s="20">
        <v>567616.0</v>
      </c>
      <c r="G4" s="329"/>
      <c r="H4" s="329"/>
      <c r="I4" s="43">
        <f>SUM(C4:F4)</f>
        <v>4681408.8021830395</v>
      </c>
    </row>
    <row r="5" spans="8:8">
      <c r="A5" s="3" t="s">
        <v>11</v>
      </c>
      <c r="B5" s="4" t="s">
        <v>8</v>
      </c>
      <c r="C5" s="62">
        <v>0.01</v>
      </c>
      <c r="D5" s="356">
        <v>7470761.612251079</v>
      </c>
      <c r="E5" s="20">
        <v>378412.0</v>
      </c>
      <c r="F5" s="20">
        <v>567616.0</v>
      </c>
      <c r="G5" s="329"/>
      <c r="H5" s="329"/>
      <c r="I5" s="43">
        <f t="shared" si="0" ref="I5:I49">SUM(C5:H5)</f>
        <v>8416789.622251078</v>
      </c>
    </row>
    <row r="6" spans="8:8">
      <c r="A6" s="15" t="s">
        <v>12</v>
      </c>
      <c r="B6" s="16" t="s">
        <v>13</v>
      </c>
      <c r="C6" s="356">
        <v>2751616.8808128</v>
      </c>
      <c r="D6" s="356">
        <v>1534087.2875328</v>
      </c>
      <c r="E6" s="20">
        <v>378412.0</v>
      </c>
      <c r="F6" s="20">
        <v>567616.0</v>
      </c>
      <c r="G6" s="329"/>
      <c r="H6" s="247">
        <v>686400.0</v>
      </c>
      <c r="I6" s="43">
        <f t="shared" si="0"/>
        <v>5918132.1683456</v>
      </c>
      <c r="J6" s="71"/>
      <c r="K6" s="71"/>
      <c r="L6" s="71"/>
      <c r="M6" s="71"/>
      <c r="N6" s="71"/>
      <c r="O6" s="71"/>
    </row>
    <row r="7" spans="8:8">
      <c r="A7" s="3" t="s">
        <v>15</v>
      </c>
      <c r="B7" s="4" t="s">
        <v>13</v>
      </c>
      <c r="C7" s="356">
        <v>2751616.8808128</v>
      </c>
      <c r="D7" s="356">
        <v>1534087.2875328</v>
      </c>
      <c r="E7" s="20">
        <v>378412.0</v>
      </c>
      <c r="F7" s="20">
        <v>567616.0</v>
      </c>
      <c r="G7" s="329"/>
      <c r="H7" s="247">
        <v>686400.0</v>
      </c>
      <c r="I7" s="43">
        <f t="shared" si="0"/>
        <v>5918132.1683456</v>
      </c>
      <c r="J7" s="71"/>
      <c r="K7" s="71"/>
      <c r="L7" s="71"/>
      <c r="M7" s="71"/>
      <c r="N7" s="71"/>
      <c r="O7" s="71"/>
    </row>
    <row r="8" spans="8:8">
      <c r="A8" s="3" t="s">
        <v>16</v>
      </c>
      <c r="B8" s="4" t="s">
        <v>13</v>
      </c>
      <c r="C8" s="356">
        <v>2751616.8808128</v>
      </c>
      <c r="D8" s="356">
        <v>1534087.2875328</v>
      </c>
      <c r="E8" s="20">
        <v>378412.0</v>
      </c>
      <c r="F8" s="20">
        <v>567616.0</v>
      </c>
      <c r="G8" s="329"/>
      <c r="H8" s="247">
        <v>686400.0</v>
      </c>
      <c r="I8" s="43">
        <f t="shared" si="0"/>
        <v>5918132.1683456</v>
      </c>
      <c r="J8" s="71"/>
      <c r="K8" s="71"/>
      <c r="M8" s="71"/>
      <c r="N8" s="71"/>
      <c r="O8" s="71"/>
    </row>
    <row r="9" spans="8:8">
      <c r="A9" s="3" t="s">
        <v>17</v>
      </c>
      <c r="B9" s="4" t="s">
        <v>13</v>
      </c>
      <c r="C9" s="356">
        <v>9581957.8991136</v>
      </c>
      <c r="D9" s="356">
        <v>3506485.2286463995</v>
      </c>
      <c r="E9" s="20">
        <v>378412.0</v>
      </c>
      <c r="F9" s="20">
        <v>567616.0</v>
      </c>
      <c r="G9" s="329"/>
      <c r="H9" s="247">
        <v>686400.0</v>
      </c>
      <c r="I9" s="43">
        <f t="shared" si="0"/>
        <v>1.4720871127759999E7</v>
      </c>
      <c r="J9" s="71"/>
      <c r="K9" s="71"/>
      <c r="L9" s="71"/>
      <c r="M9" s="71"/>
      <c r="N9" s="71"/>
      <c r="O9" s="71"/>
    </row>
    <row r="10" spans="8:8">
      <c r="A10" s="3" t="s">
        <v>18</v>
      </c>
      <c r="B10" s="4" t="s">
        <v>13</v>
      </c>
      <c r="C10" s="356">
        <v>3262979.3099903995</v>
      </c>
      <c r="D10" s="356">
        <v>3506485.2286463995</v>
      </c>
      <c r="E10" s="20">
        <v>378412.0</v>
      </c>
      <c r="F10" s="20">
        <v>567616.0</v>
      </c>
      <c r="G10" s="329"/>
      <c r="H10" s="247">
        <v>686400.0</v>
      </c>
      <c r="I10" s="43">
        <f t="shared" si="0"/>
        <v>8401892.5386368</v>
      </c>
      <c r="J10" s="71"/>
      <c r="K10" s="71"/>
      <c r="L10" s="71"/>
      <c r="M10" s="71"/>
      <c r="N10" s="71"/>
      <c r="O10" s="71"/>
    </row>
    <row r="11" spans="8:8">
      <c r="A11" s="3" t="s">
        <v>19</v>
      </c>
      <c r="B11" s="4" t="s">
        <v>13</v>
      </c>
      <c r="C11" s="356">
        <v>3262979.3099903995</v>
      </c>
      <c r="D11" s="356">
        <v>3506485.2286463995</v>
      </c>
      <c r="E11" s="20">
        <v>378412.0</v>
      </c>
      <c r="F11" s="20">
        <v>567616.0</v>
      </c>
      <c r="G11" s="329"/>
      <c r="H11" s="247">
        <v>686400.0</v>
      </c>
      <c r="I11" s="43">
        <f t="shared" si="0"/>
        <v>8401892.5386368</v>
      </c>
      <c r="J11" s="71"/>
      <c r="K11" s="71"/>
      <c r="L11" s="3"/>
      <c r="M11" s="71"/>
      <c r="N11" s="71"/>
      <c r="O11" s="71"/>
    </row>
    <row r="12" spans="8:8">
      <c r="A12" s="3" t="s">
        <v>20</v>
      </c>
      <c r="B12" s="4" t="s">
        <v>13</v>
      </c>
      <c r="C12" s="356">
        <v>3262979.3099903995</v>
      </c>
      <c r="D12" s="356">
        <v>3506485.2286463995</v>
      </c>
      <c r="E12" s="20">
        <v>378412.0</v>
      </c>
      <c r="F12" s="20">
        <v>567616.0</v>
      </c>
      <c r="G12" s="329"/>
      <c r="H12" s="247">
        <v>686400.0</v>
      </c>
      <c r="I12" s="43">
        <f t="shared" si="0"/>
        <v>8401892.5386368</v>
      </c>
    </row>
    <row r="13" spans="8:8">
      <c r="A13" s="15" t="s">
        <v>21</v>
      </c>
      <c r="B13" s="4" t="s">
        <v>13</v>
      </c>
      <c r="C13" s="356">
        <v>3262979.3099903995</v>
      </c>
      <c r="D13" s="356">
        <v>3506485.2286463995</v>
      </c>
      <c r="E13" s="20">
        <v>378412.0</v>
      </c>
      <c r="F13" s="20">
        <v>567616.0</v>
      </c>
      <c r="G13" s="329"/>
      <c r="H13" s="247">
        <v>686400.0</v>
      </c>
      <c r="I13" s="43">
        <f t="shared" si="0"/>
        <v>8401892.5386368</v>
      </c>
    </row>
    <row r="14" spans="8:8">
      <c r="A14" s="15" t="s">
        <v>22</v>
      </c>
      <c r="B14" s="16" t="s">
        <v>13</v>
      </c>
      <c r="C14" s="356">
        <v>3262979.3099903995</v>
      </c>
      <c r="D14" s="356">
        <v>3506485.2286463995</v>
      </c>
      <c r="E14" s="20">
        <v>378412.0</v>
      </c>
      <c r="F14" s="20">
        <v>567616.0</v>
      </c>
      <c r="G14" s="329"/>
      <c r="H14" s="247">
        <v>686400.0</v>
      </c>
      <c r="I14" s="43">
        <f t="shared" si="0"/>
        <v>8401892.5386368</v>
      </c>
    </row>
    <row r="15" spans="8:8">
      <c r="A15" s="15" t="s">
        <v>23</v>
      </c>
      <c r="B15" s="16" t="s">
        <v>13</v>
      </c>
      <c r="C15" s="356">
        <v>3262979.3099903995</v>
      </c>
      <c r="D15" s="356">
        <v>3506485.2286463995</v>
      </c>
      <c r="E15" s="20">
        <v>378412.0</v>
      </c>
      <c r="F15" s="20">
        <v>567616.0</v>
      </c>
      <c r="G15" s="329"/>
      <c r="H15" s="247">
        <v>686400.0</v>
      </c>
      <c r="I15" s="43">
        <f t="shared" si="0"/>
        <v>8401892.5386368</v>
      </c>
    </row>
    <row r="16" spans="8:8">
      <c r="A16" s="3" t="s">
        <v>24</v>
      </c>
      <c r="B16" s="16" t="s">
        <v>13</v>
      </c>
      <c r="C16" s="356">
        <v>3262979.3099903995</v>
      </c>
      <c r="D16" s="356">
        <v>3506485.2286463995</v>
      </c>
      <c r="E16" s="20">
        <v>378412.0</v>
      </c>
      <c r="F16" s="20">
        <v>567616.0</v>
      </c>
      <c r="G16" s="329"/>
      <c r="H16" s="247">
        <v>686400.0</v>
      </c>
      <c r="I16" s="43">
        <f t="shared" si="0"/>
        <v>8401892.5386368</v>
      </c>
    </row>
    <row r="17" spans="8:8">
      <c r="A17" s="3" t="s">
        <v>25</v>
      </c>
      <c r="B17" s="4" t="s">
        <v>13</v>
      </c>
      <c r="C17" s="356">
        <v>3262979.3099903995</v>
      </c>
      <c r="D17" s="356">
        <v>3506485.2286463995</v>
      </c>
      <c r="E17" s="20">
        <v>378412.0</v>
      </c>
      <c r="F17" s="20">
        <v>567616.0</v>
      </c>
      <c r="G17" s="329"/>
      <c r="H17" s="247">
        <v>686400.0</v>
      </c>
      <c r="I17" s="43">
        <f t="shared" si="0"/>
        <v>8401892.5386368</v>
      </c>
    </row>
    <row r="18" spans="8:8">
      <c r="A18" s="3" t="s">
        <v>26</v>
      </c>
      <c r="B18" s="4" t="s">
        <v>13</v>
      </c>
      <c r="C18" s="356">
        <v>3262979.3099903995</v>
      </c>
      <c r="D18" s="356">
        <v>3506485.2286463995</v>
      </c>
      <c r="E18" s="20">
        <v>378412.0</v>
      </c>
      <c r="F18" s="20">
        <v>567616.0</v>
      </c>
      <c r="G18" s="329"/>
      <c r="H18" s="247">
        <v>686400.0</v>
      </c>
      <c r="I18" s="43">
        <f t="shared" si="0"/>
        <v>8401892.5386368</v>
      </c>
    </row>
    <row r="19" spans="8:8">
      <c r="A19" s="3" t="s">
        <v>27</v>
      </c>
      <c r="B19" s="4" t="s">
        <v>13</v>
      </c>
      <c r="C19" s="356">
        <v>3262979.3099903995</v>
      </c>
      <c r="D19" s="356">
        <v>3506485.2286463995</v>
      </c>
      <c r="E19" s="20">
        <v>378412.0</v>
      </c>
      <c r="F19" s="20">
        <v>567616.0</v>
      </c>
      <c r="G19" s="329"/>
      <c r="H19" s="247">
        <v>686400.0</v>
      </c>
      <c r="I19" s="43">
        <f t="shared" si="0"/>
        <v>8401892.5386368</v>
      </c>
    </row>
    <row r="20" spans="8:8">
      <c r="A20" s="3" t="s">
        <v>28</v>
      </c>
      <c r="B20" s="4" t="s">
        <v>13</v>
      </c>
      <c r="C20" s="356">
        <v>3262979.3099903995</v>
      </c>
      <c r="D20" s="356">
        <v>3506485.2286463995</v>
      </c>
      <c r="E20" s="20">
        <v>378412.0</v>
      </c>
      <c r="F20" s="20">
        <v>567616.0</v>
      </c>
      <c r="G20" s="329"/>
      <c r="H20" s="247">
        <v>686400.0</v>
      </c>
      <c r="I20" s="43">
        <f t="shared" si="0"/>
        <v>8401892.5386368</v>
      </c>
    </row>
    <row r="21" spans="8:8">
      <c r="A21" s="3" t="s">
        <v>29</v>
      </c>
      <c r="B21" s="4" t="s">
        <v>13</v>
      </c>
      <c r="C21" s="356">
        <v>3262979.3099903995</v>
      </c>
      <c r="D21" s="356">
        <v>3506485.2286463995</v>
      </c>
      <c r="E21" s="20">
        <v>378412.0</v>
      </c>
      <c r="F21" s="20">
        <v>567616.0</v>
      </c>
      <c r="G21" s="329"/>
      <c r="H21" s="247">
        <v>686400.0</v>
      </c>
      <c r="I21" s="43">
        <f t="shared" si="0"/>
        <v>8401892.5386368</v>
      </c>
    </row>
    <row r="22" spans="8:8">
      <c r="A22" s="3" t="s">
        <v>30</v>
      </c>
      <c r="B22" s="4" t="s">
        <v>13</v>
      </c>
      <c r="C22" s="356">
        <v>3262979.3099903995</v>
      </c>
      <c r="D22" s="356">
        <v>3506485.2286463995</v>
      </c>
      <c r="E22" s="20">
        <v>378412.0</v>
      </c>
      <c r="F22" s="20">
        <v>567616.0</v>
      </c>
      <c r="G22" s="329"/>
      <c r="H22" s="247">
        <v>686400.0</v>
      </c>
      <c r="I22" s="43">
        <f t="shared" si="0"/>
        <v>8401892.5386368</v>
      </c>
    </row>
    <row r="23" spans="8:8">
      <c r="A23" s="3" t="s">
        <v>31</v>
      </c>
      <c r="B23" s="4" t="s">
        <v>13</v>
      </c>
      <c r="C23" s="356">
        <v>3262979.3099903995</v>
      </c>
      <c r="D23" s="356">
        <v>3506485.2286463995</v>
      </c>
      <c r="E23" s="20">
        <v>378412.0</v>
      </c>
      <c r="F23" s="20">
        <v>567616.0</v>
      </c>
      <c r="G23" s="329"/>
      <c r="H23" s="247">
        <v>686400.0</v>
      </c>
      <c r="I23" s="43">
        <f t="shared" si="0"/>
        <v>8401892.5386368</v>
      </c>
    </row>
    <row r="24" spans="8:8">
      <c r="A24" s="3" t="s">
        <v>32</v>
      </c>
      <c r="B24" s="4" t="s">
        <v>13</v>
      </c>
      <c r="C24" s="356">
        <v>3262979.3099903995</v>
      </c>
      <c r="D24" s="356">
        <v>3506485.2286463995</v>
      </c>
      <c r="E24" s="20">
        <v>378412.0</v>
      </c>
      <c r="F24" s="20">
        <v>567616.0</v>
      </c>
      <c r="G24" s="329"/>
      <c r="H24" s="247">
        <v>686400.0</v>
      </c>
      <c r="I24" s="43">
        <f t="shared" si="0"/>
        <v>8401892.5386368</v>
      </c>
    </row>
    <row r="25" spans="8:8">
      <c r="A25" s="3" t="s">
        <v>33</v>
      </c>
      <c r="B25" s="4" t="s">
        <v>13</v>
      </c>
      <c r="C25" s="356">
        <v>3262979.3099903995</v>
      </c>
      <c r="D25" s="356">
        <v>3506485.2286463995</v>
      </c>
      <c r="E25" s="20">
        <v>378412.0</v>
      </c>
      <c r="F25" s="20">
        <v>567616.0</v>
      </c>
      <c r="G25" s="329"/>
      <c r="H25" s="247">
        <v>686400.0</v>
      </c>
      <c r="I25" s="43">
        <f t="shared" si="0"/>
        <v>8401892.5386368</v>
      </c>
    </row>
    <row r="26" spans="8:8">
      <c r="A26" s="3" t="s">
        <v>34</v>
      </c>
      <c r="B26" s="4" t="s">
        <v>13</v>
      </c>
      <c r="C26" s="356">
        <v>2751616.8808128</v>
      </c>
      <c r="D26" s="356">
        <v>1534087.2875328</v>
      </c>
      <c r="E26" s="20">
        <v>378412.0</v>
      </c>
      <c r="F26" s="20">
        <v>567616.0</v>
      </c>
      <c r="G26" s="329"/>
      <c r="H26" s="247">
        <v>686400.0</v>
      </c>
      <c r="I26" s="43">
        <f t="shared" si="0"/>
        <v>5918132.1683456</v>
      </c>
    </row>
    <row r="27" spans="8:8">
      <c r="A27" s="3" t="s">
        <v>35</v>
      </c>
      <c r="B27" s="4" t="s">
        <v>13</v>
      </c>
      <c r="C27" s="356">
        <v>2751616.8808128</v>
      </c>
      <c r="D27" s="356">
        <v>1534087.2875328</v>
      </c>
      <c r="E27" s="20">
        <v>378412.0</v>
      </c>
      <c r="F27" s="20">
        <v>567616.0</v>
      </c>
      <c r="G27" s="329"/>
      <c r="H27" s="247">
        <v>686400.0</v>
      </c>
      <c r="I27" s="43">
        <f t="shared" si="0"/>
        <v>5918132.1683456</v>
      </c>
    </row>
    <row r="28" spans="8:8">
      <c r="A28" s="3" t="s">
        <v>36</v>
      </c>
      <c r="B28" s="4" t="s">
        <v>13</v>
      </c>
      <c r="C28" s="356">
        <v>2751616.8808128</v>
      </c>
      <c r="D28" s="356">
        <v>1534087.2875328</v>
      </c>
      <c r="E28" s="20">
        <v>378412.0</v>
      </c>
      <c r="F28" s="20">
        <v>567616.0</v>
      </c>
      <c r="G28" s="329"/>
      <c r="H28" s="247">
        <v>686400.0</v>
      </c>
      <c r="I28" s="43">
        <f t="shared" si="0"/>
        <v>5918132.1683456</v>
      </c>
    </row>
    <row r="29" spans="8:8">
      <c r="A29" s="3" t="s">
        <v>37</v>
      </c>
      <c r="B29" s="4" t="s">
        <v>13</v>
      </c>
      <c r="C29" s="356">
        <v>2751616.8808128</v>
      </c>
      <c r="D29" s="356">
        <v>1534087.2875328</v>
      </c>
      <c r="E29" s="20">
        <v>378412.0</v>
      </c>
      <c r="F29" s="20">
        <v>567616.0</v>
      </c>
      <c r="G29" s="329"/>
      <c r="H29" s="247">
        <v>686400.0</v>
      </c>
      <c r="I29" s="43">
        <f t="shared" si="0"/>
        <v>5918132.1683456</v>
      </c>
    </row>
    <row r="30" spans="8:8">
      <c r="A30" s="3" t="s">
        <v>38</v>
      </c>
      <c r="B30" s="4" t="s">
        <v>13</v>
      </c>
      <c r="C30" s="356">
        <v>2751616.8808128</v>
      </c>
      <c r="D30" s="356">
        <v>1534087.2875328</v>
      </c>
      <c r="E30" s="20">
        <v>378412.0</v>
      </c>
      <c r="F30" s="20">
        <v>567616.0</v>
      </c>
      <c r="G30" s="329"/>
      <c r="H30" s="247">
        <v>686400.0</v>
      </c>
      <c r="I30" s="43">
        <f t="shared" si="0"/>
        <v>5918132.1683456</v>
      </c>
    </row>
    <row r="31" spans="8:8">
      <c r="A31" s="15" t="s">
        <v>39</v>
      </c>
      <c r="B31" s="4" t="s">
        <v>13</v>
      </c>
      <c r="C31" s="356">
        <v>2751616.8808128</v>
      </c>
      <c r="D31" s="356">
        <v>1534087.2875328</v>
      </c>
      <c r="E31" s="20">
        <v>378412.0</v>
      </c>
      <c r="F31" s="20">
        <v>567616.0</v>
      </c>
      <c r="G31" s="329"/>
      <c r="H31" s="247">
        <v>686400.0</v>
      </c>
      <c r="I31" s="43">
        <f t="shared" si="0"/>
        <v>5918132.1683456</v>
      </c>
    </row>
    <row r="32" spans="8:8" s="49" ht="15.0" customFormat="1">
      <c r="A32" s="3" t="s">
        <v>40</v>
      </c>
      <c r="B32" s="16" t="s">
        <v>13</v>
      </c>
      <c r="C32" s="356">
        <v>2751616.8808128</v>
      </c>
      <c r="D32" s="356">
        <v>1534087.2875328</v>
      </c>
      <c r="E32" s="20">
        <v>378412.0</v>
      </c>
      <c r="F32" s="20">
        <v>567616.0</v>
      </c>
      <c r="G32" s="329"/>
      <c r="H32" s="247">
        <v>686400.0</v>
      </c>
      <c r="I32" s="43">
        <f t="shared" si="0"/>
        <v>5918132.1683456</v>
      </c>
    </row>
    <row r="33" spans="8:8">
      <c r="A33" s="15" t="s">
        <v>41</v>
      </c>
      <c r="B33" s="16" t="s">
        <v>13</v>
      </c>
      <c r="C33" s="356">
        <v>2751616.8808128</v>
      </c>
      <c r="D33" s="356">
        <v>1534087.2875328</v>
      </c>
      <c r="E33" s="20">
        <v>378412.0</v>
      </c>
      <c r="F33" s="20">
        <v>567616.0</v>
      </c>
      <c r="G33" s="329"/>
      <c r="H33" s="247">
        <v>686400.0</v>
      </c>
      <c r="I33" s="43">
        <f t="shared" si="0"/>
        <v>5918132.1683456</v>
      </c>
    </row>
    <row r="34" spans="8:8" s="49" ht="15.0" customFormat="1">
      <c r="A34" s="3" t="s">
        <v>42</v>
      </c>
      <c r="B34" s="16" t="s">
        <v>13</v>
      </c>
      <c r="C34" s="356">
        <v>2751616.8808128</v>
      </c>
      <c r="D34" s="356">
        <v>1534087.2875328</v>
      </c>
      <c r="E34" s="20">
        <v>378412.0</v>
      </c>
      <c r="F34" s="20">
        <v>567616.0</v>
      </c>
      <c r="G34" s="329"/>
      <c r="H34" s="247">
        <v>686400.0</v>
      </c>
      <c r="I34" s="43">
        <f t="shared" si="0"/>
        <v>5918132.1683456</v>
      </c>
    </row>
    <row r="35" spans="8:8">
      <c r="A35" s="3" t="s">
        <v>43</v>
      </c>
      <c r="B35" s="4" t="s">
        <v>13</v>
      </c>
      <c r="C35" s="356">
        <v>2751616.8808128</v>
      </c>
      <c r="D35" s="356">
        <v>1534087.2875328</v>
      </c>
      <c r="E35" s="20">
        <v>378412.0</v>
      </c>
      <c r="F35" s="20">
        <v>567616.0</v>
      </c>
      <c r="G35" s="329"/>
      <c r="H35" s="247">
        <v>686400.0</v>
      </c>
      <c r="I35" s="43">
        <f t="shared" si="0"/>
        <v>5918132.1683456</v>
      </c>
    </row>
    <row r="36" spans="8:8">
      <c r="A36" s="3" t="s">
        <v>44</v>
      </c>
      <c r="B36" s="4" t="s">
        <v>13</v>
      </c>
      <c r="C36" s="356">
        <v>2751616.8808128</v>
      </c>
      <c r="D36" s="356">
        <v>1534087.2875328</v>
      </c>
      <c r="E36" s="20">
        <v>378412.0</v>
      </c>
      <c r="F36" s="20">
        <v>567616.0</v>
      </c>
      <c r="G36" s="329"/>
      <c r="H36" s="247">
        <v>686400.0</v>
      </c>
      <c r="I36" s="43">
        <f t="shared" si="0"/>
        <v>5918132.1683456</v>
      </c>
    </row>
    <row r="37" spans="8:8">
      <c r="A37" s="3" t="s">
        <v>45</v>
      </c>
      <c r="B37" s="4" t="s">
        <v>13</v>
      </c>
      <c r="C37" s="356">
        <v>6221576.221660798</v>
      </c>
      <c r="D37" s="356">
        <v>3652588.7798400004</v>
      </c>
      <c r="E37" s="20">
        <v>378412.0</v>
      </c>
      <c r="F37" s="20">
        <v>567616.0</v>
      </c>
      <c r="G37" s="329"/>
      <c r="H37" s="247">
        <v>686400.0</v>
      </c>
      <c r="I37" s="43">
        <f t="shared" si="0"/>
        <v>1.1506593001500798E7</v>
      </c>
    </row>
    <row r="38" spans="8:8">
      <c r="A38" s="3" t="s">
        <v>46</v>
      </c>
      <c r="B38" s="4" t="s">
        <v>13</v>
      </c>
      <c r="C38" s="356">
        <v>6221576.221660798</v>
      </c>
      <c r="D38" s="356">
        <v>3652588.7798400004</v>
      </c>
      <c r="E38" s="20">
        <v>378412.0</v>
      </c>
      <c r="F38" s="20">
        <v>567616.0</v>
      </c>
      <c r="G38" s="329"/>
      <c r="H38" s="247">
        <v>686400.0</v>
      </c>
      <c r="I38" s="43">
        <f t="shared" si="0"/>
        <v>1.1506593001500798E7</v>
      </c>
    </row>
    <row r="39" spans="8:8">
      <c r="A39" s="3" t="s">
        <v>47</v>
      </c>
      <c r="B39" s="4" t="s">
        <v>13</v>
      </c>
      <c r="C39" s="356">
        <v>8754037.7756832</v>
      </c>
      <c r="D39" s="356">
        <v>3652588.7798400004</v>
      </c>
      <c r="E39" s="20">
        <v>378412.0</v>
      </c>
      <c r="F39" s="20">
        <v>567616.0</v>
      </c>
      <c r="G39" s="329"/>
      <c r="H39" s="247">
        <v>686400.0</v>
      </c>
      <c r="I39" s="43">
        <f t="shared" si="0"/>
        <v>1.40390545555232E7</v>
      </c>
    </row>
    <row r="40" spans="8:8">
      <c r="A40" s="3" t="s">
        <v>48</v>
      </c>
      <c r="B40" s="4" t="s">
        <v>13</v>
      </c>
      <c r="C40" s="356">
        <v>2751616.8808128</v>
      </c>
      <c r="D40" s="356">
        <v>3652588.7798400004</v>
      </c>
      <c r="E40" s="20">
        <v>378412.0</v>
      </c>
      <c r="F40" s="20">
        <v>567616.0</v>
      </c>
      <c r="G40" s="329"/>
      <c r="H40" s="247">
        <v>686400.0</v>
      </c>
      <c r="I40" s="43">
        <f t="shared" si="0"/>
        <v>8036633.6606528</v>
      </c>
    </row>
    <row r="41" spans="8:8">
      <c r="A41" s="3" t="s">
        <v>49</v>
      </c>
      <c r="B41" s="4" t="s">
        <v>13</v>
      </c>
      <c r="C41" s="356">
        <v>2751616.8808128</v>
      </c>
      <c r="D41" s="356">
        <v>1534087.2875328</v>
      </c>
      <c r="E41" s="20">
        <v>378412.0</v>
      </c>
      <c r="F41" s="20">
        <v>567616.0</v>
      </c>
      <c r="G41" s="329"/>
      <c r="H41" s="247">
        <v>686400.0</v>
      </c>
      <c r="I41" s="43">
        <f t="shared" si="0"/>
        <v>5918132.1683456</v>
      </c>
    </row>
    <row r="42" spans="8:8">
      <c r="A42" s="15" t="s">
        <v>50</v>
      </c>
      <c r="B42" s="4" t="s">
        <v>13</v>
      </c>
      <c r="C42" s="356">
        <v>2751616.8808128</v>
      </c>
      <c r="D42" s="356">
        <v>1534087.2875328</v>
      </c>
      <c r="E42" s="20">
        <v>378412.0</v>
      </c>
      <c r="F42" s="20">
        <v>567616.0</v>
      </c>
      <c r="G42" s="329"/>
      <c r="H42" s="247">
        <v>686400.0</v>
      </c>
      <c r="I42" s="43">
        <f t="shared" si="0"/>
        <v>5918132.1683456</v>
      </c>
    </row>
    <row r="43" spans="8:8" s="49" ht="15.0" customFormat="1">
      <c r="A43" s="3" t="s">
        <v>51</v>
      </c>
      <c r="B43" s="16" t="s">
        <v>13</v>
      </c>
      <c r="C43" s="356">
        <v>2751616.8808128</v>
      </c>
      <c r="D43" s="356">
        <v>1534087.2875328</v>
      </c>
      <c r="E43" s="20">
        <v>378412.0</v>
      </c>
      <c r="F43" s="20">
        <v>567616.0</v>
      </c>
      <c r="G43" s="329"/>
      <c r="H43" s="247">
        <v>686400.0</v>
      </c>
      <c r="I43" s="43">
        <f t="shared" si="0"/>
        <v>5918132.1683456</v>
      </c>
    </row>
    <row r="44" spans="8:8">
      <c r="A44" s="3" t="s">
        <v>52</v>
      </c>
      <c r="B44" s="4" t="s">
        <v>13</v>
      </c>
      <c r="C44" s="356">
        <v>2751616.8808128</v>
      </c>
      <c r="D44" s="356">
        <v>1534087.2875328</v>
      </c>
      <c r="E44" s="20">
        <v>378412.0</v>
      </c>
      <c r="F44" s="20">
        <v>567616.0</v>
      </c>
      <c r="G44" s="329"/>
      <c r="H44" s="247">
        <v>686400.0</v>
      </c>
      <c r="I44" s="43">
        <f t="shared" si="0"/>
        <v>5918132.1683456</v>
      </c>
    </row>
    <row r="45" spans="8:8">
      <c r="A45" s="3" t="s">
        <v>53</v>
      </c>
      <c r="B45" s="4" t="s">
        <v>13</v>
      </c>
      <c r="C45" s="356">
        <v>2751616.8808128</v>
      </c>
      <c r="D45" s="356">
        <v>1534087.2875328</v>
      </c>
      <c r="E45" s="20">
        <v>378412.0</v>
      </c>
      <c r="F45" s="20">
        <v>567616.0</v>
      </c>
      <c r="G45" s="329"/>
      <c r="H45" s="247">
        <v>686400.0</v>
      </c>
      <c r="I45" s="43">
        <f t="shared" si="0"/>
        <v>5918132.1683456</v>
      </c>
    </row>
    <row r="46" spans="8:8">
      <c r="A46" s="3" t="s">
        <v>54</v>
      </c>
      <c r="B46" s="4" t="s">
        <v>13</v>
      </c>
      <c r="C46" s="356">
        <v>2751616.8808128</v>
      </c>
      <c r="D46" s="356">
        <v>1534087.2875328</v>
      </c>
      <c r="E46" s="20">
        <v>378412.0</v>
      </c>
      <c r="F46" s="20">
        <v>567616.0</v>
      </c>
      <c r="G46" s="329"/>
      <c r="H46" s="247">
        <v>686400.0</v>
      </c>
      <c r="I46" s="43">
        <f t="shared" si="0"/>
        <v>5918132.1683456</v>
      </c>
    </row>
    <row r="47" spans="8:8">
      <c r="A47" s="15" t="s">
        <v>55</v>
      </c>
      <c r="B47" s="4" t="s">
        <v>13</v>
      </c>
      <c r="C47" s="356">
        <v>2751616.8808128</v>
      </c>
      <c r="D47" s="356">
        <v>1534087.2875328</v>
      </c>
      <c r="E47" s="20">
        <v>378412.0</v>
      </c>
      <c r="F47" s="20">
        <v>567616.0</v>
      </c>
      <c r="G47" s="329"/>
      <c r="H47" s="247">
        <v>686400.0</v>
      </c>
      <c r="I47" s="43">
        <f t="shared" si="0"/>
        <v>5918132.1683456</v>
      </c>
    </row>
    <row r="48" spans="8:8" s="49" ht="15.0" customFormat="1">
      <c r="A48" s="3" t="s">
        <v>56</v>
      </c>
      <c r="B48" s="16" t="s">
        <v>13</v>
      </c>
      <c r="C48" s="356">
        <v>2751616.8822999997</v>
      </c>
      <c r="D48" s="356">
        <v>4017847.657824</v>
      </c>
      <c r="E48" s="20">
        <v>378412.0</v>
      </c>
      <c r="F48" s="20">
        <v>567616.0</v>
      </c>
      <c r="G48" s="329"/>
      <c r="H48" s="247">
        <v>686400.0</v>
      </c>
      <c r="I48" s="241">
        <f t="shared" si="0"/>
        <v>8401892.540124</v>
      </c>
    </row>
    <row r="49" spans="8:8">
      <c r="A49" s="3" t="s">
        <v>57</v>
      </c>
      <c r="B49" s="4" t="s">
        <v>60</v>
      </c>
      <c r="C49" s="356">
        <v>0.01</v>
      </c>
      <c r="D49" s="356">
        <v>3798692.3310336</v>
      </c>
      <c r="E49" s="20">
        <v>378412.0</v>
      </c>
      <c r="F49" s="20">
        <v>567616.0</v>
      </c>
      <c r="G49" s="329"/>
      <c r="H49" s="329"/>
      <c r="I49" s="43">
        <f t="shared" si="0"/>
        <v>4744720.3410336</v>
      </c>
    </row>
    <row r="50" spans="8:8">
      <c r="A50" s="3" t="s">
        <v>58</v>
      </c>
      <c r="B50" s="4" t="s">
        <v>60</v>
      </c>
      <c r="C50" s="356">
        <v>0.01</v>
      </c>
      <c r="D50" s="356">
        <v>3798692.3310336</v>
      </c>
      <c r="E50" s="20">
        <v>378412.0</v>
      </c>
      <c r="F50" s="20">
        <v>567616.0</v>
      </c>
      <c r="G50" s="329"/>
      <c r="H50" s="329"/>
      <c r="I50" s="43">
        <f>SUM(C50:F50)</f>
        <v>4744720.3410336</v>
      </c>
    </row>
    <row r="51" spans="8:8">
      <c r="A51" s="3" t="s">
        <v>59</v>
      </c>
      <c r="B51" s="4" t="s">
        <v>60</v>
      </c>
      <c r="C51" s="356">
        <v>0.01</v>
      </c>
      <c r="D51" s="356">
        <v>3798692.3310336</v>
      </c>
      <c r="E51" s="20">
        <v>378412.0</v>
      </c>
      <c r="F51" s="20">
        <v>567616.0</v>
      </c>
      <c r="G51" s="329"/>
      <c r="H51" s="329"/>
      <c r="I51" s="43">
        <f>SUM(C51:F51)</f>
        <v>4744720.3410336</v>
      </c>
    </row>
    <row r="52" spans="8:8">
      <c r="A52" s="3" t="s">
        <v>61</v>
      </c>
      <c r="B52" s="4" t="s">
        <v>60</v>
      </c>
      <c r="C52" s="356">
        <v>6221576.218</v>
      </c>
      <c r="D52" s="356">
        <v>6647711.5793087995</v>
      </c>
      <c r="E52" s="20">
        <v>378412.0</v>
      </c>
      <c r="F52" s="20">
        <v>567616.0</v>
      </c>
      <c r="G52" s="329"/>
      <c r="H52" s="329"/>
      <c r="I52" s="43">
        <f>SUM(C52:F52)</f>
        <v>1.3815315797308799E7</v>
      </c>
    </row>
    <row r="53" spans="8:8">
      <c r="A53" s="3" t="s">
        <v>62</v>
      </c>
      <c r="B53" s="4" t="s">
        <v>60</v>
      </c>
      <c r="C53" s="356">
        <v>0.01</v>
      </c>
      <c r="D53" s="356">
        <v>3798692.3310336</v>
      </c>
      <c r="E53" s="20">
        <v>378412.0</v>
      </c>
      <c r="F53" s="20">
        <v>567616.0</v>
      </c>
      <c r="G53" s="329"/>
      <c r="H53" s="329"/>
      <c r="I53" s="43">
        <f>SUM(C53:F53)</f>
        <v>4744720.3410336</v>
      </c>
    </row>
    <row r="54" spans="8:8">
      <c r="A54" s="3" t="s">
        <v>63</v>
      </c>
      <c r="B54" s="4" t="s">
        <v>60</v>
      </c>
      <c r="C54" s="356">
        <v>0.01</v>
      </c>
      <c r="D54" s="356">
        <v>3798692.3310336</v>
      </c>
      <c r="E54" s="20">
        <v>378412.0</v>
      </c>
      <c r="F54" s="20">
        <v>567616.0</v>
      </c>
      <c r="G54" s="329"/>
      <c r="H54" s="329"/>
      <c r="I54" s="43">
        <f>SUM(C54:F54)</f>
        <v>4744720.3410336</v>
      </c>
    </row>
    <row r="55" spans="8:8">
      <c r="A55" s="3" t="s">
        <v>64</v>
      </c>
      <c r="B55" s="4" t="s">
        <v>65</v>
      </c>
      <c r="C55" s="356">
        <v>0.01</v>
      </c>
      <c r="D55" s="356">
        <v>2796259.6325663994</v>
      </c>
      <c r="E55" s="20">
        <v>378412.0</v>
      </c>
      <c r="F55" s="20">
        <v>567616.0</v>
      </c>
      <c r="G55" s="247">
        <v>1482000.0</v>
      </c>
      <c r="H55" s="329"/>
      <c r="I55" s="43">
        <f t="shared" si="1" ref="I55:I60">SUM(C55:H55)</f>
        <v>5224287.6425664</v>
      </c>
    </row>
    <row r="56" spans="8:8">
      <c r="A56" s="3" t="s">
        <v>66</v>
      </c>
      <c r="B56" s="4" t="s">
        <v>65</v>
      </c>
      <c r="C56" s="356">
        <v>0.01</v>
      </c>
      <c r="D56" s="356">
        <v>2975642.32597632</v>
      </c>
      <c r="E56" s="20">
        <v>378412.0</v>
      </c>
      <c r="F56" s="20">
        <v>567616.0</v>
      </c>
      <c r="G56" s="247">
        <v>1482000.0</v>
      </c>
      <c r="H56" s="329"/>
      <c r="I56" s="43">
        <f t="shared" si="1"/>
        <v>5403670.335976319</v>
      </c>
    </row>
    <row r="57" spans="8:8">
      <c r="A57" s="3" t="s">
        <v>67</v>
      </c>
      <c r="B57" s="4" t="s">
        <v>65</v>
      </c>
      <c r="C57" s="356">
        <v>0.01</v>
      </c>
      <c r="D57" s="356">
        <v>2796259.6325663994</v>
      </c>
      <c r="E57" s="20">
        <v>378412.0</v>
      </c>
      <c r="F57" s="20">
        <v>567616.0</v>
      </c>
      <c r="G57" s="247">
        <v>1482000.0</v>
      </c>
      <c r="H57" s="329"/>
      <c r="I57" s="43">
        <f t="shared" si="1"/>
        <v>5224287.6425664</v>
      </c>
    </row>
    <row r="58" spans="8:8">
      <c r="A58" s="3" t="s">
        <v>68</v>
      </c>
      <c r="B58" s="4" t="s">
        <v>65</v>
      </c>
      <c r="C58" s="356">
        <v>0.01</v>
      </c>
      <c r="D58" s="356">
        <v>2975642.32597632</v>
      </c>
      <c r="E58" s="20">
        <v>378412.0</v>
      </c>
      <c r="F58" s="20">
        <v>567616.0</v>
      </c>
      <c r="G58" s="247">
        <v>1482000.0</v>
      </c>
      <c r="H58" s="329"/>
      <c r="I58" s="43">
        <f t="shared" si="1"/>
        <v>5403670.335976319</v>
      </c>
    </row>
    <row r="59" spans="8:8">
      <c r="A59" s="3" t="s">
        <v>69</v>
      </c>
      <c r="B59" s="4" t="s">
        <v>65</v>
      </c>
      <c r="C59" s="356">
        <v>0.01</v>
      </c>
      <c r="D59" s="356">
        <v>3629861.56076544</v>
      </c>
      <c r="E59" s="20">
        <v>378412.0</v>
      </c>
      <c r="F59" s="20">
        <v>567616.0</v>
      </c>
      <c r="G59" s="247">
        <v>1482000.0</v>
      </c>
      <c r="H59" s="329"/>
      <c r="I59" s="43">
        <f t="shared" si="1"/>
        <v>6057889.570765439</v>
      </c>
    </row>
    <row r="60" spans="8:8">
      <c r="A60" s="3" t="s">
        <v>70</v>
      </c>
      <c r="B60" s="4" t="s">
        <v>65</v>
      </c>
      <c r="C60" s="356">
        <v>0.01</v>
      </c>
      <c r="D60" s="356">
        <v>2796259.6325663994</v>
      </c>
      <c r="E60" s="20">
        <v>378412.0</v>
      </c>
      <c r="F60" s="20">
        <v>567616.0</v>
      </c>
      <c r="G60" s="247">
        <v>1482000.0</v>
      </c>
      <c r="H60" s="329"/>
      <c r="I60" s="43">
        <f t="shared" si="1"/>
        <v>5224287.6425664</v>
      </c>
    </row>
    <row r="61" spans="8:8">
      <c r="A61" s="15" t="s">
        <v>71</v>
      </c>
      <c r="B61" s="16" t="s">
        <v>65</v>
      </c>
      <c r="C61" s="356">
        <v>0.01</v>
      </c>
      <c r="D61" s="356">
        <v>2975642.32597632</v>
      </c>
      <c r="E61" s="20">
        <v>378412.0</v>
      </c>
      <c r="F61" s="20">
        <v>567616.0</v>
      </c>
      <c r="G61" s="247">
        <v>1482000.0</v>
      </c>
      <c r="H61" s="329"/>
      <c r="I61" s="43">
        <f t="shared" si="2" ref="I61:I73">SUM(C61:G61)</f>
        <v>5403670.335976319</v>
      </c>
    </row>
    <row r="62" spans="8:8">
      <c r="A62" s="15" t="s">
        <v>72</v>
      </c>
      <c r="B62" s="16" t="s">
        <v>65</v>
      </c>
      <c r="C62" s="356">
        <v>0.01</v>
      </c>
      <c r="D62" s="356">
        <v>3292200.0202291203</v>
      </c>
      <c r="E62" s="20">
        <v>378412.0</v>
      </c>
      <c r="F62" s="20">
        <v>567616.0</v>
      </c>
      <c r="G62" s="247">
        <v>1482000.0</v>
      </c>
      <c r="H62" s="329"/>
      <c r="I62" s="43">
        <f t="shared" si="2"/>
        <v>5720228.03022912</v>
      </c>
    </row>
    <row r="63" spans="8:8">
      <c r="A63" s="3" t="s">
        <v>73</v>
      </c>
      <c r="B63" s="4" t="s">
        <v>65</v>
      </c>
      <c r="C63" s="356">
        <v>0.01</v>
      </c>
      <c r="D63" s="356">
        <v>2796259.6325663994</v>
      </c>
      <c r="E63" s="20">
        <v>378412.0</v>
      </c>
      <c r="F63" s="20">
        <v>567616.0</v>
      </c>
      <c r="G63" s="247">
        <v>1482000.0</v>
      </c>
      <c r="H63" s="329"/>
      <c r="I63" s="43">
        <f t="shared" si="2"/>
        <v>5224287.6425664</v>
      </c>
    </row>
    <row r="64" spans="8:8">
      <c r="A64" s="3" t="s">
        <v>74</v>
      </c>
      <c r="B64" s="4" t="s">
        <v>65</v>
      </c>
      <c r="C64" s="356">
        <v>0.01</v>
      </c>
      <c r="D64" s="356">
        <v>2975642.32597632</v>
      </c>
      <c r="E64" s="20">
        <v>378412.0</v>
      </c>
      <c r="F64" s="20">
        <v>567616.0</v>
      </c>
      <c r="G64" s="247">
        <v>1482000.0</v>
      </c>
      <c r="H64" s="329"/>
      <c r="I64" s="43">
        <f t="shared" si="2"/>
        <v>5403670.335976319</v>
      </c>
    </row>
    <row r="65" spans="8:8">
      <c r="A65" s="3" t="s">
        <v>75</v>
      </c>
      <c r="B65" s="4" t="s">
        <v>65</v>
      </c>
      <c r="C65" s="356">
        <v>0.01</v>
      </c>
      <c r="D65" s="356">
        <v>4590086.566665599</v>
      </c>
      <c r="E65" s="20">
        <v>378412.0</v>
      </c>
      <c r="F65" s="20">
        <v>567616.0</v>
      </c>
      <c r="G65" s="247">
        <v>1482000.0</v>
      </c>
      <c r="H65" s="329"/>
      <c r="I65" s="43">
        <f t="shared" si="2"/>
        <v>7018114.576665599</v>
      </c>
    </row>
    <row r="66" spans="8:8">
      <c r="A66" s="3" t="s">
        <v>76</v>
      </c>
      <c r="B66" s="4" t="s">
        <v>65</v>
      </c>
      <c r="C66" s="356">
        <v>0.01</v>
      </c>
      <c r="D66" s="356">
        <v>2796259.6325663994</v>
      </c>
      <c r="E66" s="20">
        <v>378412.0</v>
      </c>
      <c r="F66" s="20">
        <v>567616.0</v>
      </c>
      <c r="G66" s="247">
        <v>1482000.0</v>
      </c>
      <c r="H66" s="329"/>
      <c r="I66" s="43">
        <f t="shared" si="2"/>
        <v>5224287.6425664</v>
      </c>
    </row>
    <row r="67" spans="8:8">
      <c r="A67" s="3" t="s">
        <v>77</v>
      </c>
      <c r="B67" s="4" t="s">
        <v>65</v>
      </c>
      <c r="C67" s="356">
        <v>0.01</v>
      </c>
      <c r="D67" s="356">
        <v>2975642.32597632</v>
      </c>
      <c r="E67" s="20">
        <v>378412.0</v>
      </c>
      <c r="F67" s="20">
        <v>567616.0</v>
      </c>
      <c r="G67" s="247">
        <v>1482000.0</v>
      </c>
      <c r="H67" s="329"/>
      <c r="I67" s="43">
        <f t="shared" si="2"/>
        <v>5403670.335976319</v>
      </c>
    </row>
    <row r="68" spans="8:8">
      <c r="A68" s="3" t="s">
        <v>78</v>
      </c>
      <c r="B68" s="4" t="s">
        <v>65</v>
      </c>
      <c r="C68" s="356">
        <v>0.01</v>
      </c>
      <c r="D68" s="356">
        <v>3292200.0202291203</v>
      </c>
      <c r="E68" s="20">
        <v>378412.0</v>
      </c>
      <c r="F68" s="20">
        <v>567616.0</v>
      </c>
      <c r="G68" s="247">
        <v>1482000.0</v>
      </c>
      <c r="H68" s="329"/>
      <c r="I68" s="43">
        <f t="shared" si="2"/>
        <v>5720228.03022912</v>
      </c>
    </row>
    <row r="69" spans="8:8">
      <c r="A69" s="3" t="s">
        <v>79</v>
      </c>
      <c r="B69" s="4" t="s">
        <v>65</v>
      </c>
      <c r="C69" s="356">
        <v>0.01</v>
      </c>
      <c r="D69" s="356">
        <v>3629861.56076544</v>
      </c>
      <c r="E69" s="20">
        <v>378412.0</v>
      </c>
      <c r="F69" s="20">
        <v>567616.0</v>
      </c>
      <c r="G69" s="247">
        <v>1482000.0</v>
      </c>
      <c r="H69" s="329"/>
      <c r="I69" s="43">
        <f t="shared" si="2"/>
        <v>6057889.570765439</v>
      </c>
    </row>
    <row r="70" spans="8:8">
      <c r="A70" s="3" t="s">
        <v>80</v>
      </c>
      <c r="B70" s="4" t="s">
        <v>65</v>
      </c>
      <c r="C70" s="356">
        <v>0.01</v>
      </c>
      <c r="D70" s="356">
        <v>2796259.6325663994</v>
      </c>
      <c r="E70" s="20">
        <v>378412.0</v>
      </c>
      <c r="F70" s="20">
        <v>567616.0</v>
      </c>
      <c r="G70" s="247">
        <v>1482000.0</v>
      </c>
      <c r="H70" s="329"/>
      <c r="I70" s="43">
        <f t="shared" si="2"/>
        <v>5224287.6425664</v>
      </c>
    </row>
    <row r="71" spans="8:8">
      <c r="A71" s="3" t="s">
        <v>81</v>
      </c>
      <c r="B71" s="4" t="s">
        <v>65</v>
      </c>
      <c r="C71" s="356">
        <v>0.01</v>
      </c>
      <c r="D71" s="356">
        <v>2975642.32597632</v>
      </c>
      <c r="E71" s="20">
        <v>378412.0</v>
      </c>
      <c r="F71" s="20">
        <v>567616.0</v>
      </c>
      <c r="G71" s="247">
        <v>1482000.0</v>
      </c>
      <c r="H71" s="329"/>
      <c r="I71" s="43">
        <f t="shared" si="2"/>
        <v>5403670.335976319</v>
      </c>
    </row>
    <row r="72" spans="8:8">
      <c r="A72" s="3" t="s">
        <v>82</v>
      </c>
      <c r="B72" s="4" t="s">
        <v>65</v>
      </c>
      <c r="C72" s="356">
        <v>0.01</v>
      </c>
      <c r="D72" s="356">
        <v>5592519.265132799</v>
      </c>
      <c r="E72" s="20">
        <v>378412.0</v>
      </c>
      <c r="F72" s="20">
        <v>567616.0</v>
      </c>
      <c r="G72" s="247">
        <v>1482000.0</v>
      </c>
      <c r="H72" s="329"/>
      <c r="I72" s="43">
        <f t="shared" si="2"/>
        <v>8020547.275132799</v>
      </c>
    </row>
    <row r="73" spans="8:8">
      <c r="A73" s="3" t="s">
        <v>83</v>
      </c>
      <c r="B73" s="4" t="s">
        <v>65</v>
      </c>
      <c r="C73" s="356">
        <v>0.01</v>
      </c>
      <c r="D73" s="356">
        <v>5951284.65195264</v>
      </c>
      <c r="E73" s="20">
        <v>378412.0</v>
      </c>
      <c r="F73" s="20">
        <v>567616.0</v>
      </c>
      <c r="G73" s="247">
        <v>1482000.0</v>
      </c>
      <c r="H73" s="329"/>
      <c r="I73" s="43">
        <f t="shared" si="2"/>
        <v>8379312.66195264</v>
      </c>
    </row>
    <row r="74" spans="8:8">
      <c r="A74" s="3" t="s">
        <v>84</v>
      </c>
      <c r="B74" s="4" t="s">
        <v>65</v>
      </c>
      <c r="C74" s="356">
        <v>0.01</v>
      </c>
      <c r="D74" s="356">
        <v>2975642.32597632</v>
      </c>
      <c r="E74" s="20">
        <v>378412.0</v>
      </c>
      <c r="F74" s="20">
        <v>567616.0</v>
      </c>
      <c r="G74" s="247">
        <v>1482000.0</v>
      </c>
      <c r="H74" s="329"/>
      <c r="I74" s="43">
        <f>SUM(C74:H74)</f>
        <v>5403670.335976319</v>
      </c>
    </row>
    <row r="75" spans="8:8">
      <c r="A75" s="3" t="s">
        <v>85</v>
      </c>
      <c r="B75" s="4" t="s">
        <v>65</v>
      </c>
      <c r="C75" s="356">
        <v>0.01</v>
      </c>
      <c r="D75" s="356">
        <v>5951284.65195264</v>
      </c>
      <c r="E75" s="20">
        <v>378412.0</v>
      </c>
      <c r="F75" s="20">
        <v>567616.0</v>
      </c>
      <c r="G75" s="247">
        <v>1482000.0</v>
      </c>
      <c r="H75" s="329"/>
      <c r="I75" s="43">
        <f>SUM(C75:H75)</f>
        <v>8379312.66195264</v>
      </c>
    </row>
    <row r="76" spans="8:8">
      <c r="A76" s="15" t="s">
        <v>86</v>
      </c>
      <c r="B76" s="16" t="s">
        <v>65</v>
      </c>
      <c r="C76" s="356">
        <v>0.01</v>
      </c>
      <c r="D76" s="356">
        <v>2975642.32597632</v>
      </c>
      <c r="E76" s="20">
        <v>378412.0</v>
      </c>
      <c r="F76" s="20">
        <v>567616.0</v>
      </c>
      <c r="G76" s="247">
        <v>1482000.0</v>
      </c>
      <c r="H76" s="329"/>
      <c r="I76" s="43">
        <f t="shared" si="3" ref="I76:I113">SUM(C76:G76)</f>
        <v>5403670.335976319</v>
      </c>
    </row>
    <row r="77" spans="8:8" s="49" ht="15.0" customFormat="1">
      <c r="A77" s="15" t="s">
        <v>87</v>
      </c>
      <c r="B77" s="16" t="s">
        <v>65</v>
      </c>
      <c r="C77" s="356">
        <v>0.01</v>
      </c>
      <c r="D77" s="356">
        <v>3292200.0202291203</v>
      </c>
      <c r="E77" s="20">
        <v>378412.0</v>
      </c>
      <c r="F77" s="20">
        <v>567616.0</v>
      </c>
      <c r="G77" s="247">
        <v>1482000.0</v>
      </c>
      <c r="H77" s="329"/>
      <c r="I77" s="241">
        <f t="shared" si="3"/>
        <v>5720228.03022912</v>
      </c>
    </row>
    <row r="78" spans="8:8">
      <c r="A78" s="15" t="s">
        <v>88</v>
      </c>
      <c r="B78" s="16" t="s">
        <v>65</v>
      </c>
      <c r="C78" s="356">
        <v>0.01</v>
      </c>
      <c r="D78" s="356">
        <v>3629861.56076544</v>
      </c>
      <c r="E78" s="20">
        <v>378412.0</v>
      </c>
      <c r="F78" s="20">
        <v>567616.0</v>
      </c>
      <c r="G78" s="247">
        <v>1482000.0</v>
      </c>
      <c r="H78" s="329"/>
      <c r="I78" s="43">
        <f t="shared" si="3"/>
        <v>6057889.570765439</v>
      </c>
    </row>
    <row r="79" spans="8:8">
      <c r="A79" s="15" t="s">
        <v>89</v>
      </c>
      <c r="B79" s="16" t="s">
        <v>65</v>
      </c>
      <c r="C79" s="356">
        <v>0.01</v>
      </c>
      <c r="D79" s="356">
        <v>4115250.0252863998</v>
      </c>
      <c r="E79" s="20">
        <v>378412.0</v>
      </c>
      <c r="F79" s="20">
        <v>567616.0</v>
      </c>
      <c r="G79" s="247">
        <v>1482000.0</v>
      </c>
      <c r="H79" s="329"/>
      <c r="I79" s="43">
        <f t="shared" si="3"/>
        <v>6543278.0352864</v>
      </c>
    </row>
    <row r="80" spans="8:8">
      <c r="A80" s="15" t="s">
        <v>90</v>
      </c>
      <c r="B80" s="16" t="s">
        <v>65</v>
      </c>
      <c r="C80" s="356">
        <v>0.01</v>
      </c>
      <c r="D80" s="356">
        <v>4421255.796397439</v>
      </c>
      <c r="E80" s="20">
        <v>378412.0</v>
      </c>
      <c r="F80" s="20">
        <v>567616.0</v>
      </c>
      <c r="G80" s="247">
        <v>1482000.0</v>
      </c>
      <c r="H80" s="329"/>
      <c r="I80" s="43">
        <f t="shared" si="3"/>
        <v>6849283.806397439</v>
      </c>
    </row>
    <row r="81" spans="8:8">
      <c r="A81" s="15" t="s">
        <v>91</v>
      </c>
      <c r="B81" s="16" t="s">
        <v>65</v>
      </c>
      <c r="C81" s="356">
        <v>0.01</v>
      </c>
      <c r="D81" s="356">
        <v>4685053.874941439</v>
      </c>
      <c r="E81" s="20">
        <v>378412.0</v>
      </c>
      <c r="F81" s="20">
        <v>567616.0</v>
      </c>
      <c r="G81" s="247">
        <v>1482000.0</v>
      </c>
      <c r="H81" s="329"/>
      <c r="I81" s="43">
        <f t="shared" si="3"/>
        <v>7113081.884941439</v>
      </c>
    </row>
    <row r="82" spans="8:8">
      <c r="A82" s="15" t="s">
        <v>92</v>
      </c>
      <c r="B82" s="16" t="s">
        <v>65</v>
      </c>
      <c r="C82" s="356">
        <v>0.01</v>
      </c>
      <c r="D82" s="356">
        <v>2796259.6325663994</v>
      </c>
      <c r="E82" s="20">
        <v>378412.0</v>
      </c>
      <c r="F82" s="20">
        <v>567616.0</v>
      </c>
      <c r="G82" s="247">
        <v>1482000.0</v>
      </c>
      <c r="H82" s="329"/>
      <c r="I82" s="43">
        <f t="shared" si="3"/>
        <v>5224287.6425664</v>
      </c>
    </row>
    <row r="83" spans="8:8">
      <c r="A83" s="15" t="s">
        <v>93</v>
      </c>
      <c r="B83" s="16" t="s">
        <v>65</v>
      </c>
      <c r="C83" s="356">
        <v>0.01</v>
      </c>
      <c r="D83" s="356">
        <v>2975642.32597632</v>
      </c>
      <c r="E83" s="20">
        <v>378412.0</v>
      </c>
      <c r="F83" s="20">
        <v>567616.0</v>
      </c>
      <c r="G83" s="247">
        <v>1482000.0</v>
      </c>
      <c r="H83" s="329"/>
      <c r="I83" s="43">
        <f t="shared" si="3"/>
        <v>5403670.335976319</v>
      </c>
    </row>
    <row r="84" spans="8:8">
      <c r="A84" s="15" t="s">
        <v>94</v>
      </c>
      <c r="B84" s="16" t="s">
        <v>65</v>
      </c>
      <c r="C84" s="356">
        <v>0.01</v>
      </c>
      <c r="D84" s="356">
        <v>3629861.56076544</v>
      </c>
      <c r="E84" s="20">
        <v>378412.0</v>
      </c>
      <c r="F84" s="20">
        <v>567616.0</v>
      </c>
      <c r="G84" s="247">
        <v>1482000.0</v>
      </c>
      <c r="H84" s="329"/>
      <c r="I84" s="43">
        <f t="shared" si="3"/>
        <v>6057889.570765439</v>
      </c>
    </row>
    <row r="85" spans="8:8">
      <c r="A85" s="15" t="s">
        <v>95</v>
      </c>
      <c r="B85" s="16" t="s">
        <v>65</v>
      </c>
      <c r="C85" s="356">
        <v>0.01</v>
      </c>
      <c r="D85" s="356">
        <v>2975642.32597632</v>
      </c>
      <c r="E85" s="20">
        <v>378412.0</v>
      </c>
      <c r="F85" s="20">
        <v>567616.0</v>
      </c>
      <c r="G85" s="247">
        <v>1482000.0</v>
      </c>
      <c r="H85" s="329"/>
      <c r="I85" s="43">
        <f t="shared" si="3"/>
        <v>5403670.335976319</v>
      </c>
    </row>
    <row r="86" spans="8:8">
      <c r="A86" s="15" t="s">
        <v>96</v>
      </c>
      <c r="B86" s="16" t="s">
        <v>65</v>
      </c>
      <c r="C86" s="356">
        <v>0.01</v>
      </c>
      <c r="D86" s="356">
        <v>3629861.56076544</v>
      </c>
      <c r="E86" s="20">
        <v>378412.0</v>
      </c>
      <c r="F86" s="20">
        <v>567616.0</v>
      </c>
      <c r="G86" s="247">
        <v>1482000.0</v>
      </c>
      <c r="H86" s="329"/>
      <c r="I86" s="43">
        <f t="shared" si="3"/>
        <v>6057889.570765439</v>
      </c>
    </row>
    <row r="87" spans="8:8">
      <c r="A87" s="15" t="s">
        <v>97</v>
      </c>
      <c r="B87" s="16" t="s">
        <v>65</v>
      </c>
      <c r="C87" s="356">
        <v>0.01</v>
      </c>
      <c r="D87" s="356">
        <v>2796259.6325663994</v>
      </c>
      <c r="E87" s="20">
        <v>378412.0</v>
      </c>
      <c r="F87" s="20">
        <v>567616.0</v>
      </c>
      <c r="G87" s="247">
        <v>1482000.0</v>
      </c>
      <c r="H87" s="329"/>
      <c r="I87" s="43">
        <f t="shared" si="3"/>
        <v>5224287.6425664</v>
      </c>
    </row>
    <row r="88" spans="8:8">
      <c r="A88" s="15" t="s">
        <v>98</v>
      </c>
      <c r="B88" s="16" t="s">
        <v>65</v>
      </c>
      <c r="C88" s="356">
        <v>0.01</v>
      </c>
      <c r="D88" s="356">
        <v>2975642.32597632</v>
      </c>
      <c r="E88" s="20">
        <v>378412.0</v>
      </c>
      <c r="F88" s="20">
        <v>567616.0</v>
      </c>
      <c r="G88" s="247">
        <v>1482000.0</v>
      </c>
      <c r="H88" s="329"/>
      <c r="I88" s="43">
        <f t="shared" si="3"/>
        <v>5403670.335976319</v>
      </c>
    </row>
    <row r="89" spans="8:8" s="49" ht="15.0" customFormat="1">
      <c r="A89" s="15" t="s">
        <v>99</v>
      </c>
      <c r="B89" s="16" t="s">
        <v>65</v>
      </c>
      <c r="C89" s="356">
        <v>0.01</v>
      </c>
      <c r="D89" s="356">
        <v>3629861.56076544</v>
      </c>
      <c r="E89" s="20">
        <v>378412.0</v>
      </c>
      <c r="F89" s="20">
        <v>567616.0</v>
      </c>
      <c r="G89" s="247">
        <v>1482000.0</v>
      </c>
      <c r="H89" s="329"/>
      <c r="I89" s="43">
        <f t="shared" si="3"/>
        <v>6057889.570765439</v>
      </c>
    </row>
    <row r="90" spans="8:8">
      <c r="A90" s="15" t="s">
        <v>100</v>
      </c>
      <c r="B90" s="16" t="s">
        <v>65</v>
      </c>
      <c r="C90" s="356">
        <v>0.01</v>
      </c>
      <c r="D90" s="356">
        <v>4421255.796397439</v>
      </c>
      <c r="E90" s="20">
        <v>378412.0</v>
      </c>
      <c r="F90" s="20">
        <v>567616.0</v>
      </c>
      <c r="G90" s="247">
        <v>1482000.0</v>
      </c>
      <c r="H90" s="329"/>
      <c r="I90" s="43">
        <f t="shared" si="3"/>
        <v>6849283.806397439</v>
      </c>
    </row>
    <row r="91" spans="8:8">
      <c r="A91" s="15" t="s">
        <v>101</v>
      </c>
      <c r="B91" s="16" t="s">
        <v>65</v>
      </c>
      <c r="C91" s="356">
        <v>0.01</v>
      </c>
      <c r="D91" s="356">
        <v>4685053.874941439</v>
      </c>
      <c r="E91" s="20">
        <v>378412.0</v>
      </c>
      <c r="F91" s="20">
        <v>567616.0</v>
      </c>
      <c r="G91" s="247">
        <v>1482000.0</v>
      </c>
      <c r="H91" s="329"/>
      <c r="I91" s="43">
        <f t="shared" si="3"/>
        <v>7113081.884941439</v>
      </c>
    </row>
    <row r="92" spans="8:8">
      <c r="A92" s="15" t="s">
        <v>102</v>
      </c>
      <c r="B92" s="16" t="s">
        <v>65</v>
      </c>
      <c r="C92" s="356">
        <v>0.01</v>
      </c>
      <c r="D92" s="356">
        <v>2943986.556551039</v>
      </c>
      <c r="E92" s="20">
        <v>378412.0</v>
      </c>
      <c r="F92" s="20">
        <v>567616.0</v>
      </c>
      <c r="G92" s="247">
        <v>1482000.0</v>
      </c>
      <c r="H92" s="329"/>
      <c r="I92" s="43">
        <f t="shared" si="3"/>
        <v>5372014.566551039</v>
      </c>
    </row>
    <row r="93" spans="8:8">
      <c r="A93" s="15" t="s">
        <v>103</v>
      </c>
      <c r="B93" s="16" t="s">
        <v>65</v>
      </c>
      <c r="C93" s="356">
        <v>0.01</v>
      </c>
      <c r="D93" s="356">
        <v>2796259.6325663994</v>
      </c>
      <c r="E93" s="20">
        <v>378412.0</v>
      </c>
      <c r="F93" s="20">
        <v>567616.0</v>
      </c>
      <c r="G93" s="247">
        <v>1482000.0</v>
      </c>
      <c r="H93" s="329"/>
      <c r="I93" s="43">
        <f t="shared" si="3"/>
        <v>5224287.6425664</v>
      </c>
    </row>
    <row r="94" spans="8:8">
      <c r="A94" s="15" t="s">
        <v>104</v>
      </c>
      <c r="B94" s="16" t="s">
        <v>65</v>
      </c>
      <c r="C94" s="356">
        <v>0.01</v>
      </c>
      <c r="D94" s="356">
        <v>2975642.32597632</v>
      </c>
      <c r="E94" s="20">
        <v>378412.0</v>
      </c>
      <c r="F94" s="20">
        <v>567616.0</v>
      </c>
      <c r="G94" s="247">
        <v>1482000.0</v>
      </c>
      <c r="H94" s="329"/>
      <c r="I94" s="43">
        <f t="shared" si="3"/>
        <v>5403670.335976319</v>
      </c>
    </row>
    <row r="95" spans="8:8" s="49" ht="15.0" customFormat="1">
      <c r="A95" s="3" t="s">
        <v>105</v>
      </c>
      <c r="B95" s="4" t="s">
        <v>65</v>
      </c>
      <c r="C95" s="356">
        <v>0.01</v>
      </c>
      <c r="D95" s="356">
        <v>3292200.0202291203</v>
      </c>
      <c r="E95" s="20">
        <v>378412.0</v>
      </c>
      <c r="F95" s="20">
        <v>567616.0</v>
      </c>
      <c r="G95" s="247">
        <v>1482000.0</v>
      </c>
      <c r="H95" s="329"/>
      <c r="I95" s="241">
        <f t="shared" si="3"/>
        <v>5720228.03022912</v>
      </c>
    </row>
    <row r="96" spans="8:8">
      <c r="A96" s="3" t="s">
        <v>108</v>
      </c>
      <c r="B96" s="4" t="s">
        <v>65</v>
      </c>
      <c r="C96" s="356">
        <v>0.01</v>
      </c>
      <c r="D96" s="356">
        <v>2975642.32597632</v>
      </c>
      <c r="E96" s="20">
        <v>378412.0</v>
      </c>
      <c r="F96" s="20">
        <v>567616.0</v>
      </c>
      <c r="G96" s="247">
        <v>1482000.0</v>
      </c>
      <c r="H96" s="329"/>
      <c r="I96" s="43">
        <f t="shared" si="3"/>
        <v>5403670.335976319</v>
      </c>
    </row>
    <row r="97" spans="8:8">
      <c r="A97" s="3" t="s">
        <v>109</v>
      </c>
      <c r="B97" s="4" t="s">
        <v>65</v>
      </c>
      <c r="C97" s="356">
        <v>0.01</v>
      </c>
      <c r="D97" s="356">
        <v>3292200.0202291203</v>
      </c>
      <c r="E97" s="20">
        <v>378412.0</v>
      </c>
      <c r="F97" s="20">
        <v>567616.0</v>
      </c>
      <c r="G97" s="247">
        <v>1482000.0</v>
      </c>
      <c r="H97" s="329"/>
      <c r="I97" s="43">
        <f t="shared" si="3"/>
        <v>5720228.03022912</v>
      </c>
    </row>
    <row r="98" spans="8:8">
      <c r="A98" s="3" t="s">
        <v>110</v>
      </c>
      <c r="B98" s="4" t="s">
        <v>65</v>
      </c>
      <c r="C98" s="356">
        <v>1.595022E7</v>
      </c>
      <c r="D98" s="356">
        <v>2732948.0937158396</v>
      </c>
      <c r="E98" s="20">
        <v>378412.0</v>
      </c>
      <c r="F98" s="20">
        <v>567616.0</v>
      </c>
      <c r="G98" s="247">
        <v>1482000.0</v>
      </c>
      <c r="H98" s="329"/>
      <c r="I98" s="43">
        <f t="shared" si="3"/>
        <v>2.111119609371584E7</v>
      </c>
    </row>
    <row r="99" spans="8:8">
      <c r="A99" s="3" t="s">
        <v>111</v>
      </c>
      <c r="B99" s="4" t="s">
        <v>65</v>
      </c>
      <c r="C99" s="356">
        <v>0.01</v>
      </c>
      <c r="D99" s="356">
        <v>2796259.6325663994</v>
      </c>
      <c r="E99" s="20">
        <v>378412.0</v>
      </c>
      <c r="F99" s="20">
        <v>567616.0</v>
      </c>
      <c r="G99" s="247">
        <v>1482000.0</v>
      </c>
      <c r="H99" s="329"/>
      <c r="I99" s="43">
        <f t="shared" si="3"/>
        <v>5224287.6425664</v>
      </c>
    </row>
    <row r="100" spans="8:8">
      <c r="A100" s="3" t="s">
        <v>112</v>
      </c>
      <c r="B100" s="4" t="s">
        <v>65</v>
      </c>
      <c r="C100" s="356">
        <v>0.01</v>
      </c>
      <c r="D100" s="356">
        <v>2975642.32597632</v>
      </c>
      <c r="E100" s="20">
        <v>378412.0</v>
      </c>
      <c r="F100" s="20">
        <v>567616.0</v>
      </c>
      <c r="G100" s="247">
        <v>1482000.0</v>
      </c>
      <c r="H100" s="329"/>
      <c r="I100" s="43">
        <f t="shared" si="3"/>
        <v>5403670.335976319</v>
      </c>
    </row>
    <row r="101" spans="8:8">
      <c r="A101" s="3" t="s">
        <v>113</v>
      </c>
      <c r="B101" s="4" t="s">
        <v>65</v>
      </c>
      <c r="C101" s="356">
        <v>0.01</v>
      </c>
      <c r="D101" s="356">
        <v>3292200.0202291203</v>
      </c>
      <c r="E101" s="20">
        <v>378412.0</v>
      </c>
      <c r="F101" s="20">
        <v>567616.0</v>
      </c>
      <c r="G101" s="247">
        <v>1482000.0</v>
      </c>
      <c r="H101" s="329"/>
      <c r="I101" s="43">
        <f t="shared" si="3"/>
        <v>5720228.03022912</v>
      </c>
    </row>
    <row r="102" spans="8:8">
      <c r="A102" s="3" t="s">
        <v>114</v>
      </c>
      <c r="B102" s="4" t="s">
        <v>65</v>
      </c>
      <c r="C102" s="356">
        <v>0.01</v>
      </c>
      <c r="D102" s="356">
        <v>2796259.6325663994</v>
      </c>
      <c r="E102" s="20">
        <v>378412.0</v>
      </c>
      <c r="F102" s="20">
        <v>567616.0</v>
      </c>
      <c r="G102" s="247">
        <v>1482000.0</v>
      </c>
      <c r="H102" s="329"/>
      <c r="I102" s="43">
        <f t="shared" si="3"/>
        <v>5224287.6425664</v>
      </c>
    </row>
    <row r="103" spans="8:8">
      <c r="A103" s="3" t="s">
        <v>115</v>
      </c>
      <c r="B103" s="4" t="s">
        <v>65</v>
      </c>
      <c r="C103" s="356">
        <v>0.01</v>
      </c>
      <c r="D103" s="356">
        <v>2975642.32597632</v>
      </c>
      <c r="E103" s="20">
        <v>378412.0</v>
      </c>
      <c r="F103" s="20">
        <v>567616.0</v>
      </c>
      <c r="G103" s="247">
        <v>1482000.0</v>
      </c>
      <c r="H103" s="329"/>
      <c r="I103" s="43">
        <f t="shared" si="3"/>
        <v>5403670.335976319</v>
      </c>
    </row>
    <row r="104" spans="8:8">
      <c r="A104" s="3" t="s">
        <v>116</v>
      </c>
      <c r="B104" s="4" t="s">
        <v>65</v>
      </c>
      <c r="C104" s="356">
        <v>0.01</v>
      </c>
      <c r="D104" s="356">
        <v>3292200.0202291203</v>
      </c>
      <c r="E104" s="20">
        <v>378412.0</v>
      </c>
      <c r="F104" s="20">
        <v>567616.0</v>
      </c>
      <c r="G104" s="247">
        <v>1482000.0</v>
      </c>
      <c r="H104" s="329"/>
      <c r="I104" s="43">
        <f t="shared" si="3"/>
        <v>5720228.03022912</v>
      </c>
    </row>
    <row r="105" spans="8:8">
      <c r="A105" s="3" t="s">
        <v>117</v>
      </c>
      <c r="B105" s="4" t="s">
        <v>65</v>
      </c>
      <c r="C105" s="356">
        <v>0.01</v>
      </c>
      <c r="D105" s="356">
        <v>2975642.32597632</v>
      </c>
      <c r="E105" s="20">
        <v>378412.0</v>
      </c>
      <c r="F105" s="20">
        <v>567616.0</v>
      </c>
      <c r="G105" s="247">
        <v>1482000.0</v>
      </c>
      <c r="H105" s="329"/>
      <c r="I105" s="43">
        <f t="shared" si="3"/>
        <v>5403670.335976319</v>
      </c>
    </row>
    <row r="106" spans="8:8">
      <c r="A106" s="3" t="s">
        <v>118</v>
      </c>
      <c r="B106" s="4" t="s">
        <v>65</v>
      </c>
      <c r="C106" s="356">
        <v>0.01</v>
      </c>
      <c r="D106" s="356">
        <v>2796259.6325663994</v>
      </c>
      <c r="E106" s="20">
        <v>378412.0</v>
      </c>
      <c r="F106" s="20">
        <v>567616.0</v>
      </c>
      <c r="G106" s="247">
        <v>1482000.0</v>
      </c>
      <c r="H106" s="329"/>
      <c r="I106" s="43">
        <f t="shared" si="3"/>
        <v>5224287.6425664</v>
      </c>
    </row>
    <row r="107" spans="8:8">
      <c r="A107" s="3" t="s">
        <v>119</v>
      </c>
      <c r="B107" s="4" t="s">
        <v>65</v>
      </c>
      <c r="C107" s="356">
        <v>0.01</v>
      </c>
      <c r="D107" s="356">
        <v>2975642.32597632</v>
      </c>
      <c r="E107" s="20">
        <v>378412.0</v>
      </c>
      <c r="F107" s="20">
        <v>567616.0</v>
      </c>
      <c r="G107" s="247">
        <v>1482000.0</v>
      </c>
      <c r="H107" s="329"/>
      <c r="I107" s="43">
        <f t="shared" si="3"/>
        <v>5403670.335976319</v>
      </c>
    </row>
    <row r="108" spans="8:8">
      <c r="A108" s="3" t="s">
        <v>120</v>
      </c>
      <c r="B108" s="4" t="s">
        <v>65</v>
      </c>
      <c r="C108" s="356">
        <v>0.01</v>
      </c>
      <c r="D108" s="356">
        <v>5592519.265132799</v>
      </c>
      <c r="E108" s="20">
        <v>378412.0</v>
      </c>
      <c r="F108" s="20">
        <v>567616.0</v>
      </c>
      <c r="G108" s="247">
        <v>1482000.0</v>
      </c>
      <c r="H108" s="329"/>
      <c r="I108" s="43">
        <f t="shared" si="3"/>
        <v>8020547.275132799</v>
      </c>
    </row>
    <row r="109" spans="8:8">
      <c r="A109" s="3" t="s">
        <v>121</v>
      </c>
      <c r="B109" s="4" t="s">
        <v>65</v>
      </c>
      <c r="C109" s="356">
        <v>0.01</v>
      </c>
      <c r="D109" s="356">
        <v>5951284.65195264</v>
      </c>
      <c r="E109" s="20">
        <v>378412.0</v>
      </c>
      <c r="F109" s="20">
        <v>567616.0</v>
      </c>
      <c r="G109" s="247">
        <v>1482000.0</v>
      </c>
      <c r="H109" s="329"/>
      <c r="I109" s="43">
        <f t="shared" si="3"/>
        <v>8379312.66195264</v>
      </c>
    </row>
    <row r="110" spans="8:8">
      <c r="A110" s="3" t="s">
        <v>122</v>
      </c>
      <c r="B110" s="4" t="s">
        <v>65</v>
      </c>
      <c r="C110" s="356">
        <v>0.01</v>
      </c>
      <c r="D110" s="356">
        <v>2796259.6325663994</v>
      </c>
      <c r="E110" s="20">
        <v>378412.0</v>
      </c>
      <c r="F110" s="20">
        <v>567616.0</v>
      </c>
      <c r="G110" s="247">
        <v>1482000.0</v>
      </c>
      <c r="H110" s="329"/>
      <c r="I110" s="43">
        <f t="shared" si="3"/>
        <v>5224287.6425664</v>
      </c>
    </row>
    <row r="111" spans="8:8">
      <c r="A111" s="3" t="s">
        <v>123</v>
      </c>
      <c r="B111" s="4" t="s">
        <v>65</v>
      </c>
      <c r="C111" s="356">
        <v>0.01</v>
      </c>
      <c r="D111" s="356">
        <v>2975642.32597632</v>
      </c>
      <c r="E111" s="20">
        <v>378412.0</v>
      </c>
      <c r="F111" s="20">
        <v>567616.0</v>
      </c>
      <c r="G111" s="247">
        <v>1482000.0</v>
      </c>
      <c r="H111" s="329"/>
      <c r="I111" s="43">
        <f t="shared" si="3"/>
        <v>5403670.335976319</v>
      </c>
    </row>
    <row r="112" spans="8:8">
      <c r="A112" s="3" t="s">
        <v>124</v>
      </c>
      <c r="B112" s="4" t="s">
        <v>65</v>
      </c>
      <c r="C112" s="356">
        <v>0.01</v>
      </c>
      <c r="D112" s="356">
        <v>3292200.0202291203</v>
      </c>
      <c r="E112" s="20">
        <v>378412.0</v>
      </c>
      <c r="F112" s="20">
        <v>567616.0</v>
      </c>
      <c r="G112" s="247">
        <v>1482000.0</v>
      </c>
      <c r="H112" s="329"/>
      <c r="I112" s="43">
        <f t="shared" si="3"/>
        <v>5720228.03022912</v>
      </c>
    </row>
    <row r="113" spans="8:8">
      <c r="A113" s="3" t="s">
        <v>125</v>
      </c>
      <c r="B113" s="4" t="s">
        <v>65</v>
      </c>
      <c r="C113" s="356">
        <v>0.01</v>
      </c>
      <c r="D113" s="356">
        <v>3629861.56076544</v>
      </c>
      <c r="E113" s="20">
        <v>378412.0</v>
      </c>
      <c r="F113" s="20">
        <v>567616.0</v>
      </c>
      <c r="G113" s="247">
        <v>1482000.0</v>
      </c>
      <c r="H113" s="329"/>
      <c r="I113" s="43">
        <f t="shared" si="3"/>
        <v>6057889.570765439</v>
      </c>
    </row>
    <row r="114" spans="8:8">
      <c r="A114" s="3" t="s">
        <v>126</v>
      </c>
      <c r="B114" s="4" t="s">
        <v>65</v>
      </c>
      <c r="C114" s="356">
        <v>0.01</v>
      </c>
      <c r="D114" s="356">
        <v>4115250.0252863998</v>
      </c>
      <c r="E114" s="20">
        <v>378412.0</v>
      </c>
      <c r="F114" s="20">
        <v>567616.0</v>
      </c>
      <c r="G114" s="247">
        <v>1482000.0</v>
      </c>
      <c r="H114" s="329"/>
      <c r="I114" s="43">
        <f t="shared" si="4" ref="I114:I177">SUM(C114:H114)</f>
        <v>6543278.0352864</v>
      </c>
    </row>
    <row r="115" spans="8:8">
      <c r="A115" s="3" t="s">
        <v>127</v>
      </c>
      <c r="B115" s="4" t="s">
        <v>65</v>
      </c>
      <c r="C115" s="356">
        <v>0.01</v>
      </c>
      <c r="D115" s="356">
        <v>5592519.265132799</v>
      </c>
      <c r="E115" s="20">
        <v>378412.0</v>
      </c>
      <c r="F115" s="20">
        <v>567616.0</v>
      </c>
      <c r="G115" s="247">
        <v>1482000.0</v>
      </c>
      <c r="H115" s="329"/>
      <c r="I115" s="43">
        <f t="shared" si="4"/>
        <v>8020547.275132799</v>
      </c>
    </row>
    <row r="116" spans="8:8">
      <c r="A116" s="3" t="s">
        <v>128</v>
      </c>
      <c r="B116" s="4" t="s">
        <v>65</v>
      </c>
      <c r="C116" s="356">
        <v>0.01</v>
      </c>
      <c r="D116" s="356">
        <v>5951284.65195264</v>
      </c>
      <c r="E116" s="20">
        <v>378412.0</v>
      </c>
      <c r="F116" s="20">
        <v>567616.0</v>
      </c>
      <c r="G116" s="247">
        <v>1482000.0</v>
      </c>
      <c r="H116" s="329"/>
      <c r="I116" s="43">
        <f t="shared" si="4"/>
        <v>8379312.66195264</v>
      </c>
    </row>
    <row r="117" spans="8:8">
      <c r="A117" s="3" t="s">
        <v>129</v>
      </c>
      <c r="B117" s="4" t="s">
        <v>65</v>
      </c>
      <c r="C117" s="356">
        <v>0.01</v>
      </c>
      <c r="D117" s="356">
        <v>6584400.040458241</v>
      </c>
      <c r="E117" s="20">
        <v>378412.0</v>
      </c>
      <c r="F117" s="20">
        <v>567616.0</v>
      </c>
      <c r="G117" s="247">
        <v>1482000.0</v>
      </c>
      <c r="H117" s="329"/>
      <c r="I117" s="43">
        <f t="shared" si="4"/>
        <v>9012428.050458241</v>
      </c>
    </row>
    <row r="118" spans="8:8">
      <c r="A118" s="3" t="s">
        <v>130</v>
      </c>
      <c r="B118" s="4" t="s">
        <v>65</v>
      </c>
      <c r="C118" s="356">
        <v>0.01</v>
      </c>
      <c r="D118" s="356">
        <v>7259723.12153088</v>
      </c>
      <c r="E118" s="20">
        <v>378412.0</v>
      </c>
      <c r="F118" s="20">
        <v>567616.0</v>
      </c>
      <c r="G118" s="247">
        <v>1482000.0</v>
      </c>
      <c r="H118" s="329"/>
      <c r="I118" s="43">
        <f t="shared" si="4"/>
        <v>9687751.13153088</v>
      </c>
    </row>
    <row r="119" spans="8:8">
      <c r="A119" s="3" t="s">
        <v>131</v>
      </c>
      <c r="B119" s="4" t="s">
        <v>65</v>
      </c>
      <c r="C119" s="356">
        <v>0.01</v>
      </c>
      <c r="D119" s="356">
        <v>8230500.0505727995</v>
      </c>
      <c r="E119" s="20">
        <v>378412.0</v>
      </c>
      <c r="F119" s="20">
        <v>567616.0</v>
      </c>
      <c r="G119" s="247">
        <v>1482000.0</v>
      </c>
      <c r="H119" s="329"/>
      <c r="I119" s="43">
        <f t="shared" si="4"/>
        <v>1.06585280605728E7</v>
      </c>
    </row>
    <row r="120" spans="8:8">
      <c r="A120" s="3" t="s">
        <v>132</v>
      </c>
      <c r="B120" s="4" t="s">
        <v>65</v>
      </c>
      <c r="C120" s="356">
        <v>0.01</v>
      </c>
      <c r="D120" s="356">
        <v>2796259.6325663994</v>
      </c>
      <c r="E120" s="20">
        <v>378412.0</v>
      </c>
      <c r="F120" s="20">
        <v>567616.0</v>
      </c>
      <c r="G120" s="247">
        <v>1482000.0</v>
      </c>
      <c r="H120" s="329"/>
      <c r="I120" s="43">
        <f t="shared" si="4"/>
        <v>5224287.6425664</v>
      </c>
    </row>
    <row r="121" spans="8:8">
      <c r="A121" s="3" t="s">
        <v>133</v>
      </c>
      <c r="B121" s="4" t="s">
        <v>65</v>
      </c>
      <c r="C121" s="356">
        <v>0.01</v>
      </c>
      <c r="D121" s="356">
        <v>2975642.32597632</v>
      </c>
      <c r="E121" s="20">
        <v>378412.0</v>
      </c>
      <c r="F121" s="20">
        <v>567616.0</v>
      </c>
      <c r="G121" s="247">
        <v>1482000.0</v>
      </c>
      <c r="H121" s="329"/>
      <c r="I121" s="43">
        <f t="shared" si="4"/>
        <v>5403670.335976319</v>
      </c>
    </row>
    <row r="122" spans="8:8">
      <c r="A122" s="3" t="s">
        <v>134</v>
      </c>
      <c r="B122" s="4" t="s">
        <v>65</v>
      </c>
      <c r="C122" s="356">
        <v>0.01</v>
      </c>
      <c r="D122" s="356">
        <v>3292200.0202291203</v>
      </c>
      <c r="E122" s="20">
        <v>378412.0</v>
      </c>
      <c r="F122" s="20">
        <v>567616.0</v>
      </c>
      <c r="G122" s="247">
        <v>1482000.0</v>
      </c>
      <c r="H122" s="329"/>
      <c r="I122" s="43">
        <f t="shared" si="4"/>
        <v>5720228.03022912</v>
      </c>
    </row>
    <row r="123" spans="8:8">
      <c r="A123" s="3" t="s">
        <v>135</v>
      </c>
      <c r="B123" s="4" t="s">
        <v>65</v>
      </c>
      <c r="C123" s="356">
        <v>0.01</v>
      </c>
      <c r="D123" s="356">
        <v>2796259.6325663994</v>
      </c>
      <c r="E123" s="20">
        <v>378412.0</v>
      </c>
      <c r="F123" s="20">
        <v>567616.0</v>
      </c>
      <c r="G123" s="247">
        <v>1482000.0</v>
      </c>
      <c r="H123" s="329"/>
      <c r="I123" s="43">
        <f t="shared" si="4"/>
        <v>5224287.6425664</v>
      </c>
    </row>
    <row r="124" spans="8:8">
      <c r="A124" s="3" t="s">
        <v>136</v>
      </c>
      <c r="B124" s="4" t="s">
        <v>65</v>
      </c>
      <c r="C124" s="356">
        <v>0.01</v>
      </c>
      <c r="D124" s="356">
        <v>2975642.32597632</v>
      </c>
      <c r="E124" s="20">
        <v>378412.0</v>
      </c>
      <c r="F124" s="20">
        <v>567616.0</v>
      </c>
      <c r="G124" s="247">
        <v>1482000.0</v>
      </c>
      <c r="H124" s="329"/>
      <c r="I124" s="43">
        <f t="shared" si="4"/>
        <v>5403670.335976319</v>
      </c>
    </row>
    <row r="125" spans="8:8">
      <c r="A125" s="3" t="s">
        <v>137</v>
      </c>
      <c r="B125" s="4" t="s">
        <v>65</v>
      </c>
      <c r="C125" s="356">
        <v>0.01</v>
      </c>
      <c r="D125" s="356">
        <v>5592519.265132799</v>
      </c>
      <c r="E125" s="20">
        <v>378412.0</v>
      </c>
      <c r="F125" s="20">
        <v>567616.0</v>
      </c>
      <c r="G125" s="247">
        <v>1482000.0</v>
      </c>
      <c r="H125" s="329"/>
      <c r="I125" s="43">
        <f t="shared" si="4"/>
        <v>8020547.275132799</v>
      </c>
    </row>
    <row r="126" spans="8:8">
      <c r="A126" s="3" t="s">
        <v>138</v>
      </c>
      <c r="B126" s="4" t="s">
        <v>65</v>
      </c>
      <c r="C126" s="356">
        <v>0.01</v>
      </c>
      <c r="D126" s="356">
        <v>5951284.65195264</v>
      </c>
      <c r="E126" s="20">
        <v>378412.0</v>
      </c>
      <c r="F126" s="20">
        <v>567616.0</v>
      </c>
      <c r="G126" s="247">
        <v>1482000.0</v>
      </c>
      <c r="H126" s="329"/>
      <c r="I126" s="43">
        <f t="shared" si="4"/>
        <v>8379312.66195264</v>
      </c>
    </row>
    <row r="127" spans="8:8">
      <c r="A127" s="3" t="s">
        <v>139</v>
      </c>
      <c r="B127" s="4" t="s">
        <v>65</v>
      </c>
      <c r="C127" s="356">
        <v>0.01</v>
      </c>
      <c r="D127" s="356">
        <v>2796259.6325663994</v>
      </c>
      <c r="E127" s="20">
        <v>378412.0</v>
      </c>
      <c r="F127" s="20">
        <v>567616.0</v>
      </c>
      <c r="G127" s="247">
        <v>1482000.0</v>
      </c>
      <c r="H127" s="329"/>
      <c r="I127" s="43">
        <f t="shared" si="4"/>
        <v>5224287.6425664</v>
      </c>
    </row>
    <row r="128" spans="8:8">
      <c r="A128" s="3" t="s">
        <v>140</v>
      </c>
      <c r="B128" s="4" t="s">
        <v>65</v>
      </c>
      <c r="C128" s="356">
        <v>0.01</v>
      </c>
      <c r="D128" s="356">
        <v>2975642.32597632</v>
      </c>
      <c r="E128" s="20">
        <v>378412.0</v>
      </c>
      <c r="F128" s="20">
        <v>567616.0</v>
      </c>
      <c r="G128" s="247">
        <v>1482000.0</v>
      </c>
      <c r="H128" s="329"/>
      <c r="I128" s="43">
        <f t="shared" si="4"/>
        <v>5403670.335976319</v>
      </c>
    </row>
    <row r="129" spans="8:8">
      <c r="A129" s="3" t="s">
        <v>141</v>
      </c>
      <c r="B129" s="4" t="s">
        <v>65</v>
      </c>
      <c r="C129" s="356">
        <v>0.01</v>
      </c>
      <c r="D129" s="356">
        <v>3292200.0202291203</v>
      </c>
      <c r="E129" s="20">
        <v>378412.0</v>
      </c>
      <c r="F129" s="20">
        <v>567616.0</v>
      </c>
      <c r="G129" s="247">
        <v>1482000.0</v>
      </c>
      <c r="H129" s="329"/>
      <c r="I129" s="43">
        <f t="shared" si="4"/>
        <v>5720228.03022912</v>
      </c>
    </row>
    <row r="130" spans="8:8">
      <c r="A130" s="3" t="s">
        <v>142</v>
      </c>
      <c r="B130" s="4" t="s">
        <v>65</v>
      </c>
      <c r="C130" s="356">
        <v>0.01</v>
      </c>
      <c r="D130" s="356">
        <v>5592519.265132799</v>
      </c>
      <c r="E130" s="20">
        <v>378412.0</v>
      </c>
      <c r="F130" s="20">
        <v>567616.0</v>
      </c>
      <c r="G130" s="247">
        <v>1482000.0</v>
      </c>
      <c r="H130" s="329"/>
      <c r="I130" s="43">
        <f t="shared" si="4"/>
        <v>8020547.275132799</v>
      </c>
    </row>
    <row r="131" spans="8:8">
      <c r="A131" s="3" t="s">
        <v>143</v>
      </c>
      <c r="B131" s="4" t="s">
        <v>65</v>
      </c>
      <c r="C131" s="356">
        <v>0.01</v>
      </c>
      <c r="D131" s="356">
        <v>5951284.65195264</v>
      </c>
      <c r="E131" s="20">
        <v>378412.0</v>
      </c>
      <c r="F131" s="20">
        <v>567616.0</v>
      </c>
      <c r="G131" s="247">
        <v>1482000.0</v>
      </c>
      <c r="H131" s="329"/>
      <c r="I131" s="43">
        <f t="shared" si="4"/>
        <v>8379312.66195264</v>
      </c>
    </row>
    <row r="132" spans="8:8">
      <c r="A132" s="3" t="s">
        <v>144</v>
      </c>
      <c r="B132" s="4" t="s">
        <v>65</v>
      </c>
      <c r="C132" s="356">
        <v>0.01</v>
      </c>
      <c r="D132" s="356">
        <v>6584400.040458241</v>
      </c>
      <c r="E132" s="20">
        <v>378412.0</v>
      </c>
      <c r="F132" s="20">
        <v>567616.0</v>
      </c>
      <c r="G132" s="247">
        <v>1482000.0</v>
      </c>
      <c r="H132" s="329"/>
      <c r="I132" s="43">
        <f t="shared" si="4"/>
        <v>9012428.050458241</v>
      </c>
    </row>
    <row r="133" spans="8:8">
      <c r="A133" s="3" t="s">
        <v>145</v>
      </c>
      <c r="B133" s="4" t="s">
        <v>65</v>
      </c>
      <c r="C133" s="356">
        <v>0.01</v>
      </c>
      <c r="D133" s="356">
        <v>2796259.6325663994</v>
      </c>
      <c r="E133" s="20">
        <v>378412.0</v>
      </c>
      <c r="F133" s="20">
        <v>567616.0</v>
      </c>
      <c r="G133" s="247">
        <v>1482000.0</v>
      </c>
      <c r="H133" s="329"/>
      <c r="I133" s="43">
        <f t="shared" si="4"/>
        <v>5224287.6425664</v>
      </c>
    </row>
    <row r="134" spans="8:8">
      <c r="A134" s="3" t="s">
        <v>146</v>
      </c>
      <c r="B134" s="4" t="s">
        <v>65</v>
      </c>
      <c r="C134" s="356">
        <v>0.01</v>
      </c>
      <c r="D134" s="356">
        <v>2975642.32597632</v>
      </c>
      <c r="E134" s="20">
        <v>378412.0</v>
      </c>
      <c r="F134" s="20">
        <v>567616.0</v>
      </c>
      <c r="G134" s="247">
        <v>1482000.0</v>
      </c>
      <c r="H134" s="329"/>
      <c r="I134" s="43">
        <f t="shared" si="4"/>
        <v>5403670.335976319</v>
      </c>
    </row>
    <row r="135" spans="8:8">
      <c r="A135" s="3" t="s">
        <v>147</v>
      </c>
      <c r="B135" s="4" t="s">
        <v>65</v>
      </c>
      <c r="C135" s="356">
        <v>0.01</v>
      </c>
      <c r="D135" s="356">
        <v>3292200.0202291203</v>
      </c>
      <c r="E135" s="20">
        <v>378412.0</v>
      </c>
      <c r="F135" s="20">
        <v>567616.0</v>
      </c>
      <c r="G135" s="247">
        <v>1482000.0</v>
      </c>
      <c r="H135" s="329"/>
      <c r="I135" s="43">
        <f t="shared" si="4"/>
        <v>5720228.03022912</v>
      </c>
    </row>
    <row r="136" spans="8:8">
      <c r="A136" s="3" t="s">
        <v>148</v>
      </c>
      <c r="B136" s="4" t="s">
        <v>65</v>
      </c>
      <c r="C136" s="356">
        <v>0.01</v>
      </c>
      <c r="D136" s="356">
        <v>2975642.32597632</v>
      </c>
      <c r="E136" s="20">
        <v>378412.0</v>
      </c>
      <c r="F136" s="20">
        <v>567616.0</v>
      </c>
      <c r="G136" s="247">
        <v>1482000.0</v>
      </c>
      <c r="H136" s="329"/>
      <c r="I136" s="43">
        <f t="shared" si="4"/>
        <v>5403670.335976319</v>
      </c>
    </row>
    <row r="137" spans="8:8">
      <c r="A137" s="3" t="s">
        <v>149</v>
      </c>
      <c r="B137" s="4" t="s">
        <v>65</v>
      </c>
      <c r="C137" s="356">
        <v>0.01</v>
      </c>
      <c r="D137" s="356">
        <v>3292200.0202291203</v>
      </c>
      <c r="E137" s="20">
        <v>378412.0</v>
      </c>
      <c r="F137" s="20">
        <v>567616.0</v>
      </c>
      <c r="G137" s="247">
        <v>1482000.0</v>
      </c>
      <c r="H137" s="329"/>
      <c r="I137" s="43">
        <f t="shared" si="4"/>
        <v>5720228.03022912</v>
      </c>
    </row>
    <row r="138" spans="8:8">
      <c r="A138" s="3" t="s">
        <v>150</v>
      </c>
      <c r="B138" s="4" t="s">
        <v>65</v>
      </c>
      <c r="C138" s="356">
        <v>0.01</v>
      </c>
      <c r="D138" s="356">
        <v>4421255.796397439</v>
      </c>
      <c r="E138" s="20">
        <v>378412.0</v>
      </c>
      <c r="F138" s="20">
        <v>567616.0</v>
      </c>
      <c r="G138" s="247">
        <v>1482000.0</v>
      </c>
      <c r="H138" s="329"/>
      <c r="I138" s="43">
        <f t="shared" si="4"/>
        <v>6849283.806397439</v>
      </c>
    </row>
    <row r="139" spans="8:8">
      <c r="A139" s="3" t="s">
        <v>151</v>
      </c>
      <c r="B139" s="4" t="s">
        <v>65</v>
      </c>
      <c r="C139" s="356">
        <v>0.01</v>
      </c>
      <c r="D139" s="356">
        <v>5951284.65195264</v>
      </c>
      <c r="E139" s="20">
        <v>378412.0</v>
      </c>
      <c r="F139" s="20">
        <v>567616.0</v>
      </c>
      <c r="G139" s="247">
        <v>1482000.0</v>
      </c>
      <c r="H139" s="329"/>
      <c r="I139" s="43">
        <f t="shared" si="4"/>
        <v>8379312.66195264</v>
      </c>
    </row>
    <row r="140" spans="8:8">
      <c r="A140" s="3" t="s">
        <v>152</v>
      </c>
      <c r="B140" s="4" t="s">
        <v>65</v>
      </c>
      <c r="C140" s="356">
        <v>0.01</v>
      </c>
      <c r="D140" s="356">
        <v>6584400.040458241</v>
      </c>
      <c r="E140" s="20">
        <v>378412.0</v>
      </c>
      <c r="F140" s="20">
        <v>567616.0</v>
      </c>
      <c r="G140" s="247">
        <v>1482000.0</v>
      </c>
      <c r="H140" s="329"/>
      <c r="I140" s="43">
        <f t="shared" si="4"/>
        <v>9012428.050458241</v>
      </c>
    </row>
    <row r="141" spans="8:8">
      <c r="A141" s="3" t="s">
        <v>153</v>
      </c>
      <c r="B141" s="4" t="s">
        <v>65</v>
      </c>
      <c r="C141" s="356">
        <v>0.01</v>
      </c>
      <c r="D141" s="356">
        <v>1.3717500084287997E7</v>
      </c>
      <c r="E141" s="20">
        <v>378412.0</v>
      </c>
      <c r="F141" s="20">
        <v>567616.0</v>
      </c>
      <c r="G141" s="247">
        <v>1482000.0</v>
      </c>
      <c r="H141" s="329"/>
      <c r="I141" s="43">
        <f t="shared" si="4"/>
        <v>1.6145528094287997E7</v>
      </c>
    </row>
    <row r="142" spans="8:8">
      <c r="A142" s="3" t="s">
        <v>154</v>
      </c>
      <c r="B142" s="4" t="s">
        <v>65</v>
      </c>
      <c r="C142" s="356">
        <v>0.01</v>
      </c>
      <c r="D142" s="356">
        <v>2637980.7854400002</v>
      </c>
      <c r="E142" s="20">
        <v>378412.0</v>
      </c>
      <c r="F142" s="20">
        <v>567616.0</v>
      </c>
      <c r="G142" s="247">
        <v>1482000.0</v>
      </c>
      <c r="H142" s="329"/>
      <c r="I142" s="43">
        <f t="shared" si="4"/>
        <v>5066008.79544</v>
      </c>
    </row>
    <row r="143" spans="8:8">
      <c r="A143" s="3" t="s">
        <v>155</v>
      </c>
      <c r="B143" s="4" t="s">
        <v>65</v>
      </c>
      <c r="C143" s="356">
        <v>0.01</v>
      </c>
      <c r="D143" s="356">
        <v>2796259.6325663994</v>
      </c>
      <c r="E143" s="20">
        <v>378412.0</v>
      </c>
      <c r="F143" s="20">
        <v>567616.0</v>
      </c>
      <c r="G143" s="247">
        <v>1482000.0</v>
      </c>
      <c r="H143" s="329"/>
      <c r="I143" s="43">
        <f t="shared" si="4"/>
        <v>5224287.6425664</v>
      </c>
    </row>
    <row r="144" spans="8:8">
      <c r="A144" s="3" t="s">
        <v>156</v>
      </c>
      <c r="B144" s="4" t="s">
        <v>65</v>
      </c>
      <c r="C144" s="356">
        <v>0.01</v>
      </c>
      <c r="D144" s="356">
        <v>2975642.32597632</v>
      </c>
      <c r="E144" s="20">
        <v>378412.0</v>
      </c>
      <c r="F144" s="20">
        <v>567616.0</v>
      </c>
      <c r="G144" s="247">
        <v>1482000.0</v>
      </c>
      <c r="H144" s="329"/>
      <c r="I144" s="43">
        <f t="shared" si="4"/>
        <v>5403670.335976319</v>
      </c>
    </row>
    <row r="145" spans="8:8">
      <c r="A145" s="3" t="s">
        <v>157</v>
      </c>
      <c r="B145" s="4" t="s">
        <v>65</v>
      </c>
      <c r="C145" s="356">
        <v>0.01</v>
      </c>
      <c r="D145" s="356">
        <v>2796259.6325663994</v>
      </c>
      <c r="E145" s="20">
        <v>378412.0</v>
      </c>
      <c r="F145" s="20">
        <v>567616.0</v>
      </c>
      <c r="G145" s="247">
        <v>1482000.0</v>
      </c>
      <c r="H145" s="329"/>
      <c r="I145" s="43">
        <f t="shared" si="4"/>
        <v>5224287.6425664</v>
      </c>
    </row>
    <row r="146" spans="8:8">
      <c r="A146" s="3" t="s">
        <v>158</v>
      </c>
      <c r="B146" s="4" t="s">
        <v>65</v>
      </c>
      <c r="C146" s="356">
        <v>0.01</v>
      </c>
      <c r="D146" s="356">
        <v>2975642.32597632</v>
      </c>
      <c r="E146" s="20">
        <v>378412.0</v>
      </c>
      <c r="F146" s="20">
        <v>567616.0</v>
      </c>
      <c r="G146" s="247">
        <v>1482000.0</v>
      </c>
      <c r="H146" s="329"/>
      <c r="I146" s="43">
        <f t="shared" si="4"/>
        <v>5403670.335976319</v>
      </c>
    </row>
    <row r="147" spans="8:8">
      <c r="A147" s="3" t="s">
        <v>159</v>
      </c>
      <c r="B147" s="4" t="s">
        <v>65</v>
      </c>
      <c r="C147" s="356">
        <v>0.01</v>
      </c>
      <c r="D147" s="356">
        <v>3292200.0202291203</v>
      </c>
      <c r="E147" s="20">
        <v>378412.0</v>
      </c>
      <c r="F147" s="20">
        <v>567616.0</v>
      </c>
      <c r="G147" s="247">
        <v>1482000.0</v>
      </c>
      <c r="H147" s="329"/>
      <c r="I147" s="43">
        <f t="shared" si="4"/>
        <v>5720228.03022912</v>
      </c>
    </row>
    <row r="148" spans="8:8">
      <c r="A148" s="3" t="s">
        <v>160</v>
      </c>
      <c r="B148" s="4" t="s">
        <v>65</v>
      </c>
      <c r="C148" s="356">
        <v>0.01</v>
      </c>
      <c r="D148" s="356">
        <v>2975642.32597632</v>
      </c>
      <c r="E148" s="20">
        <v>378412.0</v>
      </c>
      <c r="F148" s="20">
        <v>567616.0</v>
      </c>
      <c r="G148" s="247">
        <v>1482000.0</v>
      </c>
      <c r="H148" s="329"/>
      <c r="I148" s="43">
        <f t="shared" si="4"/>
        <v>5403670.335976319</v>
      </c>
    </row>
    <row r="149" spans="8:8">
      <c r="A149" s="15" t="s">
        <v>161</v>
      </c>
      <c r="B149" s="16" t="s">
        <v>65</v>
      </c>
      <c r="C149" s="356">
        <v>0.01</v>
      </c>
      <c r="D149" s="356">
        <v>3292200.0202291203</v>
      </c>
      <c r="E149" s="20">
        <v>378412.0</v>
      </c>
      <c r="F149" s="20">
        <v>567616.0</v>
      </c>
      <c r="G149" s="247">
        <v>1482000.0</v>
      </c>
      <c r="H149" s="329"/>
      <c r="I149" s="43">
        <f t="shared" si="4"/>
        <v>5720228.03022912</v>
      </c>
    </row>
    <row r="150" spans="8:8">
      <c r="A150" s="15" t="s">
        <v>162</v>
      </c>
      <c r="B150" s="16" t="s">
        <v>65</v>
      </c>
      <c r="C150" s="356">
        <v>0.01</v>
      </c>
      <c r="D150" s="356">
        <v>5951284.65195264</v>
      </c>
      <c r="E150" s="20">
        <v>378412.0</v>
      </c>
      <c r="F150" s="20">
        <v>567616.0</v>
      </c>
      <c r="G150" s="247">
        <v>1482000.0</v>
      </c>
      <c r="H150" s="329"/>
      <c r="I150" s="43">
        <f t="shared" si="4"/>
        <v>8379312.66195264</v>
      </c>
    </row>
    <row r="151" spans="8:8">
      <c r="A151" s="15" t="s">
        <v>163</v>
      </c>
      <c r="B151" s="16" t="s">
        <v>65</v>
      </c>
      <c r="C151" s="356">
        <v>0.01</v>
      </c>
      <c r="D151" s="356">
        <v>6584400.040458241</v>
      </c>
      <c r="E151" s="20">
        <v>378412.0</v>
      </c>
      <c r="F151" s="20">
        <v>567616.0</v>
      </c>
      <c r="G151" s="247">
        <v>1482000.0</v>
      </c>
      <c r="H151" s="329"/>
      <c r="I151" s="43">
        <f t="shared" si="4"/>
        <v>9012428.050458241</v>
      </c>
    </row>
    <row r="152" spans="8:8">
      <c r="A152" s="3" t="s">
        <v>164</v>
      </c>
      <c r="B152" s="4" t="s">
        <v>65</v>
      </c>
      <c r="C152" s="356">
        <v>0.01</v>
      </c>
      <c r="D152" s="356">
        <v>2574669.2465894395</v>
      </c>
      <c r="E152" s="20">
        <v>378412.0</v>
      </c>
      <c r="F152" s="20">
        <v>567616.0</v>
      </c>
      <c r="G152" s="247">
        <v>1482000.0</v>
      </c>
      <c r="H152" s="329"/>
      <c r="I152" s="43">
        <f t="shared" si="4"/>
        <v>5002697.256589439</v>
      </c>
    </row>
    <row r="153" spans="8:8">
      <c r="A153" s="3" t="s">
        <v>165</v>
      </c>
      <c r="B153" s="4" t="s">
        <v>65</v>
      </c>
      <c r="C153" s="356">
        <v>0.01</v>
      </c>
      <c r="D153" s="356">
        <v>2891226.94084224</v>
      </c>
      <c r="E153" s="20">
        <v>378412.0</v>
      </c>
      <c r="F153" s="20">
        <v>567616.0</v>
      </c>
      <c r="G153" s="247">
        <v>1482000.0</v>
      </c>
      <c r="H153" s="329"/>
      <c r="I153" s="43">
        <f t="shared" si="4"/>
        <v>5319254.95084224</v>
      </c>
    </row>
    <row r="154" spans="8:8">
      <c r="A154" s="3" t="s">
        <v>166</v>
      </c>
      <c r="B154" s="4" t="s">
        <v>65</v>
      </c>
      <c r="C154" s="356">
        <v>0.01</v>
      </c>
      <c r="D154" s="356">
        <v>2796259.6325663994</v>
      </c>
      <c r="E154" s="20">
        <v>378412.0</v>
      </c>
      <c r="F154" s="20">
        <v>567616.0</v>
      </c>
      <c r="G154" s="247">
        <v>1482000.0</v>
      </c>
      <c r="H154" s="329"/>
      <c r="I154" s="43">
        <f t="shared" si="4"/>
        <v>5224287.6425664</v>
      </c>
    </row>
    <row r="155" spans="8:8">
      <c r="A155" s="3" t="s">
        <v>167</v>
      </c>
      <c r="B155" s="4" t="s">
        <v>65</v>
      </c>
      <c r="C155" s="356">
        <v>0.01</v>
      </c>
      <c r="D155" s="356">
        <v>2975642.32597632</v>
      </c>
      <c r="E155" s="20">
        <v>378412.0</v>
      </c>
      <c r="F155" s="20">
        <v>567616.0</v>
      </c>
      <c r="G155" s="247">
        <v>1482000.0</v>
      </c>
      <c r="H155" s="329"/>
      <c r="I155" s="43">
        <f t="shared" si="4"/>
        <v>5403670.335976319</v>
      </c>
    </row>
    <row r="156" spans="8:8">
      <c r="A156" s="3" t="s">
        <v>168</v>
      </c>
      <c r="B156" s="4" t="s">
        <v>65</v>
      </c>
      <c r="C156" s="356">
        <v>0.01</v>
      </c>
      <c r="D156" s="356">
        <v>5592519.265132799</v>
      </c>
      <c r="E156" s="20">
        <v>378412.0</v>
      </c>
      <c r="F156" s="20">
        <v>567616.0</v>
      </c>
      <c r="G156" s="247">
        <v>1482000.0</v>
      </c>
      <c r="H156" s="329"/>
      <c r="I156" s="43">
        <f t="shared" si="4"/>
        <v>8020547.275132799</v>
      </c>
    </row>
    <row r="157" spans="8:8">
      <c r="A157" s="3" t="s">
        <v>169</v>
      </c>
      <c r="B157" s="4" t="s">
        <v>65</v>
      </c>
      <c r="C157" s="356">
        <v>0.01</v>
      </c>
      <c r="D157" s="356">
        <v>5951284.65195264</v>
      </c>
      <c r="E157" s="20">
        <v>378412.0</v>
      </c>
      <c r="F157" s="20">
        <v>567616.0</v>
      </c>
      <c r="G157" s="247">
        <v>1482000.0</v>
      </c>
      <c r="H157" s="329"/>
      <c r="I157" s="43">
        <f t="shared" si="4"/>
        <v>8379312.66195264</v>
      </c>
    </row>
    <row r="158" spans="8:8">
      <c r="A158" s="3" t="s">
        <v>170</v>
      </c>
      <c r="B158" s="4" t="s">
        <v>65</v>
      </c>
      <c r="C158" s="356">
        <v>0.01</v>
      </c>
      <c r="D158" s="356">
        <v>2796259.6325663994</v>
      </c>
      <c r="E158" s="20">
        <v>378412.0</v>
      </c>
      <c r="F158" s="20">
        <v>567616.0</v>
      </c>
      <c r="G158" s="247">
        <v>1482000.0</v>
      </c>
      <c r="H158" s="329"/>
      <c r="I158" s="43">
        <f t="shared" si="4"/>
        <v>5224287.6425664</v>
      </c>
    </row>
    <row r="159" spans="8:8">
      <c r="A159" s="3" t="s">
        <v>171</v>
      </c>
      <c r="B159" s="4" t="s">
        <v>65</v>
      </c>
      <c r="C159" s="356">
        <v>0.01</v>
      </c>
      <c r="D159" s="356">
        <v>2975642.32597632</v>
      </c>
      <c r="E159" s="20">
        <v>378412.0</v>
      </c>
      <c r="F159" s="20">
        <v>567616.0</v>
      </c>
      <c r="G159" s="247">
        <v>1482000.0</v>
      </c>
      <c r="H159" s="329"/>
      <c r="I159" s="43">
        <f t="shared" si="4"/>
        <v>5403670.335976319</v>
      </c>
    </row>
    <row r="160" spans="8:8">
      <c r="A160" s="3" t="s">
        <v>172</v>
      </c>
      <c r="B160" s="4" t="s">
        <v>65</v>
      </c>
      <c r="C160" s="356">
        <v>0.01</v>
      </c>
      <c r="D160" s="356">
        <v>3292200.0202291203</v>
      </c>
      <c r="E160" s="20">
        <v>378412.0</v>
      </c>
      <c r="F160" s="20">
        <v>567616.0</v>
      </c>
      <c r="G160" s="247">
        <v>1482000.0</v>
      </c>
      <c r="H160" s="329"/>
      <c r="I160" s="43">
        <f t="shared" si="4"/>
        <v>5720228.03022912</v>
      </c>
    </row>
    <row r="161" spans="8:8">
      <c r="A161" s="3" t="s">
        <v>173</v>
      </c>
      <c r="B161" s="4" t="s">
        <v>65</v>
      </c>
      <c r="C161" s="356">
        <v>0.01</v>
      </c>
      <c r="D161" s="356">
        <v>5592519.265132799</v>
      </c>
      <c r="E161" s="20">
        <v>378412.0</v>
      </c>
      <c r="F161" s="20">
        <v>567616.0</v>
      </c>
      <c r="G161" s="247">
        <v>1482000.0</v>
      </c>
      <c r="H161" s="329"/>
      <c r="I161" s="43">
        <f t="shared" si="4"/>
        <v>8020547.275132799</v>
      </c>
    </row>
    <row r="162" spans="8:8">
      <c r="A162" s="3" t="s">
        <v>174</v>
      </c>
      <c r="B162" s="4" t="s">
        <v>65</v>
      </c>
      <c r="C162" s="356">
        <v>0.01</v>
      </c>
      <c r="D162" s="356">
        <v>5951284.65195264</v>
      </c>
      <c r="E162" s="20">
        <v>378412.0</v>
      </c>
      <c r="F162" s="20">
        <v>567616.0</v>
      </c>
      <c r="G162" s="247">
        <v>1482000.0</v>
      </c>
      <c r="H162" s="329"/>
      <c r="I162" s="43">
        <f t="shared" si="4"/>
        <v>8379312.66195264</v>
      </c>
    </row>
    <row r="163" spans="8:8">
      <c r="A163" s="3" t="s">
        <v>175</v>
      </c>
      <c r="B163" s="4" t="s">
        <v>65</v>
      </c>
      <c r="C163" s="356">
        <v>0.01</v>
      </c>
      <c r="D163" s="356">
        <v>6584400.040458241</v>
      </c>
      <c r="E163" s="20">
        <v>378412.0</v>
      </c>
      <c r="F163" s="20">
        <v>567616.0</v>
      </c>
      <c r="G163" s="247">
        <v>1482000.0</v>
      </c>
      <c r="H163" s="329"/>
      <c r="I163" s="43">
        <f t="shared" si="4"/>
        <v>9012428.050458241</v>
      </c>
    </row>
    <row r="164" spans="8:8">
      <c r="A164" s="3" t="s">
        <v>176</v>
      </c>
      <c r="B164" s="4" t="s">
        <v>65</v>
      </c>
      <c r="C164" s="356">
        <v>0.01</v>
      </c>
      <c r="D164" s="356">
        <v>2606325.0160147203</v>
      </c>
      <c r="E164" s="20">
        <v>378412.0</v>
      </c>
      <c r="F164" s="20">
        <v>567616.0</v>
      </c>
      <c r="G164" s="247">
        <v>1482000.0</v>
      </c>
      <c r="H164" s="329"/>
      <c r="I164" s="43">
        <f t="shared" si="4"/>
        <v>5034353.02601472</v>
      </c>
    </row>
    <row r="165" spans="8:8">
      <c r="A165" s="3" t="s">
        <v>177</v>
      </c>
      <c r="B165" s="4" t="s">
        <v>65</v>
      </c>
      <c r="C165" s="356">
        <v>0.01</v>
      </c>
      <c r="D165" s="356">
        <v>3292200.0202291203</v>
      </c>
      <c r="E165" s="20">
        <v>378412.0</v>
      </c>
      <c r="F165" s="20">
        <v>567616.0</v>
      </c>
      <c r="G165" s="247">
        <v>1482000.0</v>
      </c>
      <c r="H165" s="329"/>
      <c r="I165" s="43">
        <f t="shared" si="4"/>
        <v>5720228.03022912</v>
      </c>
    </row>
    <row r="166" spans="8:8">
      <c r="A166" s="3" t="s">
        <v>178</v>
      </c>
      <c r="B166" s="4" t="s">
        <v>65</v>
      </c>
      <c r="C166" s="356">
        <v>1.595022E7</v>
      </c>
      <c r="D166" s="356">
        <v>4.9456863765429124E7</v>
      </c>
      <c r="E166" s="20">
        <v>378412.0</v>
      </c>
      <c r="F166" s="20">
        <v>567616.0</v>
      </c>
      <c r="G166" s="247">
        <v>1482000.0</v>
      </c>
      <c r="H166" s="329"/>
      <c r="I166" s="43">
        <f t="shared" si="4"/>
        <v>6.783511176542912E7</v>
      </c>
    </row>
    <row r="167" spans="8:8">
      <c r="A167" s="3" t="s">
        <v>179</v>
      </c>
      <c r="B167" s="4" t="s">
        <v>65</v>
      </c>
      <c r="C167" s="356">
        <v>0.01</v>
      </c>
      <c r="D167" s="356">
        <v>6341705.80819776</v>
      </c>
      <c r="E167" s="20">
        <v>378412.0</v>
      </c>
      <c r="F167" s="20">
        <v>567616.0</v>
      </c>
      <c r="G167" s="247">
        <v>1482000.0</v>
      </c>
      <c r="H167" s="329"/>
      <c r="I167" s="43">
        <f t="shared" si="4"/>
        <v>8769733.81819776</v>
      </c>
    </row>
    <row r="168" spans="8:8">
      <c r="A168" s="3" t="s">
        <v>180</v>
      </c>
      <c r="B168" s="4" t="s">
        <v>65</v>
      </c>
      <c r="C168" s="356">
        <v>0.01</v>
      </c>
      <c r="D168" s="356">
        <v>2975642.32597632</v>
      </c>
      <c r="E168" s="20">
        <v>378412.0</v>
      </c>
      <c r="F168" s="20">
        <v>567616.0</v>
      </c>
      <c r="G168" s="247">
        <v>1482000.0</v>
      </c>
      <c r="H168" s="329"/>
      <c r="I168" s="43">
        <f t="shared" si="4"/>
        <v>5403670.335976319</v>
      </c>
    </row>
    <row r="169" spans="8:8">
      <c r="A169" s="3" t="s">
        <v>181</v>
      </c>
      <c r="B169" s="4" t="s">
        <v>65</v>
      </c>
      <c r="C169" s="356">
        <v>0.01</v>
      </c>
      <c r="D169" s="356">
        <v>5951284.65195264</v>
      </c>
      <c r="E169" s="20">
        <v>378412.0</v>
      </c>
      <c r="F169" s="20">
        <v>567616.0</v>
      </c>
      <c r="G169" s="247">
        <v>1482000.0</v>
      </c>
      <c r="H169" s="329"/>
      <c r="I169" s="43">
        <f t="shared" si="4"/>
        <v>8379312.66195264</v>
      </c>
    </row>
    <row r="170" spans="8:8">
      <c r="A170" s="3" t="s">
        <v>182</v>
      </c>
      <c r="B170" s="4" t="s">
        <v>65</v>
      </c>
      <c r="C170" s="356">
        <v>0.01</v>
      </c>
      <c r="D170" s="356">
        <v>2796259.6325663994</v>
      </c>
      <c r="E170" s="20">
        <v>378412.0</v>
      </c>
      <c r="F170" s="20">
        <v>567616.0</v>
      </c>
      <c r="G170" s="247">
        <v>1482000.0</v>
      </c>
      <c r="H170" s="329"/>
      <c r="I170" s="43">
        <f t="shared" si="4"/>
        <v>5224287.6425664</v>
      </c>
    </row>
    <row r="171" spans="8:8">
      <c r="A171" s="3" t="s">
        <v>183</v>
      </c>
      <c r="B171" s="4" t="s">
        <v>65</v>
      </c>
      <c r="C171" s="356">
        <v>0.01</v>
      </c>
      <c r="D171" s="356">
        <v>2975642.32597632</v>
      </c>
      <c r="E171" s="20">
        <v>378412.0</v>
      </c>
      <c r="F171" s="20">
        <v>567616.0</v>
      </c>
      <c r="G171" s="247">
        <v>1482000.0</v>
      </c>
      <c r="H171" s="329"/>
      <c r="I171" s="43">
        <f t="shared" si="4"/>
        <v>5403670.335976319</v>
      </c>
    </row>
    <row r="172" spans="8:8">
      <c r="A172" s="3" t="s">
        <v>184</v>
      </c>
      <c r="B172" s="4" t="s">
        <v>65</v>
      </c>
      <c r="C172" s="356">
        <v>0.01</v>
      </c>
      <c r="D172" s="356">
        <v>3292200.0202291203</v>
      </c>
      <c r="E172" s="20">
        <v>378412.0</v>
      </c>
      <c r="F172" s="20">
        <v>567616.0</v>
      </c>
      <c r="G172" s="247">
        <v>1482000.0</v>
      </c>
      <c r="H172" s="329"/>
      <c r="I172" s="43">
        <f t="shared" si="4"/>
        <v>5720228.03022912</v>
      </c>
    </row>
    <row r="173" spans="8:8">
      <c r="A173" s="3" t="s">
        <v>185</v>
      </c>
      <c r="B173" s="4" t="s">
        <v>65</v>
      </c>
      <c r="C173" s="356">
        <v>0.01</v>
      </c>
      <c r="D173" s="356">
        <v>5592519.265132799</v>
      </c>
      <c r="E173" s="20">
        <v>378412.0</v>
      </c>
      <c r="F173" s="20">
        <v>567616.0</v>
      </c>
      <c r="G173" s="247">
        <v>1482000.0</v>
      </c>
      <c r="H173" s="329"/>
      <c r="I173" s="43">
        <f t="shared" si="4"/>
        <v>8020547.275132799</v>
      </c>
    </row>
    <row r="174" spans="8:8">
      <c r="A174" s="3" t="s">
        <v>186</v>
      </c>
      <c r="B174" s="4" t="s">
        <v>65</v>
      </c>
      <c r="C174" s="356">
        <v>0.01</v>
      </c>
      <c r="D174" s="356">
        <v>5951284.65195264</v>
      </c>
      <c r="E174" s="20">
        <v>378412.0</v>
      </c>
      <c r="F174" s="20">
        <v>567616.0</v>
      </c>
      <c r="G174" s="247">
        <v>1482000.0</v>
      </c>
      <c r="H174" s="329"/>
      <c r="I174" s="43">
        <f t="shared" si="4"/>
        <v>8379312.66195264</v>
      </c>
    </row>
    <row r="175" spans="8:8">
      <c r="A175" s="3" t="s">
        <v>187</v>
      </c>
      <c r="B175" s="4" t="s">
        <v>65</v>
      </c>
      <c r="C175" s="356">
        <v>0.01</v>
      </c>
      <c r="D175" s="356">
        <v>6584400.040458241</v>
      </c>
      <c r="E175" s="20">
        <v>378412.0</v>
      </c>
      <c r="F175" s="20">
        <v>567616.0</v>
      </c>
      <c r="G175" s="247">
        <v>1482000.0</v>
      </c>
      <c r="H175" s="329"/>
      <c r="I175" s="43">
        <f t="shared" si="4"/>
        <v>9012428.050458241</v>
      </c>
    </row>
    <row r="176" spans="8:8">
      <c r="A176" s="15" t="s">
        <v>188</v>
      </c>
      <c r="B176" s="16" t="s">
        <v>65</v>
      </c>
      <c r="C176" s="356">
        <v>0.01</v>
      </c>
      <c r="D176" s="356">
        <v>2796259.6325663994</v>
      </c>
      <c r="E176" s="20">
        <v>378412.0</v>
      </c>
      <c r="F176" s="20">
        <v>567616.0</v>
      </c>
      <c r="G176" s="247">
        <v>1482000.0</v>
      </c>
      <c r="H176" s="329"/>
      <c r="I176" s="43">
        <f t="shared" si="4"/>
        <v>5224287.6425664</v>
      </c>
    </row>
    <row r="177" spans="8:8">
      <c r="A177" s="3" t="s">
        <v>189</v>
      </c>
      <c r="B177" s="4" t="s">
        <v>65</v>
      </c>
      <c r="C177" s="356">
        <v>0.01</v>
      </c>
      <c r="D177" s="356">
        <v>2975642.32597632</v>
      </c>
      <c r="E177" s="20">
        <v>378412.0</v>
      </c>
      <c r="F177" s="20">
        <v>567616.0</v>
      </c>
      <c r="G177" s="247">
        <v>1482000.0</v>
      </c>
      <c r="H177" s="329"/>
      <c r="I177" s="43">
        <f t="shared" si="4"/>
        <v>5403670.335976319</v>
      </c>
    </row>
    <row r="178" spans="8:8">
      <c r="A178" s="3" t="s">
        <v>190</v>
      </c>
      <c r="B178" s="16" t="s">
        <v>65</v>
      </c>
      <c r="C178" s="356">
        <v>0.01</v>
      </c>
      <c r="D178" s="356">
        <v>2796259.6325663994</v>
      </c>
      <c r="E178" s="20">
        <v>378412.0</v>
      </c>
      <c r="F178" s="20">
        <v>567616.0</v>
      </c>
      <c r="G178" s="247">
        <v>1482000.0</v>
      </c>
      <c r="H178" s="329"/>
      <c r="I178" s="43">
        <f t="shared" si="5" ref="I178:I182">SUM(C178:H178)</f>
        <v>5224287.6425664</v>
      </c>
    </row>
    <row r="179" spans="8:8" s="49" ht="15.0" customFormat="1">
      <c r="A179" s="3" t="s">
        <v>191</v>
      </c>
      <c r="B179" s="4" t="s">
        <v>65</v>
      </c>
      <c r="C179" s="356">
        <v>0.01</v>
      </c>
      <c r="D179" s="356">
        <v>2975642.32597632</v>
      </c>
      <c r="E179" s="20">
        <v>378412.0</v>
      </c>
      <c r="F179" s="20">
        <v>567616.0</v>
      </c>
      <c r="G179" s="247">
        <v>1482000.0</v>
      </c>
      <c r="H179" s="329"/>
      <c r="I179" s="241">
        <f t="shared" si="5"/>
        <v>5403670.335976319</v>
      </c>
    </row>
    <row r="180" spans="8:8">
      <c r="A180" s="3" t="s">
        <v>192</v>
      </c>
      <c r="B180" s="4" t="s">
        <v>65</v>
      </c>
      <c r="C180" s="356">
        <v>0.01</v>
      </c>
      <c r="D180" s="356">
        <v>3292200.0202291203</v>
      </c>
      <c r="E180" s="20">
        <v>378412.0</v>
      </c>
      <c r="F180" s="20">
        <v>567616.0</v>
      </c>
      <c r="G180" s="247">
        <v>1482000.0</v>
      </c>
      <c r="H180" s="329"/>
      <c r="I180" s="43">
        <f t="shared" si="5"/>
        <v>5720228.03022912</v>
      </c>
    </row>
    <row r="181" spans="8:8">
      <c r="A181" s="3" t="s">
        <v>193</v>
      </c>
      <c r="B181" s="4" t="s">
        <v>65</v>
      </c>
      <c r="C181" s="356">
        <v>0.01</v>
      </c>
      <c r="D181" s="356">
        <v>2796259.6325663994</v>
      </c>
      <c r="E181" s="20">
        <v>378412.0</v>
      </c>
      <c r="F181" s="20">
        <v>567616.0</v>
      </c>
      <c r="G181" s="247">
        <v>1482000.0</v>
      </c>
      <c r="H181" s="329"/>
      <c r="I181" s="43">
        <f t="shared" si="5"/>
        <v>5224287.6425664</v>
      </c>
    </row>
    <row r="182" spans="8:8">
      <c r="A182" s="3" t="s">
        <v>194</v>
      </c>
      <c r="B182" s="4" t="s">
        <v>65</v>
      </c>
      <c r="C182" s="356">
        <v>0.01</v>
      </c>
      <c r="D182" s="356">
        <v>2975642.32597632</v>
      </c>
      <c r="E182" s="20">
        <v>378412.0</v>
      </c>
      <c r="F182" s="20">
        <v>567616.0</v>
      </c>
      <c r="G182" s="247">
        <v>1482000.0</v>
      </c>
      <c r="H182" s="329"/>
      <c r="I182" s="43">
        <f t="shared" si="5"/>
        <v>5403670.335976319</v>
      </c>
    </row>
    <row r="183" spans="8:8">
      <c r="A183" s="3" t="s">
        <v>197</v>
      </c>
      <c r="B183" s="4" t="s">
        <v>196</v>
      </c>
      <c r="C183" s="356">
        <v>0.01</v>
      </c>
      <c r="D183" s="356">
        <v>6927840.015096</v>
      </c>
      <c r="E183" s="20">
        <v>378412.0</v>
      </c>
      <c r="F183" s="20">
        <v>567616.0</v>
      </c>
      <c r="G183" s="329"/>
      <c r="H183" s="329"/>
      <c r="I183" s="43">
        <f t="shared" si="6" ref="I183:I239">SUM(C183:F183)</f>
        <v>7873868.025096</v>
      </c>
    </row>
    <row r="184" spans="8:8">
      <c r="A184" s="3" t="s">
        <v>198</v>
      </c>
      <c r="B184" s="4" t="s">
        <v>196</v>
      </c>
      <c r="C184" s="356">
        <v>0.01</v>
      </c>
      <c r="D184" s="356">
        <v>6.898319753925599E7</v>
      </c>
      <c r="E184" s="20">
        <v>378412.0</v>
      </c>
      <c r="F184" s="20">
        <v>567616.0</v>
      </c>
      <c r="G184" s="329"/>
      <c r="H184" s="329"/>
      <c r="I184" s="43">
        <f t="shared" si="6"/>
        <v>6.9929225549256E7</v>
      </c>
    </row>
    <row r="185" spans="8:8">
      <c r="A185" s="3" t="s">
        <v>199</v>
      </c>
      <c r="B185" s="4" t="s">
        <v>196</v>
      </c>
      <c r="C185" s="356">
        <v>0.01</v>
      </c>
      <c r="D185" s="356">
        <v>1.9757937719520003E7</v>
      </c>
      <c r="E185" s="20">
        <v>378412.0</v>
      </c>
      <c r="F185" s="20">
        <v>567616.0</v>
      </c>
      <c r="G185" s="329"/>
      <c r="H185" s="329"/>
      <c r="I185" s="43">
        <f t="shared" si="6"/>
        <v>2.0703965729520004E7</v>
      </c>
      <c r="M185" s="233"/>
      <c r="N185" s="238"/>
    </row>
    <row r="186" spans="8:8">
      <c r="A186" s="3" t="s">
        <v>201</v>
      </c>
      <c r="B186" s="4" t="s">
        <v>196</v>
      </c>
      <c r="C186" s="356">
        <v>0.01</v>
      </c>
      <c r="D186" s="356">
        <v>1.9757937719520003E7</v>
      </c>
      <c r="E186" s="20">
        <v>378412.0</v>
      </c>
      <c r="F186" s="20">
        <v>567616.0</v>
      </c>
      <c r="G186" s="329"/>
      <c r="H186" s="329"/>
      <c r="I186" s="43">
        <f t="shared" si="6"/>
        <v>2.0703965729520004E7</v>
      </c>
    </row>
    <row r="187" spans="8:8">
      <c r="A187" s="3" t="s">
        <v>202</v>
      </c>
      <c r="B187" s="16" t="s">
        <v>196</v>
      </c>
      <c r="C187" s="356">
        <v>0.01</v>
      </c>
      <c r="D187" s="356">
        <v>1.9757937719520003E7</v>
      </c>
      <c r="E187" s="20">
        <v>378412.0</v>
      </c>
      <c r="F187" s="20">
        <v>567616.0</v>
      </c>
      <c r="G187" s="329"/>
      <c r="H187" s="329"/>
      <c r="I187" s="43">
        <f t="shared" si="6"/>
        <v>2.0703965729520004E7</v>
      </c>
    </row>
    <row r="188" spans="8:8">
      <c r="A188" s="3" t="s">
        <v>203</v>
      </c>
      <c r="B188" s="4" t="s">
        <v>196</v>
      </c>
      <c r="C188" s="356">
        <v>0.01</v>
      </c>
      <c r="D188" s="356">
        <v>1.9757937719520003E7</v>
      </c>
      <c r="E188" s="20">
        <v>378412.0</v>
      </c>
      <c r="F188" s="20">
        <v>567616.0</v>
      </c>
      <c r="G188" s="329"/>
      <c r="H188" s="329"/>
      <c r="I188" s="43">
        <f t="shared" si="6"/>
        <v>2.0703965729520004E7</v>
      </c>
    </row>
    <row r="189" spans="8:8">
      <c r="A189" s="3" t="s">
        <v>204</v>
      </c>
      <c r="B189" s="4" t="s">
        <v>196</v>
      </c>
      <c r="C189" s="356">
        <v>0.01</v>
      </c>
      <c r="D189" s="356">
        <v>1.9757937719520003E7</v>
      </c>
      <c r="E189" s="20">
        <v>378412.0</v>
      </c>
      <c r="F189" s="20">
        <v>567616.0</v>
      </c>
      <c r="G189" s="329"/>
      <c r="H189" s="329"/>
      <c r="I189" s="43">
        <f t="shared" si="6"/>
        <v>2.0703965729520004E7</v>
      </c>
      <c r="P189" s="233"/>
      <c r="Q189" s="76"/>
    </row>
    <row r="190" spans="8:8">
      <c r="A190" s="3" t="s">
        <v>206</v>
      </c>
      <c r="B190" s="4" t="s">
        <v>196</v>
      </c>
      <c r="C190" s="356">
        <v>0.01</v>
      </c>
      <c r="D190" s="356">
        <v>1.9757937719520003E7</v>
      </c>
      <c r="E190" s="20">
        <v>378412.0</v>
      </c>
      <c r="F190" s="20">
        <v>567616.0</v>
      </c>
      <c r="G190" s="329"/>
      <c r="H190" s="329"/>
      <c r="I190" s="43">
        <f t="shared" si="6"/>
        <v>2.0703965729520004E7</v>
      </c>
    </row>
    <row r="191" spans="8:8">
      <c r="A191" s="3" t="s">
        <v>207</v>
      </c>
      <c r="B191" s="4" t="s">
        <v>196</v>
      </c>
      <c r="C191" s="356">
        <v>0.01</v>
      </c>
      <c r="D191" s="356">
        <v>1.9757937719520003E7</v>
      </c>
      <c r="E191" s="20">
        <v>378412.0</v>
      </c>
      <c r="F191" s="20">
        <v>567616.0</v>
      </c>
      <c r="G191" s="329"/>
      <c r="H191" s="329"/>
      <c r="I191" s="43">
        <f t="shared" si="6"/>
        <v>2.0703965729520004E7</v>
      </c>
      <c r="N191" s="233"/>
      <c r="O191" s="76"/>
    </row>
    <row r="192" spans="8:8">
      <c r="A192" s="3" t="s">
        <v>208</v>
      </c>
      <c r="B192" s="4" t="s">
        <v>196</v>
      </c>
      <c r="C192" s="356">
        <v>0.01</v>
      </c>
      <c r="D192" s="356">
        <v>1.9757937719520003E7</v>
      </c>
      <c r="E192" s="20">
        <v>378412.0</v>
      </c>
      <c r="F192" s="20">
        <v>567616.0</v>
      </c>
      <c r="G192" s="329"/>
      <c r="H192" s="329"/>
      <c r="I192" s="43">
        <f t="shared" si="6"/>
        <v>2.0703965729520004E7</v>
      </c>
    </row>
    <row r="193" spans="8:8">
      <c r="A193" s="3" t="s">
        <v>209</v>
      </c>
      <c r="B193" s="4" t="s">
        <v>196</v>
      </c>
      <c r="C193" s="356">
        <v>0.01</v>
      </c>
      <c r="D193" s="356">
        <v>1.9757937719520003E7</v>
      </c>
      <c r="E193" s="20">
        <v>378412.0</v>
      </c>
      <c r="F193" s="20">
        <v>567616.0</v>
      </c>
      <c r="G193" s="329"/>
      <c r="H193" s="329"/>
      <c r="I193" s="43">
        <f t="shared" si="6"/>
        <v>2.0703965729520004E7</v>
      </c>
    </row>
    <row r="194" spans="8:8">
      <c r="A194" s="3" t="s">
        <v>210</v>
      </c>
      <c r="B194" s="4" t="s">
        <v>196</v>
      </c>
      <c r="C194" s="356">
        <v>0.01</v>
      </c>
      <c r="D194" s="356">
        <v>1.9757937719520003E7</v>
      </c>
      <c r="E194" s="20">
        <v>378412.0</v>
      </c>
      <c r="F194" s="20">
        <v>567616.0</v>
      </c>
      <c r="G194" s="329"/>
      <c r="H194" s="329"/>
      <c r="I194" s="43">
        <f t="shared" si="6"/>
        <v>2.0703965729520004E7</v>
      </c>
    </row>
    <row r="195" spans="8:8">
      <c r="A195" s="3" t="s">
        <v>211</v>
      </c>
      <c r="B195" s="4" t="s">
        <v>196</v>
      </c>
      <c r="C195" s="356">
        <v>0.01</v>
      </c>
      <c r="D195" s="356">
        <v>1.9757937719520003E7</v>
      </c>
      <c r="E195" s="20">
        <v>378412.0</v>
      </c>
      <c r="F195" s="20">
        <v>567616.0</v>
      </c>
      <c r="G195" s="329"/>
      <c r="H195" s="329"/>
      <c r="I195" s="43">
        <f t="shared" si="6"/>
        <v>2.0703965729520004E7</v>
      </c>
    </row>
    <row r="196" spans="8:8">
      <c r="A196" s="3" t="s">
        <v>212</v>
      </c>
      <c r="B196" s="4" t="s">
        <v>196</v>
      </c>
      <c r="C196" s="356">
        <v>0.01</v>
      </c>
      <c r="D196" s="356">
        <v>1.9757937719520003E7</v>
      </c>
      <c r="E196" s="20">
        <v>378412.0</v>
      </c>
      <c r="F196" s="20">
        <v>567616.0</v>
      </c>
      <c r="G196" s="329"/>
      <c r="H196" s="329"/>
      <c r="I196" s="43">
        <f t="shared" si="6"/>
        <v>2.0703965729520004E7</v>
      </c>
    </row>
    <row r="197" spans="8:8">
      <c r="A197" s="3" t="s">
        <v>214</v>
      </c>
      <c r="B197" s="4" t="s">
        <v>196</v>
      </c>
      <c r="C197" s="356">
        <v>0.01</v>
      </c>
      <c r="D197" s="356">
        <v>1.9757937719520003E7</v>
      </c>
      <c r="E197" s="20">
        <v>378412.0</v>
      </c>
      <c r="F197" s="20">
        <v>567616.0</v>
      </c>
      <c r="G197" s="329"/>
      <c r="H197" s="329"/>
      <c r="I197" s="43">
        <f t="shared" si="6"/>
        <v>2.0703965729520004E7</v>
      </c>
    </row>
    <row r="198" spans="8:8">
      <c r="A198" s="3" t="s">
        <v>215</v>
      </c>
      <c r="B198" s="4" t="s">
        <v>196</v>
      </c>
      <c r="C198" s="356">
        <v>0.01</v>
      </c>
      <c r="D198" s="356">
        <v>1.9757937719520003E7</v>
      </c>
      <c r="E198" s="20">
        <v>378412.0</v>
      </c>
      <c r="F198" s="20">
        <v>567616.0</v>
      </c>
      <c r="G198" s="329"/>
      <c r="H198" s="329"/>
      <c r="I198" s="43">
        <f t="shared" si="6"/>
        <v>2.0703965729520004E7</v>
      </c>
    </row>
    <row r="199" spans="8:8">
      <c r="A199" s="3" t="s">
        <v>216</v>
      </c>
      <c r="B199" s="4" t="s">
        <v>196</v>
      </c>
      <c r="C199" s="356">
        <v>0.01</v>
      </c>
      <c r="D199" s="356">
        <v>1.9757937719520003E7</v>
      </c>
      <c r="E199" s="20">
        <v>378412.0</v>
      </c>
      <c r="F199" s="20">
        <v>567616.0</v>
      </c>
      <c r="G199" s="329"/>
      <c r="H199" s="329"/>
      <c r="I199" s="43">
        <f t="shared" si="6"/>
        <v>2.0703965729520004E7</v>
      </c>
    </row>
    <row r="200" spans="8:8">
      <c r="A200" s="3" t="s">
        <v>217</v>
      </c>
      <c r="B200" s="4" t="s">
        <v>196</v>
      </c>
      <c r="C200" s="356">
        <v>0.01</v>
      </c>
      <c r="D200" s="356">
        <v>1.9757937719520003E7</v>
      </c>
      <c r="E200" s="20">
        <v>378412.0</v>
      </c>
      <c r="F200" s="20">
        <v>567616.0</v>
      </c>
      <c r="G200" s="329"/>
      <c r="H200" s="329"/>
      <c r="I200" s="43">
        <f t="shared" si="6"/>
        <v>2.0703965729520004E7</v>
      </c>
    </row>
    <row r="201" spans="8:8">
      <c r="A201" s="3" t="s">
        <v>218</v>
      </c>
      <c r="B201" s="4" t="s">
        <v>196</v>
      </c>
      <c r="C201" s="356">
        <v>0.01</v>
      </c>
      <c r="D201" s="356">
        <v>1.9757937719520003E7</v>
      </c>
      <c r="E201" s="20">
        <v>378412.0</v>
      </c>
      <c r="F201" s="20">
        <v>567616.0</v>
      </c>
      <c r="G201" s="329"/>
      <c r="H201" s="329"/>
      <c r="I201" s="43">
        <f t="shared" si="6"/>
        <v>2.0703965729520004E7</v>
      </c>
    </row>
    <row r="202" spans="8:8">
      <c r="A202" s="3" t="s">
        <v>219</v>
      </c>
      <c r="B202" s="4" t="s">
        <v>196</v>
      </c>
      <c r="C202" s="356">
        <v>0.01</v>
      </c>
      <c r="D202" s="356">
        <v>1.9757937719520003E7</v>
      </c>
      <c r="E202" s="20">
        <v>378412.0</v>
      </c>
      <c r="F202" s="20">
        <v>567616.0</v>
      </c>
      <c r="G202" s="329"/>
      <c r="H202" s="329"/>
      <c r="I202" s="43">
        <f t="shared" si="6"/>
        <v>2.0703965729520004E7</v>
      </c>
    </row>
    <row r="203" spans="8:8">
      <c r="A203" s="3" t="s">
        <v>220</v>
      </c>
      <c r="B203" s="4" t="s">
        <v>196</v>
      </c>
      <c r="C203" s="356">
        <v>0.01</v>
      </c>
      <c r="D203" s="356">
        <v>1.9757937719520003E7</v>
      </c>
      <c r="E203" s="20">
        <v>378412.0</v>
      </c>
      <c r="F203" s="20">
        <v>567616.0</v>
      </c>
      <c r="G203" s="329"/>
      <c r="H203" s="329"/>
      <c r="I203" s="43">
        <f t="shared" si="6"/>
        <v>2.0703965729520004E7</v>
      </c>
    </row>
    <row r="204" spans="8:8">
      <c r="A204" s="15" t="s">
        <v>221</v>
      </c>
      <c r="B204" s="4" t="s">
        <v>196</v>
      </c>
      <c r="C204" s="356">
        <v>0.01</v>
      </c>
      <c r="D204" s="356">
        <v>1.9757937719520003E7</v>
      </c>
      <c r="E204" s="20">
        <v>378412.0</v>
      </c>
      <c r="F204" s="20">
        <v>567616.0</v>
      </c>
      <c r="G204" s="329"/>
      <c r="H204" s="329"/>
      <c r="I204" s="43">
        <f t="shared" si="6"/>
        <v>2.0703965729520004E7</v>
      </c>
    </row>
    <row r="205" spans="8:8">
      <c r="A205" s="3" t="s">
        <v>222</v>
      </c>
      <c r="B205" s="4" t="s">
        <v>196</v>
      </c>
      <c r="C205" s="356">
        <v>0.01</v>
      </c>
      <c r="D205" s="356">
        <v>3.9515875439040005E7</v>
      </c>
      <c r="E205" s="20">
        <v>378412.0</v>
      </c>
      <c r="F205" s="20">
        <v>567616.0</v>
      </c>
      <c r="G205" s="329"/>
      <c r="H205" s="329"/>
      <c r="I205" s="43">
        <f t="shared" si="6"/>
        <v>4.046190344904E7</v>
      </c>
    </row>
    <row r="206" spans="8:8">
      <c r="A206" s="3" t="s">
        <v>223</v>
      </c>
      <c r="B206" s="4" t="s">
        <v>196</v>
      </c>
      <c r="C206" s="356">
        <v>0.01</v>
      </c>
      <c r="D206" s="356">
        <v>1.9757937719520003E7</v>
      </c>
      <c r="E206" s="20">
        <v>378412.0</v>
      </c>
      <c r="F206" s="20">
        <v>567616.0</v>
      </c>
      <c r="G206" s="329"/>
      <c r="H206" s="329"/>
      <c r="I206" s="43">
        <f t="shared" si="6"/>
        <v>2.0703965729520004E7</v>
      </c>
    </row>
    <row r="207" spans="8:8">
      <c r="A207" s="3" t="s">
        <v>224</v>
      </c>
      <c r="B207" s="4" t="s">
        <v>196</v>
      </c>
      <c r="C207" s="356">
        <v>0.01</v>
      </c>
      <c r="D207" s="356">
        <v>1.9757937719520003E7</v>
      </c>
      <c r="E207" s="20">
        <v>378412.0</v>
      </c>
      <c r="F207" s="20">
        <v>567616.0</v>
      </c>
      <c r="G207" s="329"/>
      <c r="H207" s="329"/>
      <c r="I207" s="43">
        <f t="shared" si="6"/>
        <v>2.0703965729520004E7</v>
      </c>
    </row>
    <row r="208" spans="8:8">
      <c r="A208" s="3" t="s">
        <v>225</v>
      </c>
      <c r="B208" s="4" t="s">
        <v>196</v>
      </c>
      <c r="C208" s="356">
        <v>0.01</v>
      </c>
      <c r="D208" s="356">
        <v>1.9757937719520003E7</v>
      </c>
      <c r="E208" s="20">
        <v>378412.0</v>
      </c>
      <c r="F208" s="20">
        <v>567616.0</v>
      </c>
      <c r="G208" s="329"/>
      <c r="H208" s="329"/>
      <c r="I208" s="43">
        <f t="shared" si="6"/>
        <v>2.0703965729520004E7</v>
      </c>
    </row>
    <row r="209" spans="8:8">
      <c r="A209" s="3" t="s">
        <v>226</v>
      </c>
      <c r="B209" s="4" t="s">
        <v>196</v>
      </c>
      <c r="C209" s="356">
        <v>0.01</v>
      </c>
      <c r="D209" s="356">
        <v>2.5967062561440002E7</v>
      </c>
      <c r="E209" s="20">
        <v>378412.0</v>
      </c>
      <c r="F209" s="20">
        <v>567616.0</v>
      </c>
      <c r="G209" s="329"/>
      <c r="H209" s="329"/>
      <c r="I209" s="43">
        <f t="shared" si="6"/>
        <v>2.6913090571440004E7</v>
      </c>
    </row>
    <row r="210" spans="8:8">
      <c r="A210" s="3" t="s">
        <v>228</v>
      </c>
      <c r="B210" s="4" t="s">
        <v>196</v>
      </c>
      <c r="C210" s="356">
        <v>0.01</v>
      </c>
      <c r="D210" s="356">
        <v>1.9757937719520003E7</v>
      </c>
      <c r="E210" s="20">
        <v>378412.0</v>
      </c>
      <c r="F210" s="20">
        <v>567616.0</v>
      </c>
      <c r="G210" s="329"/>
      <c r="H210" s="329"/>
      <c r="I210" s="43">
        <f t="shared" si="6"/>
        <v>2.0703965729520004E7</v>
      </c>
    </row>
    <row r="211" spans="8:8">
      <c r="A211" s="3" t="s">
        <v>229</v>
      </c>
      <c r="B211" s="4" t="s">
        <v>196</v>
      </c>
      <c r="C211" s="356">
        <v>0.01</v>
      </c>
      <c r="D211" s="356">
        <v>1.9757937719520003E7</v>
      </c>
      <c r="E211" s="20">
        <v>378412.0</v>
      </c>
      <c r="F211" s="20">
        <v>567616.0</v>
      </c>
      <c r="G211" s="329"/>
      <c r="H211" s="329"/>
      <c r="I211" s="43">
        <f t="shared" si="6"/>
        <v>2.0703965729520004E7</v>
      </c>
    </row>
    <row r="212" spans="8:8">
      <c r="A212" s="3" t="s">
        <v>230</v>
      </c>
      <c r="B212" s="4" t="s">
        <v>196</v>
      </c>
      <c r="C212" s="356">
        <v>0.01</v>
      </c>
      <c r="D212" s="356">
        <v>1.9757937719520003E7</v>
      </c>
      <c r="E212" s="20">
        <v>378412.0</v>
      </c>
      <c r="F212" s="20">
        <v>567616.0</v>
      </c>
      <c r="G212" s="329"/>
      <c r="H212" s="329"/>
      <c r="I212" s="43">
        <f t="shared" si="6"/>
        <v>2.0703965729520004E7</v>
      </c>
    </row>
    <row r="213" spans="8:8">
      <c r="A213" s="3" t="s">
        <v>231</v>
      </c>
      <c r="B213" s="4" t="s">
        <v>196</v>
      </c>
      <c r="C213" s="356">
        <v>0.01</v>
      </c>
      <c r="D213" s="356">
        <v>1.9757937719520003E7</v>
      </c>
      <c r="E213" s="20">
        <v>378412.0</v>
      </c>
      <c r="F213" s="20">
        <v>567616.0</v>
      </c>
      <c r="G213" s="329"/>
      <c r="H213" s="329"/>
      <c r="I213" s="43">
        <f t="shared" si="6"/>
        <v>2.0703965729520004E7</v>
      </c>
    </row>
    <row r="214" spans="8:8">
      <c r="A214" s="3" t="s">
        <v>232</v>
      </c>
      <c r="B214" s="4" t="s">
        <v>196</v>
      </c>
      <c r="C214" s="356">
        <v>0.01</v>
      </c>
      <c r="D214" s="356">
        <v>1.9757937719520003E7</v>
      </c>
      <c r="E214" s="20">
        <v>378412.0</v>
      </c>
      <c r="F214" s="20">
        <v>567616.0</v>
      </c>
      <c r="G214" s="329"/>
      <c r="H214" s="329"/>
      <c r="I214" s="43">
        <f t="shared" si="6"/>
        <v>2.0703965729520004E7</v>
      </c>
    </row>
    <row r="215" spans="8:8">
      <c r="A215" s="3" t="s">
        <v>233</v>
      </c>
      <c r="B215" s="4" t="s">
        <v>196</v>
      </c>
      <c r="C215" s="356">
        <v>0.01</v>
      </c>
      <c r="D215" s="356">
        <v>1.9757937719520003E7</v>
      </c>
      <c r="E215" s="20">
        <v>378412.0</v>
      </c>
      <c r="F215" s="20">
        <v>567616.0</v>
      </c>
      <c r="G215" s="329"/>
      <c r="H215" s="329"/>
      <c r="I215" s="43">
        <f t="shared" si="6"/>
        <v>2.0703965729520004E7</v>
      </c>
    </row>
    <row r="216" spans="8:8">
      <c r="A216" s="3" t="s">
        <v>234</v>
      </c>
      <c r="B216" s="4" t="s">
        <v>196</v>
      </c>
      <c r="C216" s="356">
        <v>0.01</v>
      </c>
      <c r="D216" s="356">
        <v>1.9757937719520003E7</v>
      </c>
      <c r="E216" s="20">
        <v>378412.0</v>
      </c>
      <c r="F216" s="20">
        <v>567616.0</v>
      </c>
      <c r="G216" s="329"/>
      <c r="H216" s="329"/>
      <c r="I216" s="43">
        <f t="shared" si="6"/>
        <v>2.0703965729520004E7</v>
      </c>
    </row>
    <row r="217" spans="8:8">
      <c r="A217" s="3" t="s">
        <v>235</v>
      </c>
      <c r="B217" s="4" t="s">
        <v>196</v>
      </c>
      <c r="C217" s="356">
        <v>0.01</v>
      </c>
      <c r="D217" s="356">
        <v>1.9757937719520003E7</v>
      </c>
      <c r="E217" s="20">
        <v>378412.0</v>
      </c>
      <c r="F217" s="20">
        <v>567616.0</v>
      </c>
      <c r="G217" s="329"/>
      <c r="H217" s="329"/>
      <c r="I217" s="43">
        <f t="shared" si="6"/>
        <v>2.0703965729520004E7</v>
      </c>
    </row>
    <row r="218" spans="8:8">
      <c r="A218" s="3" t="s">
        <v>236</v>
      </c>
      <c r="B218" s="4" t="s">
        <v>196</v>
      </c>
      <c r="C218" s="356">
        <v>0.01</v>
      </c>
      <c r="D218" s="356">
        <v>1.9757937719520003E7</v>
      </c>
      <c r="E218" s="20">
        <v>378412.0</v>
      </c>
      <c r="F218" s="20">
        <v>567616.0</v>
      </c>
      <c r="G218" s="329"/>
      <c r="H218" s="329"/>
      <c r="I218" s="43">
        <f t="shared" si="6"/>
        <v>2.0703965729520004E7</v>
      </c>
    </row>
    <row r="219" spans="8:8">
      <c r="A219" s="3" t="s">
        <v>237</v>
      </c>
      <c r="B219" s="4" t="s">
        <v>196</v>
      </c>
      <c r="C219" s="356">
        <v>0.01</v>
      </c>
      <c r="D219" s="356">
        <v>1.9757937719520003E7</v>
      </c>
      <c r="E219" s="20">
        <v>378412.0</v>
      </c>
      <c r="F219" s="20">
        <v>567616.0</v>
      </c>
      <c r="G219" s="329"/>
      <c r="H219" s="329"/>
      <c r="I219" s="43">
        <f t="shared" si="6"/>
        <v>2.0703965729520004E7</v>
      </c>
    </row>
    <row r="220" spans="8:8">
      <c r="A220" s="3" t="s">
        <v>238</v>
      </c>
      <c r="B220" s="4" t="s">
        <v>196</v>
      </c>
      <c r="C220" s="356">
        <v>0.01</v>
      </c>
      <c r="D220" s="356">
        <v>1.9757937719520003E7</v>
      </c>
      <c r="E220" s="20">
        <v>378412.0</v>
      </c>
      <c r="F220" s="20">
        <v>567616.0</v>
      </c>
      <c r="G220" s="329"/>
      <c r="H220" s="329"/>
      <c r="I220" s="43">
        <f t="shared" si="6"/>
        <v>2.0703965729520004E7</v>
      </c>
    </row>
    <row r="221" spans="8:8">
      <c r="A221" s="3" t="s">
        <v>239</v>
      </c>
      <c r="B221" s="4" t="s">
        <v>196</v>
      </c>
      <c r="C221" s="356">
        <v>0.01</v>
      </c>
      <c r="D221" s="356">
        <v>1.9757937719520003E7</v>
      </c>
      <c r="E221" s="20">
        <v>378412.0</v>
      </c>
      <c r="F221" s="20">
        <v>567616.0</v>
      </c>
      <c r="G221" s="329"/>
      <c r="H221" s="329"/>
      <c r="I221" s="43">
        <f t="shared" si="6"/>
        <v>2.0703965729520004E7</v>
      </c>
    </row>
    <row r="222" spans="8:8">
      <c r="A222" s="3" t="s">
        <v>240</v>
      </c>
      <c r="B222" s="4" t="s">
        <v>196</v>
      </c>
      <c r="C222" s="356">
        <v>0.01</v>
      </c>
      <c r="D222" s="356">
        <v>1.9757937719520003E7</v>
      </c>
      <c r="E222" s="20">
        <v>378412.0</v>
      </c>
      <c r="F222" s="20">
        <v>567616.0</v>
      </c>
      <c r="G222" s="329"/>
      <c r="H222" s="329"/>
      <c r="I222" s="43">
        <f t="shared" si="6"/>
        <v>2.0703965729520004E7</v>
      </c>
    </row>
    <row r="223" spans="8:8">
      <c r="A223" s="3" t="s">
        <v>241</v>
      </c>
      <c r="B223" s="16" t="s">
        <v>196</v>
      </c>
      <c r="C223" s="356">
        <v>0.01</v>
      </c>
      <c r="D223" s="356">
        <v>1.9757937719520003E7</v>
      </c>
      <c r="E223" s="20">
        <v>378412.0</v>
      </c>
      <c r="F223" s="20">
        <v>567616.0</v>
      </c>
      <c r="G223" s="329"/>
      <c r="H223" s="329"/>
      <c r="I223" s="43">
        <f t="shared" si="6"/>
        <v>2.0703965729520004E7</v>
      </c>
    </row>
    <row r="224" spans="8:8">
      <c r="A224" s="3" t="s">
        <v>242</v>
      </c>
      <c r="B224" s="4" t="s">
        <v>196</v>
      </c>
      <c r="C224" s="356">
        <v>0.01</v>
      </c>
      <c r="D224" s="356">
        <v>1.9757937719520003E7</v>
      </c>
      <c r="E224" s="20">
        <v>378412.0</v>
      </c>
      <c r="F224" s="20">
        <v>567616.0</v>
      </c>
      <c r="G224" s="329"/>
      <c r="H224" s="329"/>
      <c r="I224" s="43">
        <f t="shared" si="6"/>
        <v>2.0703965729520004E7</v>
      </c>
    </row>
    <row r="225" spans="8:8">
      <c r="A225" s="3" t="s">
        <v>243</v>
      </c>
      <c r="B225" s="4" t="s">
        <v>196</v>
      </c>
      <c r="C225" s="356">
        <v>0.01</v>
      </c>
      <c r="D225" s="356">
        <v>1.9757937719520003E7</v>
      </c>
      <c r="E225" s="20">
        <v>378412.0</v>
      </c>
      <c r="F225" s="20">
        <v>567616.0</v>
      </c>
      <c r="G225" s="329"/>
      <c r="H225" s="329"/>
      <c r="I225" s="43">
        <f t="shared" si="6"/>
        <v>2.0703965729520004E7</v>
      </c>
      <c r="J225" s="49"/>
    </row>
    <row r="226" spans="8:8" s="49" ht="15.0" customFormat="1">
      <c r="A226" s="3" t="s">
        <v>244</v>
      </c>
      <c r="B226" s="4" t="s">
        <v>196</v>
      </c>
      <c r="C226" s="356">
        <v>0.01</v>
      </c>
      <c r="D226" s="356">
        <v>1.9757937719520003E7</v>
      </c>
      <c r="E226" s="20">
        <v>378412.0</v>
      </c>
      <c r="F226" s="20">
        <v>567616.0</v>
      </c>
      <c r="G226" s="329"/>
      <c r="H226" s="329"/>
      <c r="I226" s="241">
        <f t="shared" si="6"/>
        <v>2.0703965729520004E7</v>
      </c>
      <c r="J226" s="39"/>
    </row>
    <row r="227" spans="8:8">
      <c r="A227" s="3" t="s">
        <v>246</v>
      </c>
      <c r="B227" s="4" t="s">
        <v>196</v>
      </c>
      <c r="C227" s="356">
        <v>0.01</v>
      </c>
      <c r="D227" s="356">
        <v>1.9757937719520003E7</v>
      </c>
      <c r="E227" s="20">
        <v>378412.0</v>
      </c>
      <c r="F227" s="20">
        <v>567616.0</v>
      </c>
      <c r="G227" s="329"/>
      <c r="H227" s="329"/>
      <c r="I227" s="43">
        <f t="shared" si="6"/>
        <v>2.0703965729520004E7</v>
      </c>
    </row>
    <row r="228" spans="8:8">
      <c r="A228" s="3" t="s">
        <v>247</v>
      </c>
      <c r="B228" s="4" t="s">
        <v>196</v>
      </c>
      <c r="C228" s="356">
        <v>0.01</v>
      </c>
      <c r="D228" s="356">
        <v>1.9757937719520003E7</v>
      </c>
      <c r="E228" s="20">
        <v>378412.0</v>
      </c>
      <c r="F228" s="20">
        <v>567616.0</v>
      </c>
      <c r="G228" s="329"/>
      <c r="H228" s="329"/>
      <c r="I228" s="43">
        <f t="shared" si="6"/>
        <v>2.0703965729520004E7</v>
      </c>
    </row>
    <row r="229" spans="8:8">
      <c r="A229" s="3" t="s">
        <v>248</v>
      </c>
      <c r="B229" s="4" t="s">
        <v>196</v>
      </c>
      <c r="C229" s="356">
        <v>0.01</v>
      </c>
      <c r="D229" s="356">
        <v>1.9757937719520003E7</v>
      </c>
      <c r="E229" s="20">
        <v>378412.0</v>
      </c>
      <c r="F229" s="20">
        <v>567616.0</v>
      </c>
      <c r="G229" s="329"/>
      <c r="H229" s="329"/>
      <c r="I229" s="43">
        <f t="shared" si="6"/>
        <v>2.0703965729520004E7</v>
      </c>
    </row>
    <row r="230" spans="8:8">
      <c r="A230" s="3" t="s">
        <v>249</v>
      </c>
      <c r="B230" s="4" t="s">
        <v>196</v>
      </c>
      <c r="C230" s="356">
        <v>0.01</v>
      </c>
      <c r="D230" s="356">
        <v>1.9757937719520003E7</v>
      </c>
      <c r="E230" s="20">
        <v>378412.0</v>
      </c>
      <c r="F230" s="20">
        <v>567616.0</v>
      </c>
      <c r="G230" s="329"/>
      <c r="H230" s="329"/>
      <c r="I230" s="43">
        <f t="shared" si="6"/>
        <v>2.0703965729520004E7</v>
      </c>
    </row>
    <row r="231" spans="8:8">
      <c r="A231" s="3" t="s">
        <v>250</v>
      </c>
      <c r="B231" s="4" t="s">
        <v>196</v>
      </c>
      <c r="C231" s="356">
        <v>0.01</v>
      </c>
      <c r="D231" s="356">
        <v>1.9757937719520003E7</v>
      </c>
      <c r="E231" s="20">
        <v>378412.0</v>
      </c>
      <c r="F231" s="20">
        <v>567616.0</v>
      </c>
      <c r="G231" s="329"/>
      <c r="H231" s="329"/>
      <c r="I231" s="43">
        <f t="shared" si="6"/>
        <v>2.0703965729520004E7</v>
      </c>
    </row>
    <row r="232" spans="8:8">
      <c r="A232" s="3" t="s">
        <v>251</v>
      </c>
      <c r="B232" s="4" t="s">
        <v>196</v>
      </c>
      <c r="C232" s="356">
        <v>0.01</v>
      </c>
      <c r="D232" s="356">
        <v>1.9757937719520003E7</v>
      </c>
      <c r="E232" s="20">
        <v>378412.0</v>
      </c>
      <c r="F232" s="20">
        <v>567616.0</v>
      </c>
      <c r="G232" s="329"/>
      <c r="H232" s="329"/>
      <c r="I232" s="43">
        <f t="shared" si="6"/>
        <v>2.0703965729520004E7</v>
      </c>
    </row>
    <row r="233" spans="8:8">
      <c r="A233" s="3" t="s">
        <v>252</v>
      </c>
      <c r="B233" s="4" t="s">
        <v>196</v>
      </c>
      <c r="C233" s="356">
        <v>0.01</v>
      </c>
      <c r="D233" s="356">
        <v>1.9757937719520003E7</v>
      </c>
      <c r="E233" s="20">
        <v>378412.0</v>
      </c>
      <c r="F233" s="20">
        <v>567616.0</v>
      </c>
      <c r="G233" s="329"/>
      <c r="H233" s="329"/>
      <c r="I233" s="43">
        <f t="shared" si="6"/>
        <v>2.0703965729520004E7</v>
      </c>
    </row>
    <row r="234" spans="8:8">
      <c r="A234" s="3" t="s">
        <v>253</v>
      </c>
      <c r="B234" s="4" t="s">
        <v>196</v>
      </c>
      <c r="C234" s="356">
        <v>0.01</v>
      </c>
      <c r="D234" s="356">
        <v>1.9757937719520003E7</v>
      </c>
      <c r="E234" s="20">
        <v>378412.0</v>
      </c>
      <c r="F234" s="20">
        <v>567616.0</v>
      </c>
      <c r="G234" s="329"/>
      <c r="H234" s="329"/>
      <c r="I234" s="43">
        <f t="shared" si="6"/>
        <v>2.0703965729520004E7</v>
      </c>
    </row>
    <row r="235" spans="8:8">
      <c r="A235" s="3" t="s">
        <v>254</v>
      </c>
      <c r="B235" s="4" t="s">
        <v>196</v>
      </c>
      <c r="C235" s="356">
        <v>0.01</v>
      </c>
      <c r="D235" s="356">
        <v>1.9757937719520003E7</v>
      </c>
      <c r="E235" s="20">
        <v>378412.0</v>
      </c>
      <c r="F235" s="20">
        <v>567616.0</v>
      </c>
      <c r="G235" s="329"/>
      <c r="H235" s="329"/>
      <c r="I235" s="43">
        <f t="shared" si="6"/>
        <v>2.0703965729520004E7</v>
      </c>
    </row>
    <row r="236" spans="8:8">
      <c r="A236" s="3" t="s">
        <v>255</v>
      </c>
      <c r="B236" s="4" t="s">
        <v>196</v>
      </c>
      <c r="C236" s="356">
        <v>0.01</v>
      </c>
      <c r="D236" s="356">
        <v>1.9757937719520003E7</v>
      </c>
      <c r="E236" s="20">
        <v>378412.0</v>
      </c>
      <c r="F236" s="20">
        <v>567616.0</v>
      </c>
      <c r="G236" s="329"/>
      <c r="H236" s="329"/>
      <c r="I236" s="43">
        <f t="shared" si="6"/>
        <v>2.0703965729520004E7</v>
      </c>
    </row>
    <row r="237" spans="8:8">
      <c r="A237" s="3" t="s">
        <v>256</v>
      </c>
      <c r="B237" s="4" t="s">
        <v>196</v>
      </c>
      <c r="C237" s="356">
        <v>0.01</v>
      </c>
      <c r="D237" s="356">
        <v>1.9757937719520003E7</v>
      </c>
      <c r="E237" s="20">
        <v>378412.0</v>
      </c>
      <c r="F237" s="20">
        <v>567616.0</v>
      </c>
      <c r="G237" s="329"/>
      <c r="H237" s="329"/>
      <c r="I237" s="43">
        <f t="shared" si="6"/>
        <v>2.0703965729520004E7</v>
      </c>
    </row>
    <row r="238" spans="8:8">
      <c r="A238" s="3" t="s">
        <v>257</v>
      </c>
      <c r="B238" s="4" t="s">
        <v>196</v>
      </c>
      <c r="C238" s="356">
        <v>0.01</v>
      </c>
      <c r="D238" s="356">
        <v>1.9757937719520003E7</v>
      </c>
      <c r="E238" s="20">
        <v>378412.0</v>
      </c>
      <c r="F238" s="20">
        <v>567616.0</v>
      </c>
      <c r="G238" s="329"/>
      <c r="H238" s="329"/>
      <c r="I238" s="43">
        <f t="shared" si="6"/>
        <v>2.0703965729520004E7</v>
      </c>
    </row>
    <row r="239" spans="8:8">
      <c r="A239" s="3" t="s">
        <v>258</v>
      </c>
      <c r="B239" s="4" t="s">
        <v>196</v>
      </c>
      <c r="C239" s="356">
        <v>0.01</v>
      </c>
      <c r="D239" s="356">
        <v>1.9757937719520003E7</v>
      </c>
      <c r="E239" s="20">
        <v>378412.0</v>
      </c>
      <c r="F239" s="20">
        <v>567616.0</v>
      </c>
      <c r="G239" s="329"/>
      <c r="H239" s="329"/>
      <c r="I239" s="43">
        <f t="shared" si="6"/>
        <v>2.0703965729520004E7</v>
      </c>
    </row>
    <row r="240" spans="8:8">
      <c r="A240" s="3" t="s">
        <v>259</v>
      </c>
      <c r="B240" s="4" t="s">
        <v>196</v>
      </c>
      <c r="C240" s="356">
        <v>0.01</v>
      </c>
      <c r="D240" s="356">
        <v>1.9757937719520003E7</v>
      </c>
      <c r="E240" s="20">
        <v>378412.0</v>
      </c>
      <c r="F240" s="20">
        <v>567616.0</v>
      </c>
      <c r="G240" s="329"/>
      <c r="H240" s="329"/>
      <c r="I240" s="43">
        <f>SUM(C240:H240)</f>
        <v>2.0703965729520004E7</v>
      </c>
    </row>
    <row r="241" spans="8:8">
      <c r="A241" s="3" t="s">
        <v>260</v>
      </c>
      <c r="B241" s="4" t="s">
        <v>196</v>
      </c>
      <c r="C241" s="356">
        <v>1.00936682170896E7</v>
      </c>
      <c r="D241" s="356">
        <v>2.3731059800447997E7</v>
      </c>
      <c r="E241" s="20">
        <v>378412.0</v>
      </c>
      <c r="F241" s="20">
        <v>567616.0</v>
      </c>
      <c r="G241" s="329"/>
      <c r="H241" s="329"/>
      <c r="I241" s="43">
        <f>SUM(C241:H241)</f>
        <v>3.4770756017537594E7</v>
      </c>
    </row>
    <row r="242" spans="8:8">
      <c r="A242" s="3" t="s">
        <v>262</v>
      </c>
      <c r="B242" s="4" t="s">
        <v>196</v>
      </c>
      <c r="C242" s="356">
        <v>0.01</v>
      </c>
      <c r="D242" s="356">
        <v>2.3709525263423998E7</v>
      </c>
      <c r="E242" s="20">
        <v>378412.0</v>
      </c>
      <c r="F242" s="20">
        <v>567616.0</v>
      </c>
      <c r="G242" s="329"/>
      <c r="H242" s="329"/>
      <c r="I242" s="43">
        <f t="shared" si="7" ref="I242:I254">SUM(C242:F242)</f>
        <v>2.4655553273424E7</v>
      </c>
    </row>
    <row r="243" spans="8:8">
      <c r="A243" s="3" t="s">
        <v>265</v>
      </c>
      <c r="B243" s="4" t="s">
        <v>196</v>
      </c>
      <c r="C243" s="356">
        <v>0.01</v>
      </c>
      <c r="D243" s="356">
        <v>1.9757937719520003E7</v>
      </c>
      <c r="E243" s="20">
        <v>378412.0</v>
      </c>
      <c r="F243" s="20">
        <v>567616.0</v>
      </c>
      <c r="G243" s="329"/>
      <c r="H243" s="329"/>
      <c r="I243" s="43">
        <f t="shared" si="7"/>
        <v>2.0703965729520004E7</v>
      </c>
    </row>
    <row r="244" spans="8:8">
      <c r="A244" s="3" t="s">
        <v>266</v>
      </c>
      <c r="B244" s="4" t="s">
        <v>196</v>
      </c>
      <c r="C244" s="356">
        <v>0.01</v>
      </c>
      <c r="D244" s="356">
        <v>1.9757937719520003E7</v>
      </c>
      <c r="E244" s="20">
        <v>378412.0</v>
      </c>
      <c r="F244" s="20">
        <v>567616.0</v>
      </c>
      <c r="G244" s="329"/>
      <c r="H244" s="329"/>
      <c r="I244" s="43">
        <f t="shared" si="7"/>
        <v>2.0703965729520004E7</v>
      </c>
    </row>
    <row r="245" spans="8:8">
      <c r="A245" s="3" t="s">
        <v>267</v>
      </c>
      <c r="B245" s="4" t="s">
        <v>196</v>
      </c>
      <c r="C245" s="356">
        <v>0.01</v>
      </c>
      <c r="D245" s="356">
        <v>1.9757937719520003E7</v>
      </c>
      <c r="E245" s="20">
        <v>378412.0</v>
      </c>
      <c r="F245" s="20">
        <v>567616.0</v>
      </c>
      <c r="G245" s="329"/>
      <c r="H245" s="329"/>
      <c r="I245" s="43">
        <f t="shared" si="7"/>
        <v>2.0703965729520004E7</v>
      </c>
    </row>
    <row r="246" spans="8:8">
      <c r="A246" s="3" t="s">
        <v>268</v>
      </c>
      <c r="B246" s="4" t="s">
        <v>196</v>
      </c>
      <c r="C246" s="356">
        <v>0.01</v>
      </c>
      <c r="D246" s="356">
        <v>1.9757937719520003E7</v>
      </c>
      <c r="E246" s="20">
        <v>378412.0</v>
      </c>
      <c r="F246" s="20">
        <v>567616.0</v>
      </c>
      <c r="G246" s="329"/>
      <c r="H246" s="329"/>
      <c r="I246" s="43">
        <f t="shared" si="7"/>
        <v>2.0703965729520004E7</v>
      </c>
    </row>
    <row r="247" spans="8:8">
      <c r="A247" s="3" t="s">
        <v>269</v>
      </c>
      <c r="B247" s="4" t="s">
        <v>196</v>
      </c>
      <c r="C247" s="356">
        <v>0.01</v>
      </c>
      <c r="D247" s="356">
        <v>1.9757937719520003E7</v>
      </c>
      <c r="E247" s="20">
        <v>378412.0</v>
      </c>
      <c r="F247" s="20">
        <v>567616.0</v>
      </c>
      <c r="G247" s="329"/>
      <c r="H247" s="329"/>
      <c r="I247" s="43">
        <f t="shared" si="7"/>
        <v>2.0703965729520004E7</v>
      </c>
    </row>
    <row r="248" spans="8:8">
      <c r="A248" s="3" t="s">
        <v>270</v>
      </c>
      <c r="B248" s="4" t="s">
        <v>196</v>
      </c>
      <c r="C248" s="356">
        <v>0.01</v>
      </c>
      <c r="D248" s="356">
        <v>1.9757937719520003E7</v>
      </c>
      <c r="E248" s="20">
        <v>378412.0</v>
      </c>
      <c r="F248" s="20">
        <v>567616.0</v>
      </c>
      <c r="G248" s="329"/>
      <c r="H248" s="329"/>
      <c r="I248" s="43">
        <f t="shared" si="7"/>
        <v>2.0703965729520004E7</v>
      </c>
    </row>
    <row r="249" spans="8:8">
      <c r="A249" s="3" t="s">
        <v>271</v>
      </c>
      <c r="B249" s="4" t="s">
        <v>196</v>
      </c>
      <c r="C249" s="356">
        <v>0.01</v>
      </c>
      <c r="D249" s="356">
        <v>1.9757937719520003E7</v>
      </c>
      <c r="E249" s="20">
        <v>378412.0</v>
      </c>
      <c r="F249" s="20">
        <v>567616.0</v>
      </c>
      <c r="G249" s="329"/>
      <c r="H249" s="329"/>
      <c r="I249" s="43">
        <f t="shared" si="7"/>
        <v>2.0703965729520004E7</v>
      </c>
    </row>
    <row r="250" spans="8:8">
      <c r="A250" s="3" t="s">
        <v>272</v>
      </c>
      <c r="B250" s="4" t="s">
        <v>196</v>
      </c>
      <c r="C250" s="356">
        <v>0.01</v>
      </c>
      <c r="D250" s="356">
        <v>1.9757937719520003E7</v>
      </c>
      <c r="E250" s="20">
        <v>378412.0</v>
      </c>
      <c r="F250" s="20">
        <v>567616.0</v>
      </c>
      <c r="G250" s="329"/>
      <c r="H250" s="329"/>
      <c r="I250" s="43">
        <f t="shared" si="7"/>
        <v>2.0703965729520004E7</v>
      </c>
    </row>
    <row r="251" spans="8:8">
      <c r="A251" s="3" t="s">
        <v>273</v>
      </c>
      <c r="B251" s="4" t="s">
        <v>196</v>
      </c>
      <c r="C251" s="356">
        <v>0.01</v>
      </c>
      <c r="D251" s="356">
        <v>1.9757937719520003E7</v>
      </c>
      <c r="E251" s="20">
        <v>378412.0</v>
      </c>
      <c r="F251" s="20">
        <v>567616.0</v>
      </c>
      <c r="G251" s="329"/>
      <c r="H251" s="329"/>
      <c r="I251" s="43">
        <f t="shared" si="7"/>
        <v>2.0703965729520004E7</v>
      </c>
    </row>
    <row r="252" spans="8:8">
      <c r="A252" s="3" t="s">
        <v>274</v>
      </c>
      <c r="B252" s="4" t="s">
        <v>196</v>
      </c>
      <c r="C252" s="356">
        <v>0.01</v>
      </c>
      <c r="D252" s="356">
        <v>1.9757937719520003E7</v>
      </c>
      <c r="E252" s="20">
        <v>378412.0</v>
      </c>
      <c r="F252" s="20">
        <v>567616.0</v>
      </c>
      <c r="G252" s="329"/>
      <c r="H252" s="329"/>
      <c r="I252" s="43">
        <f t="shared" si="7"/>
        <v>2.0703965729520004E7</v>
      </c>
    </row>
    <row r="253" spans="8:8">
      <c r="A253" s="3" t="s">
        <v>275</v>
      </c>
      <c r="B253" s="4" t="s">
        <v>196</v>
      </c>
      <c r="C253" s="356">
        <v>0.01</v>
      </c>
      <c r="D253" s="356">
        <v>1.9757937719520003E7</v>
      </c>
      <c r="E253" s="20">
        <v>378412.0</v>
      </c>
      <c r="F253" s="20">
        <v>567616.0</v>
      </c>
      <c r="G253" s="329"/>
      <c r="H253" s="329"/>
      <c r="I253" s="43">
        <f t="shared" si="7"/>
        <v>2.0703965729520004E7</v>
      </c>
    </row>
    <row r="254" spans="8:8">
      <c r="A254" s="3" t="s">
        <v>276</v>
      </c>
      <c r="B254" s="4" t="s">
        <v>196</v>
      </c>
      <c r="C254" s="356">
        <v>0.01</v>
      </c>
      <c r="D254" s="356">
        <v>1.9757937719520003E7</v>
      </c>
      <c r="E254" s="20">
        <v>378412.0</v>
      </c>
      <c r="F254" s="20">
        <v>567616.0</v>
      </c>
      <c r="G254" s="329"/>
      <c r="H254" s="329"/>
      <c r="I254" s="43">
        <f t="shared" si="7"/>
        <v>2.0703965729520004E7</v>
      </c>
    </row>
    <row r="255" spans="8:8">
      <c r="A255" s="334" t="s">
        <v>407</v>
      </c>
      <c r="B255" s="4" t="s">
        <v>196</v>
      </c>
      <c r="C255" s="356">
        <v>0.01</v>
      </c>
      <c r="D255" s="356">
        <v>3.9515875439040005E7</v>
      </c>
      <c r="E255" s="20">
        <v>378412.0</v>
      </c>
      <c r="F255" s="20">
        <v>567616.0</v>
      </c>
      <c r="G255" s="329"/>
      <c r="H255" s="329"/>
      <c r="I255" s="43">
        <f>SUM(C255:H255)</f>
        <v>4.046190344904E7</v>
      </c>
    </row>
    <row r="256" spans="8:8">
      <c r="A256" s="334" t="s">
        <v>408</v>
      </c>
      <c r="B256" s="4" t="s">
        <v>196</v>
      </c>
      <c r="C256" s="356">
        <v>0.01</v>
      </c>
      <c r="D256" s="356">
        <v>3.9515875439040005E7</v>
      </c>
      <c r="E256" s="20">
        <v>378412.0</v>
      </c>
      <c r="F256" s="20">
        <v>567616.0</v>
      </c>
      <c r="G256" s="329"/>
      <c r="H256" s="329"/>
      <c r="I256" s="43">
        <f>SUM(C256:H256)</f>
        <v>4.046190344904E7</v>
      </c>
    </row>
    <row r="257" spans="8:8">
      <c r="A257" s="15" t="s">
        <v>277</v>
      </c>
      <c r="B257" s="4" t="s">
        <v>196</v>
      </c>
      <c r="C257" s="356">
        <v>0.01</v>
      </c>
      <c r="D257" s="356">
        <v>1.9757937719520003E7</v>
      </c>
      <c r="E257" s="20">
        <v>378412.0</v>
      </c>
      <c r="F257" s="20">
        <v>567616.0</v>
      </c>
      <c r="G257" s="329"/>
      <c r="H257" s="329"/>
      <c r="I257" s="43">
        <f>SUM(C257:H257)</f>
        <v>2.0703965729520004E7</v>
      </c>
    </row>
    <row r="258" spans="8:8">
      <c r="A258" s="3" t="s">
        <v>280</v>
      </c>
      <c r="B258" s="4" t="s">
        <v>196</v>
      </c>
      <c r="C258" s="356">
        <v>1.0093668193889283E7</v>
      </c>
      <c r="D258" s="356">
        <v>2.3731059800447997E7</v>
      </c>
      <c r="E258" s="20">
        <v>378412.0</v>
      </c>
      <c r="F258" s="20">
        <v>567616.0</v>
      </c>
      <c r="G258" s="329"/>
      <c r="H258" s="329"/>
      <c r="I258" s="43">
        <f>SUM(C258:H258)</f>
        <v>3.4770755994337276E7</v>
      </c>
    </row>
    <row r="259" spans="8:8">
      <c r="A259" s="207" t="s">
        <v>281</v>
      </c>
      <c r="B259" s="208" t="s">
        <v>282</v>
      </c>
      <c r="C259" s="211">
        <v>2.0E7</v>
      </c>
      <c r="D259" s="356"/>
      <c r="E259" s="180"/>
      <c r="F259" s="180"/>
      <c r="G259" s="329"/>
      <c r="H259" s="329"/>
      <c r="I259" s="210">
        <f>SUM(C259:F259)</f>
        <v>2.0E7</v>
      </c>
    </row>
    <row r="260" spans="8:8">
      <c r="A260" s="207" t="s">
        <v>283</v>
      </c>
      <c r="B260" s="208" t="s">
        <v>282</v>
      </c>
      <c r="C260" s="211">
        <v>1.65E7</v>
      </c>
      <c r="D260" s="180"/>
      <c r="E260" s="180"/>
      <c r="F260" s="180"/>
      <c r="G260" s="329"/>
      <c r="H260" s="329"/>
      <c r="I260" s="210">
        <f t="shared" si="8" ref="I260:I268">SUM(C260:D260)</f>
        <v>1.65E7</v>
      </c>
    </row>
    <row r="261" spans="8:8">
      <c r="A261" s="207" t="s">
        <v>284</v>
      </c>
      <c r="B261" s="208" t="s">
        <v>285</v>
      </c>
      <c r="C261" s="20">
        <v>124800.0</v>
      </c>
      <c r="D261" s="180"/>
      <c r="E261" s="180"/>
      <c r="F261" s="180"/>
      <c r="G261" s="329"/>
      <c r="H261" s="329"/>
      <c r="I261" s="210">
        <f t="shared" si="8"/>
        <v>124800.0</v>
      </c>
    </row>
    <row r="262" spans="8:8">
      <c r="A262" s="207" t="s">
        <v>286</v>
      </c>
      <c r="B262" s="208" t="s">
        <v>285</v>
      </c>
      <c r="C262" s="20">
        <v>188448.0</v>
      </c>
      <c r="D262" s="180"/>
      <c r="E262" s="180"/>
      <c r="F262" s="180"/>
      <c r="G262" s="329"/>
      <c r="H262" s="329"/>
      <c r="I262" s="210">
        <f t="shared" si="8"/>
        <v>188448.0</v>
      </c>
    </row>
    <row r="263" spans="8:8">
      <c r="A263" s="15" t="s">
        <v>4</v>
      </c>
      <c r="B263" s="16" t="s">
        <v>285</v>
      </c>
      <c r="C263" s="20">
        <v>378412.0</v>
      </c>
      <c r="D263" s="180"/>
      <c r="E263" s="180"/>
      <c r="F263" s="180"/>
      <c r="G263" s="329"/>
      <c r="H263" s="329"/>
      <c r="I263" s="210">
        <f t="shared" si="8"/>
        <v>378412.0</v>
      </c>
    </row>
    <row r="264" spans="8:8">
      <c r="A264" s="15" t="s">
        <v>406</v>
      </c>
      <c r="B264" s="16" t="s">
        <v>285</v>
      </c>
      <c r="C264" s="20">
        <v>1482000.0</v>
      </c>
      <c r="D264" s="180"/>
      <c r="E264" s="180"/>
      <c r="F264" s="180"/>
      <c r="G264" s="329"/>
      <c r="H264" s="329"/>
      <c r="I264" s="210">
        <f t="shared" si="8"/>
        <v>1482000.0</v>
      </c>
    </row>
    <row r="265" spans="8:8">
      <c r="A265" s="207" t="s">
        <v>287</v>
      </c>
      <c r="B265" s="16" t="s">
        <v>285</v>
      </c>
      <c r="C265" s="20">
        <v>1135232.0</v>
      </c>
      <c r="D265" s="180"/>
      <c r="E265" s="180"/>
      <c r="F265" s="180"/>
      <c r="G265" s="329"/>
      <c r="H265" s="329"/>
      <c r="I265" s="210">
        <f t="shared" si="8"/>
        <v>1135232.0</v>
      </c>
    </row>
    <row r="266" spans="8:8">
      <c r="A266" s="15" t="s">
        <v>319</v>
      </c>
      <c r="B266" s="16" t="s">
        <v>285</v>
      </c>
      <c r="C266" s="20">
        <v>686400.0</v>
      </c>
      <c r="D266" s="180"/>
      <c r="E266" s="180"/>
      <c r="F266" s="180"/>
      <c r="G266" s="329"/>
      <c r="H266" s="329"/>
      <c r="I266" s="210">
        <f t="shared" si="8"/>
        <v>686400.0</v>
      </c>
    </row>
    <row r="267" spans="8:8">
      <c r="A267" s="15" t="s">
        <v>5</v>
      </c>
      <c r="B267" s="16" t="s">
        <v>285</v>
      </c>
      <c r="C267" s="20">
        <v>567616.0</v>
      </c>
      <c r="D267" s="180"/>
      <c r="E267" s="180"/>
      <c r="F267" s="180"/>
      <c r="G267" s="329"/>
      <c r="H267" s="329"/>
      <c r="I267" s="210">
        <f t="shared" si="8"/>
        <v>567616.0</v>
      </c>
    </row>
    <row r="268" spans="8:8">
      <c r="A268" s="15" t="s">
        <v>288</v>
      </c>
      <c r="B268" s="16" t="s">
        <v>285</v>
      </c>
      <c r="C268" s="20">
        <v>1892044.0</v>
      </c>
      <c r="D268" s="180"/>
      <c r="E268" s="180"/>
      <c r="F268" s="180"/>
      <c r="G268" s="329"/>
      <c r="H268" s="329"/>
      <c r="I268" s="210">
        <f t="shared" si="8"/>
        <v>1892044.0</v>
      </c>
    </row>
    <row r="269" spans="8:8">
      <c r="A269" s="207" t="s">
        <v>291</v>
      </c>
      <c r="B269" s="208" t="s">
        <v>290</v>
      </c>
      <c r="C269" s="315">
        <v>8021084.96</v>
      </c>
      <c r="D269" s="356">
        <v>8021084.960528639</v>
      </c>
      <c r="E269" s="180">
        <v>378412.0</v>
      </c>
      <c r="F269" s="20">
        <v>567616.0</v>
      </c>
      <c r="G269" s="329"/>
      <c r="H269" s="329"/>
      <c r="I269" s="210">
        <f>SUM(C269:H269)</f>
        <v>1.698819792052864E7</v>
      </c>
    </row>
    <row r="270" spans="8:8">
      <c r="A270" s="39"/>
      <c r="C270" s="161"/>
      <c r="D270" s="39"/>
    </row>
    <row r="271" spans="8:8">
      <c r="A271" s="39"/>
      <c r="C271" s="161"/>
      <c r="D271" s="39"/>
    </row>
    <row r="272" spans="8:8">
      <c r="A272" s="39"/>
    </row>
    <row r="273" spans="8:8">
      <c r="A273" s="39"/>
    </row>
    <row r="275" spans="8:8">
      <c r="A275" s="38" t="s">
        <v>351</v>
      </c>
    </row>
    <row r="284" spans="8:8">
      <c r="H284" s="351"/>
    </row>
    <row r="285" spans="8:8" s="49" ht="15.0" customFormat="1">
      <c r="A285" s="38"/>
      <c r="B285" s="39"/>
      <c r="C285" s="40"/>
      <c r="D285" s="163"/>
      <c r="E285" s="163"/>
      <c r="F285" s="163"/>
      <c r="G285" s="314"/>
      <c r="H285" s="351"/>
    </row>
    <row r="293" spans="8:8" s="49" ht="15.0" customFormat="1">
      <c r="A293" s="38"/>
      <c r="B293" s="39"/>
      <c r="C293" s="40"/>
      <c r="D293" s="163"/>
      <c r="E293" s="163"/>
      <c r="F293" s="163"/>
      <c r="G293" s="314"/>
      <c r="H293" s="351"/>
    </row>
    <row r="296" spans="8:8" s="49" ht="15.0" customFormat="1">
      <c r="A296" s="38"/>
      <c r="B296" s="39"/>
      <c r="C296" s="40"/>
      <c r="D296" s="163"/>
      <c r="E296" s="163"/>
      <c r="F296" s="163"/>
      <c r="G296" s="314"/>
      <c r="H296" s="351"/>
    </row>
    <row r="297" spans="8:8" s="49" ht="15.0" customFormat="1">
      <c r="A297" s="38"/>
      <c r="B297" s="39"/>
      <c r="C297" s="40"/>
      <c r="D297" s="163"/>
      <c r="E297" s="163"/>
      <c r="F297" s="163"/>
      <c r="G297" s="314"/>
      <c r="H297" s="351"/>
    </row>
    <row r="298" spans="8:8">
      <c r="H298" s="248"/>
    </row>
    <row r="299" spans="8:8">
      <c r="H299" s="248"/>
    </row>
  </sheetData>
  <pageMargins left="0.7" right="0.7" top="0.75" bottom="0.75" header="0.3" footer="0.3"/>
</worksheet>
</file>

<file path=xl/worksheets/sheet26.xml><?xml version="1.0" encoding="utf-8"?>
<worksheet xmlns:r="http://schemas.openxmlformats.org/officeDocument/2006/relationships" xmlns="http://schemas.openxmlformats.org/spreadsheetml/2006/main">
  <dimension ref="A1:O299"/>
  <sheetViews>
    <sheetView workbookViewId="0" topLeftCell="A217">
      <selection activeCell="D13" sqref="D13"/>
    </sheetView>
  </sheetViews>
  <sheetFormatPr defaultRowHeight="15.0" defaultColWidth="10"/>
  <cols>
    <col min="1" max="1" customWidth="1" width="45.570312" style="38"/>
    <col min="2" max="2" customWidth="1" width="14.0" style="39"/>
    <col min="3" max="3" customWidth="1" width="13.5703125" style="40"/>
    <col min="4" max="5" customWidth="1" width="18.140625" style="163"/>
    <col min="6" max="6" customWidth="1" width="19.710938" style="163"/>
    <col min="7" max="7" customWidth="1" width="14.5703125" style="314"/>
    <col min="8" max="8" customWidth="1" width="19.710938" style="244"/>
    <col min="9" max="9" customWidth="1" bestFit="1" width="15.7109375" style="39"/>
    <col min="10" max="10" customWidth="1" bestFit="1" width="76.140625" style="39"/>
    <col min="11" max="11" customWidth="1" bestFit="1" width="13.285156" style="39"/>
    <col min="12" max="12" customWidth="0" width="11.425781" style="39"/>
    <col min="13" max="13" customWidth="1" bestFit="1" width="41.710938" style="39"/>
    <col min="14" max="16384" customWidth="0" width="11.425781" style="39"/>
  </cols>
  <sheetData>
    <row r="1" spans="8:8">
      <c r="A1" s="1" t="s">
        <v>0</v>
      </c>
      <c r="B1" s="1" t="s">
        <v>1</v>
      </c>
      <c r="C1" s="2" t="s">
        <v>416</v>
      </c>
      <c r="D1" s="2" t="s">
        <v>3</v>
      </c>
      <c r="E1" s="80" t="s">
        <v>4</v>
      </c>
      <c r="F1" s="80" t="s">
        <v>5</v>
      </c>
      <c r="G1" s="80" t="s">
        <v>406</v>
      </c>
      <c r="H1" s="80" t="s">
        <v>319</v>
      </c>
      <c r="I1" s="2" t="s">
        <v>294</v>
      </c>
    </row>
    <row r="2" spans="8:8">
      <c r="A2" s="3" t="s">
        <v>7</v>
      </c>
      <c r="B2" s="4" t="s">
        <v>8</v>
      </c>
      <c r="C2" s="356">
        <v>0.01</v>
      </c>
      <c r="D2" s="356">
        <v>5976609.264</v>
      </c>
      <c r="E2" s="180">
        <v>567618.0</v>
      </c>
      <c r="F2" s="180">
        <v>851424.0</v>
      </c>
      <c r="G2" s="329"/>
      <c r="H2" s="204"/>
      <c r="I2" s="43">
        <f>SUM(C2:H2)</f>
        <v>7395651.274</v>
      </c>
      <c r="J2" s="233"/>
    </row>
    <row r="3" spans="8:8">
      <c r="A3" s="3" t="s">
        <v>9</v>
      </c>
      <c r="B3" s="4" t="s">
        <v>8</v>
      </c>
      <c r="C3" s="356">
        <v>0.01</v>
      </c>
      <c r="D3" s="356">
        <v>5976609.264</v>
      </c>
      <c r="E3" s="180">
        <v>567618.0</v>
      </c>
      <c r="F3" s="180">
        <v>851424.0</v>
      </c>
      <c r="G3" s="329"/>
      <c r="H3" s="329"/>
      <c r="I3" s="43">
        <f>SUM(C3:F3)</f>
        <v>7395651.274</v>
      </c>
      <c r="J3" s="233"/>
    </row>
    <row r="4" spans="8:8">
      <c r="A4" s="3" t="s">
        <v>10</v>
      </c>
      <c r="B4" s="4" t="s">
        <v>8</v>
      </c>
      <c r="C4" s="356">
        <v>0.01</v>
      </c>
      <c r="D4" s="356">
        <v>5976609.264</v>
      </c>
      <c r="E4" s="180">
        <v>567618.0</v>
      </c>
      <c r="F4" s="180">
        <v>851424.0</v>
      </c>
      <c r="G4" s="329"/>
      <c r="H4" s="329"/>
      <c r="I4" s="43">
        <f>SUM(C4:F4)</f>
        <v>7395651.274</v>
      </c>
      <c r="J4" s="233"/>
    </row>
    <row r="5" spans="8:8">
      <c r="A5" s="3" t="s">
        <v>11</v>
      </c>
      <c r="B5" s="4" t="s">
        <v>8</v>
      </c>
      <c r="C5" s="62">
        <v>0.01</v>
      </c>
      <c r="D5" s="356">
        <v>9711990.093</v>
      </c>
      <c r="E5" s="180">
        <v>567618.0</v>
      </c>
      <c r="F5" s="180">
        <v>851424.0</v>
      </c>
      <c r="G5" s="329"/>
      <c r="H5" s="329"/>
      <c r="I5" s="43">
        <f t="shared" si="0" ref="I5:I49">SUM(C5:H5)</f>
        <v>1.1131032103E7</v>
      </c>
      <c r="J5" s="233"/>
    </row>
    <row r="6" spans="8:8">
      <c r="A6" s="15" t="s">
        <v>12</v>
      </c>
      <c r="B6" s="16" t="s">
        <v>13</v>
      </c>
      <c r="C6" s="356">
        <v>3577101.9439999997</v>
      </c>
      <c r="D6" s="356">
        <v>2454539.664</v>
      </c>
      <c r="E6" s="180">
        <v>567618.0</v>
      </c>
      <c r="F6" s="180">
        <v>851424.0</v>
      </c>
      <c r="G6" s="329"/>
      <c r="H6" s="329">
        <v>1029600.0</v>
      </c>
      <c r="I6" s="43">
        <f t="shared" si="0"/>
        <v>8480283.608</v>
      </c>
      <c r="J6" s="233"/>
      <c r="L6" s="71"/>
      <c r="M6" s="71"/>
    </row>
    <row r="7" spans="8:8">
      <c r="A7" s="3" t="s">
        <v>15</v>
      </c>
      <c r="B7" s="4" t="s">
        <v>13</v>
      </c>
      <c r="C7" s="356">
        <v>3577101.9439999997</v>
      </c>
      <c r="D7" s="356">
        <v>2454539.664</v>
      </c>
      <c r="E7" s="180">
        <v>567618.0</v>
      </c>
      <c r="F7" s="180">
        <v>851424.0</v>
      </c>
      <c r="G7" s="329"/>
      <c r="H7" s="329">
        <v>1029600.0</v>
      </c>
      <c r="I7" s="43">
        <f t="shared" si="0"/>
        <v>8480283.608</v>
      </c>
      <c r="J7" s="233"/>
      <c r="L7" s="71"/>
      <c r="M7" s="71"/>
    </row>
    <row r="8" spans="8:8">
      <c r="A8" s="3" t="s">
        <v>16</v>
      </c>
      <c r="B8" s="4" t="s">
        <v>13</v>
      </c>
      <c r="C8" s="356">
        <v>3577101.9439999997</v>
      </c>
      <c r="D8" s="356">
        <v>2454539.664</v>
      </c>
      <c r="E8" s="180">
        <v>567618.0</v>
      </c>
      <c r="F8" s="180">
        <v>851424.0</v>
      </c>
      <c r="G8" s="329"/>
      <c r="H8" s="329">
        <v>1029600.0</v>
      </c>
      <c r="I8" s="43">
        <f t="shared" si="0"/>
        <v>8480283.608</v>
      </c>
      <c r="J8" s="233"/>
      <c r="L8" s="71"/>
      <c r="M8" s="71"/>
    </row>
    <row r="9" spans="8:8">
      <c r="A9" s="3" t="s">
        <v>17</v>
      </c>
      <c r="B9" s="4" t="s">
        <v>13</v>
      </c>
      <c r="C9" s="356">
        <v>1.245654527E7</v>
      </c>
      <c r="D9" s="356">
        <v>5610376.368</v>
      </c>
      <c r="E9" s="180">
        <v>567618.0</v>
      </c>
      <c r="F9" s="180">
        <v>851424.0</v>
      </c>
      <c r="G9" s="329"/>
      <c r="H9" s="329">
        <v>1029600.0</v>
      </c>
      <c r="I9" s="43">
        <f t="shared" si="0"/>
        <v>2.0515563638E7</v>
      </c>
      <c r="J9" s="233"/>
      <c r="L9" s="71"/>
      <c r="M9" s="71"/>
    </row>
    <row r="10" spans="8:8">
      <c r="A10" s="3" t="s">
        <v>18</v>
      </c>
      <c r="B10" s="4" t="s">
        <v>13</v>
      </c>
      <c r="C10" s="356">
        <v>4241873.103</v>
      </c>
      <c r="D10" s="356">
        <v>5610376.368</v>
      </c>
      <c r="E10" s="180">
        <v>567618.0</v>
      </c>
      <c r="F10" s="180">
        <v>851424.0</v>
      </c>
      <c r="G10" s="329"/>
      <c r="H10" s="329">
        <v>1029600.0</v>
      </c>
      <c r="I10" s="43">
        <f t="shared" si="0"/>
        <v>1.2300891471E7</v>
      </c>
      <c r="J10" s="233"/>
      <c r="L10" s="71"/>
      <c r="M10" s="71"/>
    </row>
    <row r="11" spans="8:8">
      <c r="A11" s="3" t="s">
        <v>19</v>
      </c>
      <c r="B11" s="4" t="s">
        <v>13</v>
      </c>
      <c r="C11" s="356">
        <v>4241873.103</v>
      </c>
      <c r="D11" s="356">
        <v>5610376.368</v>
      </c>
      <c r="E11" s="180">
        <v>567618.0</v>
      </c>
      <c r="F11" s="180">
        <v>851424.0</v>
      </c>
      <c r="G11" s="329"/>
      <c r="H11" s="329">
        <v>1029600.0</v>
      </c>
      <c r="I11" s="43">
        <f t="shared" si="0"/>
        <v>1.2300891471E7</v>
      </c>
      <c r="J11" s="233"/>
      <c r="L11" s="71"/>
      <c r="M11" s="71"/>
    </row>
    <row r="12" spans="8:8">
      <c r="A12" s="3" t="s">
        <v>20</v>
      </c>
      <c r="B12" s="4" t="s">
        <v>13</v>
      </c>
      <c r="C12" s="356">
        <v>4241873.103</v>
      </c>
      <c r="D12" s="356">
        <v>5610376.368</v>
      </c>
      <c r="E12" s="180">
        <v>567618.0</v>
      </c>
      <c r="F12" s="180">
        <v>851424.0</v>
      </c>
      <c r="G12" s="329"/>
      <c r="H12" s="329">
        <v>1029600.0</v>
      </c>
      <c r="I12" s="43">
        <f t="shared" si="0"/>
        <v>1.2300891471E7</v>
      </c>
      <c r="J12" s="233"/>
    </row>
    <row r="13" spans="8:8">
      <c r="A13" s="15" t="s">
        <v>21</v>
      </c>
      <c r="B13" s="4" t="s">
        <v>13</v>
      </c>
      <c r="C13" s="356">
        <v>4241873.103</v>
      </c>
      <c r="D13" s="356">
        <v>5610376.368</v>
      </c>
      <c r="E13" s="180">
        <v>567618.0</v>
      </c>
      <c r="F13" s="180">
        <v>851424.0</v>
      </c>
      <c r="G13" s="329"/>
      <c r="H13" s="329">
        <v>1029600.0</v>
      </c>
      <c r="I13" s="43">
        <f t="shared" si="0"/>
        <v>1.2300891471E7</v>
      </c>
      <c r="J13" s="233"/>
    </row>
    <row r="14" spans="8:8">
      <c r="A14" s="15" t="s">
        <v>22</v>
      </c>
      <c r="B14" s="16" t="s">
        <v>13</v>
      </c>
      <c r="C14" s="356">
        <v>4241873.103</v>
      </c>
      <c r="D14" s="356">
        <v>5610376.368</v>
      </c>
      <c r="E14" s="180">
        <v>567618.0</v>
      </c>
      <c r="F14" s="180">
        <v>851424.0</v>
      </c>
      <c r="G14" s="329"/>
      <c r="H14" s="329">
        <v>1029600.0</v>
      </c>
      <c r="I14" s="43">
        <f t="shared" si="0"/>
        <v>1.2300891471E7</v>
      </c>
      <c r="J14" s="233"/>
    </row>
    <row r="15" spans="8:8">
      <c r="A15" s="15" t="s">
        <v>23</v>
      </c>
      <c r="B15" s="16" t="s">
        <v>13</v>
      </c>
      <c r="C15" s="356">
        <v>4241873.103</v>
      </c>
      <c r="D15" s="356">
        <v>5610376.368</v>
      </c>
      <c r="E15" s="180">
        <v>567618.0</v>
      </c>
      <c r="F15" s="180">
        <v>851424.0</v>
      </c>
      <c r="G15" s="329"/>
      <c r="H15" s="329">
        <v>1029600.0</v>
      </c>
      <c r="I15" s="43">
        <f t="shared" si="0"/>
        <v>1.2300891471E7</v>
      </c>
      <c r="J15" s="233"/>
    </row>
    <row r="16" spans="8:8">
      <c r="A16" s="3" t="s">
        <v>24</v>
      </c>
      <c r="B16" s="16" t="s">
        <v>13</v>
      </c>
      <c r="C16" s="356">
        <v>4241873.103</v>
      </c>
      <c r="D16" s="356">
        <v>5610376.368</v>
      </c>
      <c r="E16" s="180">
        <v>567618.0</v>
      </c>
      <c r="F16" s="180">
        <v>851424.0</v>
      </c>
      <c r="G16" s="329"/>
      <c r="H16" s="329">
        <v>1029600.0</v>
      </c>
      <c r="I16" s="43">
        <f t="shared" si="0"/>
        <v>1.2300891471E7</v>
      </c>
      <c r="J16" s="233"/>
    </row>
    <row r="17" spans="8:8">
      <c r="A17" s="3" t="s">
        <v>25</v>
      </c>
      <c r="B17" s="4" t="s">
        <v>13</v>
      </c>
      <c r="C17" s="356">
        <v>4241873.103</v>
      </c>
      <c r="D17" s="356">
        <v>5610376.368</v>
      </c>
      <c r="E17" s="180">
        <v>567618.0</v>
      </c>
      <c r="F17" s="180">
        <v>851424.0</v>
      </c>
      <c r="G17" s="329"/>
      <c r="H17" s="329">
        <v>1029600.0</v>
      </c>
      <c r="I17" s="43">
        <f t="shared" si="0"/>
        <v>1.2300891471E7</v>
      </c>
      <c r="J17" s="233"/>
    </row>
    <row r="18" spans="8:8">
      <c r="A18" s="3" t="s">
        <v>26</v>
      </c>
      <c r="B18" s="4" t="s">
        <v>13</v>
      </c>
      <c r="C18" s="356">
        <v>4241873.103</v>
      </c>
      <c r="D18" s="356">
        <v>5610376.368</v>
      </c>
      <c r="E18" s="180">
        <v>567618.0</v>
      </c>
      <c r="F18" s="180">
        <v>851424.0</v>
      </c>
      <c r="G18" s="329"/>
      <c r="H18" s="329">
        <v>1029600.0</v>
      </c>
      <c r="I18" s="43">
        <f t="shared" si="0"/>
        <v>1.2300891471E7</v>
      </c>
      <c r="J18" s="233"/>
    </row>
    <row r="19" spans="8:8">
      <c r="A19" s="3" t="s">
        <v>27</v>
      </c>
      <c r="B19" s="4" t="s">
        <v>13</v>
      </c>
      <c r="C19" s="356">
        <v>4241873.103</v>
      </c>
      <c r="D19" s="356">
        <v>5610376.368</v>
      </c>
      <c r="E19" s="180">
        <v>567618.0</v>
      </c>
      <c r="F19" s="180">
        <v>851424.0</v>
      </c>
      <c r="G19" s="329"/>
      <c r="H19" s="329">
        <v>1029600.0</v>
      </c>
      <c r="I19" s="43">
        <f t="shared" si="0"/>
        <v>1.2300891471E7</v>
      </c>
      <c r="J19" s="233"/>
    </row>
    <row r="20" spans="8:8">
      <c r="A20" s="3" t="s">
        <v>28</v>
      </c>
      <c r="B20" s="4" t="s">
        <v>13</v>
      </c>
      <c r="C20" s="356">
        <v>4241873.103</v>
      </c>
      <c r="D20" s="356">
        <v>5610376.368</v>
      </c>
      <c r="E20" s="180">
        <v>567618.0</v>
      </c>
      <c r="F20" s="180">
        <v>851424.0</v>
      </c>
      <c r="G20" s="329"/>
      <c r="H20" s="329">
        <v>1029600.0</v>
      </c>
      <c r="I20" s="43">
        <f t="shared" si="0"/>
        <v>1.2300891471E7</v>
      </c>
      <c r="J20" s="233"/>
    </row>
    <row r="21" spans="8:8">
      <c r="A21" s="3" t="s">
        <v>29</v>
      </c>
      <c r="B21" s="4" t="s">
        <v>13</v>
      </c>
      <c r="C21" s="356">
        <v>4241873.103</v>
      </c>
      <c r="D21" s="356">
        <v>5610376.368</v>
      </c>
      <c r="E21" s="180">
        <v>567618.0</v>
      </c>
      <c r="F21" s="180">
        <v>851424.0</v>
      </c>
      <c r="G21" s="329"/>
      <c r="H21" s="329">
        <v>1029600.0</v>
      </c>
      <c r="I21" s="43">
        <f t="shared" si="0"/>
        <v>1.2300891471E7</v>
      </c>
      <c r="J21" s="233"/>
    </row>
    <row r="22" spans="8:8">
      <c r="A22" s="3" t="s">
        <v>30</v>
      </c>
      <c r="B22" s="4" t="s">
        <v>13</v>
      </c>
      <c r="C22" s="356">
        <v>4241873.103</v>
      </c>
      <c r="D22" s="356">
        <v>5610376.368</v>
      </c>
      <c r="E22" s="180">
        <v>567618.0</v>
      </c>
      <c r="F22" s="180">
        <v>851424.0</v>
      </c>
      <c r="G22" s="329"/>
      <c r="H22" s="329">
        <v>1029600.0</v>
      </c>
      <c r="I22" s="43">
        <f t="shared" si="0"/>
        <v>1.2300891471E7</v>
      </c>
      <c r="J22" s="233"/>
    </row>
    <row r="23" spans="8:8">
      <c r="A23" s="3" t="s">
        <v>31</v>
      </c>
      <c r="B23" s="4" t="s">
        <v>13</v>
      </c>
      <c r="C23" s="356">
        <v>4241873.103</v>
      </c>
      <c r="D23" s="356">
        <v>5610376.368</v>
      </c>
      <c r="E23" s="180">
        <v>567618.0</v>
      </c>
      <c r="F23" s="180">
        <v>851424.0</v>
      </c>
      <c r="G23" s="329"/>
      <c r="H23" s="329">
        <v>1029600.0</v>
      </c>
      <c r="I23" s="43">
        <f t="shared" si="0"/>
        <v>1.2300891471E7</v>
      </c>
      <c r="J23" s="233"/>
    </row>
    <row r="24" spans="8:8">
      <c r="A24" s="3" t="s">
        <v>32</v>
      </c>
      <c r="B24" s="4" t="s">
        <v>13</v>
      </c>
      <c r="C24" s="356">
        <v>4241873.103</v>
      </c>
      <c r="D24" s="356">
        <v>5610376.368</v>
      </c>
      <c r="E24" s="180">
        <v>567618.0</v>
      </c>
      <c r="F24" s="180">
        <v>851424.0</v>
      </c>
      <c r="G24" s="329"/>
      <c r="H24" s="329">
        <v>1029600.0</v>
      </c>
      <c r="I24" s="43">
        <f t="shared" si="0"/>
        <v>1.2300891471E7</v>
      </c>
      <c r="J24" s="233"/>
    </row>
    <row r="25" spans="8:8">
      <c r="A25" s="3" t="s">
        <v>33</v>
      </c>
      <c r="B25" s="4" t="s">
        <v>13</v>
      </c>
      <c r="C25" s="356">
        <v>4241873.103</v>
      </c>
      <c r="D25" s="356">
        <v>5610376.368</v>
      </c>
      <c r="E25" s="180">
        <v>567618.0</v>
      </c>
      <c r="F25" s="180">
        <v>851424.0</v>
      </c>
      <c r="G25" s="329"/>
      <c r="H25" s="329">
        <v>1029600.0</v>
      </c>
      <c r="I25" s="43">
        <f t="shared" si="0"/>
        <v>1.2300891471E7</v>
      </c>
      <c r="J25" s="233"/>
    </row>
    <row r="26" spans="8:8">
      <c r="A26" s="3" t="s">
        <v>34</v>
      </c>
      <c r="B26" s="4" t="s">
        <v>13</v>
      </c>
      <c r="C26" s="356">
        <v>3577101.9439999997</v>
      </c>
      <c r="D26" s="356">
        <v>2454539.664</v>
      </c>
      <c r="E26" s="180">
        <v>567618.0</v>
      </c>
      <c r="F26" s="180">
        <v>851424.0</v>
      </c>
      <c r="G26" s="329"/>
      <c r="H26" s="329">
        <v>1029600.0</v>
      </c>
      <c r="I26" s="43">
        <f t="shared" si="0"/>
        <v>8480283.608</v>
      </c>
      <c r="J26" s="233"/>
    </row>
    <row r="27" spans="8:8">
      <c r="A27" s="3" t="s">
        <v>35</v>
      </c>
      <c r="B27" s="4" t="s">
        <v>13</v>
      </c>
      <c r="C27" s="356">
        <v>3577101.9439999997</v>
      </c>
      <c r="D27" s="356">
        <v>2454539.664</v>
      </c>
      <c r="E27" s="180">
        <v>567618.0</v>
      </c>
      <c r="F27" s="180">
        <v>851424.0</v>
      </c>
      <c r="G27" s="329"/>
      <c r="H27" s="329">
        <v>1029600.0</v>
      </c>
      <c r="I27" s="43">
        <f t="shared" si="0"/>
        <v>8480283.608</v>
      </c>
      <c r="J27" s="233"/>
    </row>
    <row r="28" spans="8:8">
      <c r="A28" s="3" t="s">
        <v>36</v>
      </c>
      <c r="B28" s="4" t="s">
        <v>13</v>
      </c>
      <c r="C28" s="356">
        <v>3577101.9439999997</v>
      </c>
      <c r="D28" s="356">
        <v>2454539.664</v>
      </c>
      <c r="E28" s="180">
        <v>567618.0</v>
      </c>
      <c r="F28" s="180">
        <v>851424.0</v>
      </c>
      <c r="G28" s="329"/>
      <c r="H28" s="329">
        <v>1029600.0</v>
      </c>
      <c r="I28" s="43">
        <f t="shared" si="0"/>
        <v>8480283.608</v>
      </c>
      <c r="J28" s="233"/>
    </row>
    <row r="29" spans="8:8">
      <c r="A29" s="3" t="s">
        <v>37</v>
      </c>
      <c r="B29" s="4" t="s">
        <v>13</v>
      </c>
      <c r="C29" s="356">
        <v>3577101.9439999997</v>
      </c>
      <c r="D29" s="356">
        <v>2454539.664</v>
      </c>
      <c r="E29" s="180">
        <v>567618.0</v>
      </c>
      <c r="F29" s="180">
        <v>851424.0</v>
      </c>
      <c r="G29" s="329"/>
      <c r="H29" s="329">
        <v>1029600.0</v>
      </c>
      <c r="I29" s="43">
        <f t="shared" si="0"/>
        <v>8480283.608</v>
      </c>
      <c r="J29" s="233"/>
    </row>
    <row r="30" spans="8:8">
      <c r="A30" s="3" t="s">
        <v>38</v>
      </c>
      <c r="B30" s="4" t="s">
        <v>13</v>
      </c>
      <c r="C30" s="356">
        <v>3577101.9439999997</v>
      </c>
      <c r="D30" s="356">
        <v>2454539.664</v>
      </c>
      <c r="E30" s="180">
        <v>567618.0</v>
      </c>
      <c r="F30" s="180">
        <v>851424.0</v>
      </c>
      <c r="G30" s="329"/>
      <c r="H30" s="329">
        <v>1029600.0</v>
      </c>
      <c r="I30" s="43">
        <f t="shared" si="0"/>
        <v>8480283.608</v>
      </c>
      <c r="J30" s="233"/>
    </row>
    <row r="31" spans="8:8">
      <c r="A31" s="15" t="s">
        <v>39</v>
      </c>
      <c r="B31" s="4" t="s">
        <v>13</v>
      </c>
      <c r="C31" s="356">
        <v>3577101.9439999997</v>
      </c>
      <c r="D31" s="356">
        <v>2454539.664</v>
      </c>
      <c r="E31" s="180">
        <v>567618.0</v>
      </c>
      <c r="F31" s="180">
        <v>851424.0</v>
      </c>
      <c r="G31" s="329"/>
      <c r="H31" s="329">
        <v>1029600.0</v>
      </c>
      <c r="I31" s="43">
        <f t="shared" si="0"/>
        <v>8480283.608</v>
      </c>
      <c r="J31" s="233"/>
    </row>
    <row r="32" spans="8:8" s="49" ht="15.0" customFormat="1">
      <c r="A32" s="3" t="s">
        <v>40</v>
      </c>
      <c r="B32" s="16" t="s">
        <v>13</v>
      </c>
      <c r="C32" s="356">
        <v>3577101.9439999997</v>
      </c>
      <c r="D32" s="356">
        <v>2454539.664</v>
      </c>
      <c r="E32" s="180">
        <v>567618.0</v>
      </c>
      <c r="F32" s="180">
        <v>851424.0</v>
      </c>
      <c r="G32" s="329"/>
      <c r="H32" s="329">
        <v>1029600.0</v>
      </c>
      <c r="I32" s="43">
        <f t="shared" si="0"/>
        <v>8480283.608</v>
      </c>
      <c r="J32" s="233"/>
    </row>
    <row r="33" spans="8:8">
      <c r="A33" s="15" t="s">
        <v>41</v>
      </c>
      <c r="B33" s="16" t="s">
        <v>13</v>
      </c>
      <c r="C33" s="356">
        <v>3577101.9439999997</v>
      </c>
      <c r="D33" s="356">
        <v>2454539.664</v>
      </c>
      <c r="E33" s="180">
        <v>567618.0</v>
      </c>
      <c r="F33" s="180">
        <v>851424.0</v>
      </c>
      <c r="G33" s="329"/>
      <c r="H33" s="329">
        <v>1029600.0</v>
      </c>
      <c r="I33" s="43">
        <f t="shared" si="0"/>
        <v>8480283.608</v>
      </c>
      <c r="J33" s="233"/>
    </row>
    <row r="34" spans="8:8" s="49" ht="15.0" customFormat="1">
      <c r="A34" s="3" t="s">
        <v>42</v>
      </c>
      <c r="B34" s="16" t="s">
        <v>13</v>
      </c>
      <c r="C34" s="356">
        <v>3577101.9439999997</v>
      </c>
      <c r="D34" s="356">
        <v>2454539.664</v>
      </c>
      <c r="E34" s="180">
        <v>567618.0</v>
      </c>
      <c r="F34" s="180">
        <v>851424.0</v>
      </c>
      <c r="G34" s="329"/>
      <c r="H34" s="329">
        <v>1029600.0</v>
      </c>
      <c r="I34" s="43">
        <f t="shared" si="0"/>
        <v>8480283.608</v>
      </c>
      <c r="J34" s="233"/>
    </row>
    <row r="35" spans="8:8">
      <c r="A35" s="3" t="s">
        <v>43</v>
      </c>
      <c r="B35" s="4" t="s">
        <v>13</v>
      </c>
      <c r="C35" s="356">
        <v>3577101.9439999997</v>
      </c>
      <c r="D35" s="356">
        <v>2454539.664</v>
      </c>
      <c r="E35" s="180">
        <v>567618.0</v>
      </c>
      <c r="F35" s="180">
        <v>851424.0</v>
      </c>
      <c r="G35" s="329"/>
      <c r="H35" s="329">
        <v>1029600.0</v>
      </c>
      <c r="I35" s="43">
        <f t="shared" si="0"/>
        <v>8480283.608</v>
      </c>
      <c r="J35" s="233"/>
    </row>
    <row r="36" spans="8:8">
      <c r="A36" s="3" t="s">
        <v>44</v>
      </c>
      <c r="B36" s="4" t="s">
        <v>13</v>
      </c>
      <c r="C36" s="356">
        <v>3577101.9439999997</v>
      </c>
      <c r="D36" s="356">
        <v>2454539.664</v>
      </c>
      <c r="E36" s="180">
        <v>567618.0</v>
      </c>
      <c r="F36" s="180">
        <v>851424.0</v>
      </c>
      <c r="G36" s="329"/>
      <c r="H36" s="329">
        <v>1029600.0</v>
      </c>
      <c r="I36" s="43">
        <f t="shared" si="0"/>
        <v>8480283.608</v>
      </c>
      <c r="J36" s="233"/>
    </row>
    <row r="37" spans="8:8">
      <c r="A37" s="3" t="s">
        <v>45</v>
      </c>
      <c r="B37" s="4" t="s">
        <v>13</v>
      </c>
      <c r="C37" s="356">
        <v>8088049.085999999</v>
      </c>
      <c r="D37" s="356">
        <v>5844142.0479999995</v>
      </c>
      <c r="E37" s="180">
        <v>567618.0</v>
      </c>
      <c r="F37" s="180">
        <v>851424.0</v>
      </c>
      <c r="G37" s="329"/>
      <c r="H37" s="329">
        <v>1029600.0</v>
      </c>
      <c r="I37" s="43">
        <f t="shared" si="0"/>
        <v>1.6380833134E7</v>
      </c>
      <c r="J37" s="233"/>
    </row>
    <row r="38" spans="8:8">
      <c r="A38" s="3" t="s">
        <v>46</v>
      </c>
      <c r="B38" s="4" t="s">
        <v>13</v>
      </c>
      <c r="C38" s="356">
        <v>8088049.085999999</v>
      </c>
      <c r="D38" s="356">
        <v>5844142.0479999995</v>
      </c>
      <c r="E38" s="180">
        <v>567618.0</v>
      </c>
      <c r="F38" s="180">
        <v>851424.0</v>
      </c>
      <c r="G38" s="329"/>
      <c r="H38" s="329">
        <v>1029600.0</v>
      </c>
      <c r="I38" s="43">
        <f t="shared" si="0"/>
        <v>1.6380833134E7</v>
      </c>
      <c r="J38" s="233"/>
    </row>
    <row r="39" spans="8:8">
      <c r="A39" s="3" t="s">
        <v>47</v>
      </c>
      <c r="B39" s="4" t="s">
        <v>13</v>
      </c>
      <c r="C39" s="356">
        <v>1.1380249114E7</v>
      </c>
      <c r="D39" s="356">
        <v>5844142.0479999995</v>
      </c>
      <c r="E39" s="180">
        <v>567618.0</v>
      </c>
      <c r="F39" s="180">
        <v>851424.0</v>
      </c>
      <c r="G39" s="329"/>
      <c r="H39" s="329">
        <v>1029600.0</v>
      </c>
      <c r="I39" s="43">
        <f t="shared" si="0"/>
        <v>1.9673033162E7</v>
      </c>
      <c r="J39" s="233"/>
    </row>
    <row r="40" spans="8:8">
      <c r="A40" s="3" t="s">
        <v>48</v>
      </c>
      <c r="B40" s="4" t="s">
        <v>13</v>
      </c>
      <c r="C40" s="356">
        <v>3577101.9439999997</v>
      </c>
      <c r="D40" s="356">
        <v>5844142.0479999995</v>
      </c>
      <c r="E40" s="180">
        <v>567618.0</v>
      </c>
      <c r="F40" s="180">
        <v>851424.0</v>
      </c>
      <c r="G40" s="329"/>
      <c r="H40" s="329">
        <v>1029600.0</v>
      </c>
      <c r="I40" s="43">
        <f t="shared" si="0"/>
        <v>1.1869885991999999E7</v>
      </c>
      <c r="J40" s="233"/>
    </row>
    <row r="41" spans="8:8">
      <c r="A41" s="3" t="s">
        <v>49</v>
      </c>
      <c r="B41" s="4" t="s">
        <v>13</v>
      </c>
      <c r="C41" s="356">
        <v>3577101.9439999997</v>
      </c>
      <c r="D41" s="356">
        <v>2454539.664</v>
      </c>
      <c r="E41" s="180">
        <v>567618.0</v>
      </c>
      <c r="F41" s="180">
        <v>851424.0</v>
      </c>
      <c r="G41" s="329"/>
      <c r="H41" s="329">
        <v>1029600.0</v>
      </c>
      <c r="I41" s="43">
        <f t="shared" si="0"/>
        <v>8480283.608</v>
      </c>
      <c r="J41" s="233"/>
    </row>
    <row r="42" spans="8:8">
      <c r="A42" s="15" t="s">
        <v>50</v>
      </c>
      <c r="B42" s="4" t="s">
        <v>13</v>
      </c>
      <c r="C42" s="356">
        <v>3577101.9439999997</v>
      </c>
      <c r="D42" s="356">
        <v>2454539.664</v>
      </c>
      <c r="E42" s="180">
        <v>567618.0</v>
      </c>
      <c r="F42" s="180">
        <v>851424.0</v>
      </c>
      <c r="G42" s="329"/>
      <c r="H42" s="329">
        <v>1029600.0</v>
      </c>
      <c r="I42" s="43">
        <f t="shared" si="0"/>
        <v>8480283.608</v>
      </c>
      <c r="J42" s="233"/>
    </row>
    <row r="43" spans="8:8" s="49" ht="15.0" customFormat="1">
      <c r="A43" s="3" t="s">
        <v>51</v>
      </c>
      <c r="B43" s="16" t="s">
        <v>13</v>
      </c>
      <c r="C43" s="356">
        <v>3577101.9439999997</v>
      </c>
      <c r="D43" s="356">
        <v>2454539.664</v>
      </c>
      <c r="E43" s="180">
        <v>567618.0</v>
      </c>
      <c r="F43" s="180">
        <v>851424.0</v>
      </c>
      <c r="G43" s="329"/>
      <c r="H43" s="329">
        <v>1029600.0</v>
      </c>
      <c r="I43" s="43">
        <f t="shared" si="0"/>
        <v>8480283.608</v>
      </c>
      <c r="J43" s="233"/>
    </row>
    <row r="44" spans="8:8">
      <c r="A44" s="3" t="s">
        <v>52</v>
      </c>
      <c r="B44" s="4" t="s">
        <v>13</v>
      </c>
      <c r="C44" s="356">
        <v>3577101.9439999997</v>
      </c>
      <c r="D44" s="356">
        <v>2454539.664</v>
      </c>
      <c r="E44" s="180">
        <v>567618.0</v>
      </c>
      <c r="F44" s="180">
        <v>851424.0</v>
      </c>
      <c r="G44" s="329"/>
      <c r="H44" s="329">
        <v>1029600.0</v>
      </c>
      <c r="I44" s="43">
        <f t="shared" si="0"/>
        <v>8480283.608</v>
      </c>
      <c r="J44" s="233"/>
    </row>
    <row r="45" spans="8:8">
      <c r="A45" s="3" t="s">
        <v>53</v>
      </c>
      <c r="B45" s="4" t="s">
        <v>13</v>
      </c>
      <c r="C45" s="356">
        <v>3577101.9439999997</v>
      </c>
      <c r="D45" s="356">
        <v>2454539.664</v>
      </c>
      <c r="E45" s="180">
        <v>567618.0</v>
      </c>
      <c r="F45" s="180">
        <v>851424.0</v>
      </c>
      <c r="G45" s="329"/>
      <c r="H45" s="329">
        <v>1029600.0</v>
      </c>
      <c r="I45" s="43">
        <f t="shared" si="0"/>
        <v>8480283.608</v>
      </c>
      <c r="J45" s="233"/>
    </row>
    <row r="46" spans="8:8">
      <c r="A46" s="3" t="s">
        <v>54</v>
      </c>
      <c r="B46" s="4" t="s">
        <v>13</v>
      </c>
      <c r="C46" s="356">
        <v>3577101.9439999997</v>
      </c>
      <c r="D46" s="356">
        <v>2454539.664</v>
      </c>
      <c r="E46" s="180">
        <v>567618.0</v>
      </c>
      <c r="F46" s="180">
        <v>851424.0</v>
      </c>
      <c r="G46" s="329"/>
      <c r="H46" s="329">
        <v>1029600.0</v>
      </c>
      <c r="I46" s="43">
        <f t="shared" si="0"/>
        <v>8480283.608</v>
      </c>
      <c r="J46" s="233"/>
    </row>
    <row r="47" spans="8:8">
      <c r="A47" s="15" t="s">
        <v>55</v>
      </c>
      <c r="B47" s="4" t="s">
        <v>13</v>
      </c>
      <c r="C47" s="356">
        <v>3577101.9439999997</v>
      </c>
      <c r="D47" s="356">
        <v>2454539.664</v>
      </c>
      <c r="E47" s="180">
        <v>567618.0</v>
      </c>
      <c r="F47" s="180">
        <v>851424.0</v>
      </c>
      <c r="G47" s="329"/>
      <c r="H47" s="329">
        <v>1029600.0</v>
      </c>
      <c r="I47" s="43">
        <f t="shared" si="0"/>
        <v>8480283.608</v>
      </c>
      <c r="J47" s="233"/>
    </row>
    <row r="48" spans="8:8" s="49" ht="15.0" customFormat="1">
      <c r="A48" s="3" t="s">
        <v>56</v>
      </c>
      <c r="B48" s="16" t="s">
        <v>13</v>
      </c>
      <c r="C48" s="356">
        <v>3577101.9439999997</v>
      </c>
      <c r="D48" s="356">
        <v>6428556.256</v>
      </c>
      <c r="E48" s="180">
        <v>567618.0</v>
      </c>
      <c r="F48" s="180">
        <v>851424.0</v>
      </c>
      <c r="G48" s="329"/>
      <c r="H48" s="329">
        <v>1029600.0</v>
      </c>
      <c r="I48" s="241">
        <f t="shared" si="0"/>
        <v>1.24543002E7</v>
      </c>
      <c r="J48" s="233"/>
    </row>
    <row r="49" spans="8:8">
      <c r="A49" s="3" t="s">
        <v>57</v>
      </c>
      <c r="B49" s="4" t="s">
        <v>60</v>
      </c>
      <c r="C49" s="356">
        <v>0.01</v>
      </c>
      <c r="D49" s="356">
        <v>1.68282070219E7</v>
      </c>
      <c r="E49" s="180">
        <v>567618.0</v>
      </c>
      <c r="F49" s="180">
        <v>851424.0</v>
      </c>
      <c r="G49" s="329"/>
      <c r="H49" s="329"/>
      <c r="I49" s="43">
        <f t="shared" si="0"/>
        <v>1.82472490319E7</v>
      </c>
      <c r="J49" s="233"/>
    </row>
    <row r="50" spans="8:8">
      <c r="A50" s="3" t="s">
        <v>58</v>
      </c>
      <c r="B50" s="4" t="s">
        <v>60</v>
      </c>
      <c r="C50" s="356">
        <v>0.01</v>
      </c>
      <c r="D50" s="356">
        <v>1.68282070219E7</v>
      </c>
      <c r="E50" s="180">
        <v>567618.0</v>
      </c>
      <c r="F50" s="180">
        <v>851424.0</v>
      </c>
      <c r="G50" s="329"/>
      <c r="H50" s="329"/>
      <c r="I50" s="43">
        <f>SUM(C50:F50)</f>
        <v>1.82472490319E7</v>
      </c>
      <c r="J50" s="233"/>
    </row>
    <row r="51" spans="8:8">
      <c r="A51" s="3" t="s">
        <v>59</v>
      </c>
      <c r="B51" s="4" t="s">
        <v>60</v>
      </c>
      <c r="C51" s="356">
        <v>0.01</v>
      </c>
      <c r="D51" s="356">
        <v>1.68282070219E7</v>
      </c>
      <c r="E51" s="180">
        <v>567618.0</v>
      </c>
      <c r="F51" s="180">
        <v>851424.0</v>
      </c>
      <c r="G51" s="329"/>
      <c r="H51" s="329"/>
      <c r="I51" s="43">
        <f>SUM(C51:F51)</f>
        <v>1.82472490319E7</v>
      </c>
      <c r="J51" s="233"/>
    </row>
    <row r="52" spans="8:8">
      <c r="A52" s="3" t="s">
        <v>61</v>
      </c>
      <c r="B52" s="4" t="s">
        <v>60</v>
      </c>
      <c r="C52" s="356">
        <v>1.6860471556199998E7</v>
      </c>
      <c r="D52" s="356">
        <v>1.80152983818E7</v>
      </c>
      <c r="E52" s="180">
        <v>567618.0</v>
      </c>
      <c r="F52" s="180">
        <v>851424.0</v>
      </c>
      <c r="G52" s="329"/>
      <c r="H52" s="329"/>
      <c r="I52" s="43">
        <f>SUM(C52:F52)</f>
        <v>3.629481193799999E7</v>
      </c>
      <c r="J52" s="233"/>
    </row>
    <row r="53" spans="8:8">
      <c r="A53" s="3" t="s">
        <v>62</v>
      </c>
      <c r="B53" s="4" t="s">
        <v>60</v>
      </c>
      <c r="C53" s="356">
        <v>0.01</v>
      </c>
      <c r="D53" s="356">
        <v>6077907.728</v>
      </c>
      <c r="E53" s="180">
        <v>567618.0</v>
      </c>
      <c r="F53" s="180">
        <v>851424.0</v>
      </c>
      <c r="G53" s="329"/>
      <c r="H53" s="329"/>
      <c r="I53" s="43">
        <f>SUM(C53:F53)</f>
        <v>7496949.738</v>
      </c>
      <c r="J53" s="233"/>
    </row>
    <row r="54" spans="8:8">
      <c r="A54" s="3" t="s">
        <v>63</v>
      </c>
      <c r="B54" s="4" t="s">
        <v>60</v>
      </c>
      <c r="C54" s="356">
        <v>0.01</v>
      </c>
      <c r="D54" s="356">
        <v>6077907.728</v>
      </c>
      <c r="E54" s="180">
        <v>567618.0</v>
      </c>
      <c r="F54" s="180">
        <v>851424.0</v>
      </c>
      <c r="G54" s="329"/>
      <c r="H54" s="329"/>
      <c r="I54" s="43">
        <f>SUM(C54:F54)</f>
        <v>7496949.738</v>
      </c>
      <c r="J54" s="233"/>
    </row>
    <row r="55" spans="8:8">
      <c r="A55" s="3" t="s">
        <v>64</v>
      </c>
      <c r="B55" s="4" t="s">
        <v>65</v>
      </c>
      <c r="C55" s="356">
        <v>0.01</v>
      </c>
      <c r="D55" s="356">
        <v>4474015.408</v>
      </c>
      <c r="E55" s="180">
        <v>567618.0</v>
      </c>
      <c r="F55" s="180">
        <v>851424.0</v>
      </c>
      <c r="G55" s="357">
        <v>2223000.0</v>
      </c>
      <c r="H55" s="329"/>
      <c r="I55" s="43">
        <f t="shared" si="1" ref="I55:I60">SUM(C55:H55)</f>
        <v>8116057.418</v>
      </c>
      <c r="J55" s="233"/>
    </row>
    <row r="56" spans="8:8">
      <c r="A56" s="3" t="s">
        <v>66</v>
      </c>
      <c r="B56" s="4" t="s">
        <v>65</v>
      </c>
      <c r="C56" s="356">
        <v>0.01</v>
      </c>
      <c r="D56" s="356">
        <v>4761027.728</v>
      </c>
      <c r="E56" s="180">
        <v>567618.0</v>
      </c>
      <c r="F56" s="180">
        <v>851424.0</v>
      </c>
      <c r="G56" s="357">
        <v>2223000.0</v>
      </c>
      <c r="H56" s="329"/>
      <c r="I56" s="43">
        <f t="shared" si="1"/>
        <v>8403069.738</v>
      </c>
      <c r="J56" s="233"/>
    </row>
    <row r="57" spans="8:8">
      <c r="A57" s="3" t="s">
        <v>67</v>
      </c>
      <c r="B57" s="4" t="s">
        <v>65</v>
      </c>
      <c r="C57" s="356">
        <v>0.01</v>
      </c>
      <c r="D57" s="356">
        <v>4474015.408</v>
      </c>
      <c r="E57" s="180">
        <v>567618.0</v>
      </c>
      <c r="F57" s="180">
        <v>851424.0</v>
      </c>
      <c r="G57" s="357">
        <v>2223000.0</v>
      </c>
      <c r="H57" s="329"/>
      <c r="I57" s="43">
        <f t="shared" si="1"/>
        <v>8116057.418</v>
      </c>
      <c r="J57" s="233"/>
    </row>
    <row r="58" spans="8:8">
      <c r="A58" s="3" t="s">
        <v>68</v>
      </c>
      <c r="B58" s="4" t="s">
        <v>65</v>
      </c>
      <c r="C58" s="356">
        <v>0.01</v>
      </c>
      <c r="D58" s="356">
        <v>4761027.728</v>
      </c>
      <c r="E58" s="180">
        <v>567618.0</v>
      </c>
      <c r="F58" s="180">
        <v>851424.0</v>
      </c>
      <c r="G58" s="357">
        <v>2223000.0</v>
      </c>
      <c r="H58" s="329"/>
      <c r="I58" s="43">
        <f t="shared" si="1"/>
        <v>8403069.738</v>
      </c>
      <c r="J58" s="233"/>
    </row>
    <row r="59" spans="8:8">
      <c r="A59" s="3" t="s">
        <v>69</v>
      </c>
      <c r="B59" s="4" t="s">
        <v>65</v>
      </c>
      <c r="C59" s="356">
        <v>0.01</v>
      </c>
      <c r="D59" s="356">
        <v>5807778.495999999</v>
      </c>
      <c r="E59" s="180">
        <v>567618.0</v>
      </c>
      <c r="F59" s="180">
        <v>851424.0</v>
      </c>
      <c r="G59" s="357">
        <v>2223000.0</v>
      </c>
      <c r="H59" s="329"/>
      <c r="I59" s="43">
        <f t="shared" si="1"/>
        <v>9449820.506</v>
      </c>
      <c r="J59" s="233"/>
    </row>
    <row r="60" spans="8:8">
      <c r="A60" s="3" t="s">
        <v>70</v>
      </c>
      <c r="B60" s="4" t="s">
        <v>65</v>
      </c>
      <c r="C60" s="356">
        <v>0.01</v>
      </c>
      <c r="D60" s="356">
        <v>4474015.408</v>
      </c>
      <c r="E60" s="180">
        <v>567618.0</v>
      </c>
      <c r="F60" s="180">
        <v>851424.0</v>
      </c>
      <c r="G60" s="357">
        <v>2223000.0</v>
      </c>
      <c r="H60" s="329"/>
      <c r="I60" s="43">
        <f t="shared" si="1"/>
        <v>8116057.418</v>
      </c>
      <c r="J60" s="233"/>
    </row>
    <row r="61" spans="8:8">
      <c r="A61" s="15" t="s">
        <v>71</v>
      </c>
      <c r="B61" s="16" t="s">
        <v>65</v>
      </c>
      <c r="C61" s="356">
        <v>0.01</v>
      </c>
      <c r="D61" s="356">
        <v>4761027.728</v>
      </c>
      <c r="E61" s="180">
        <v>567618.0</v>
      </c>
      <c r="F61" s="180">
        <v>851424.0</v>
      </c>
      <c r="G61" s="357">
        <v>2223000.0</v>
      </c>
      <c r="H61" s="329"/>
      <c r="I61" s="43">
        <f t="shared" si="2" ref="I61:I73">SUM(C61:G61)</f>
        <v>8403069.738</v>
      </c>
      <c r="J61" s="233"/>
    </row>
    <row r="62" spans="8:8">
      <c r="A62" s="15" t="s">
        <v>72</v>
      </c>
      <c r="B62" s="16" t="s">
        <v>65</v>
      </c>
      <c r="C62" s="356">
        <v>0.01</v>
      </c>
      <c r="D62" s="356">
        <v>5267520.032</v>
      </c>
      <c r="E62" s="180">
        <v>567618.0</v>
      </c>
      <c r="F62" s="180">
        <v>851424.0</v>
      </c>
      <c r="G62" s="357">
        <v>2223000.0</v>
      </c>
      <c r="H62" s="329"/>
      <c r="I62" s="43">
        <f t="shared" si="2"/>
        <v>8909562.042</v>
      </c>
      <c r="J62" s="233"/>
    </row>
    <row r="63" spans="8:8">
      <c r="A63" s="3" t="s">
        <v>73</v>
      </c>
      <c r="B63" s="4" t="s">
        <v>65</v>
      </c>
      <c r="C63" s="356">
        <v>0.01</v>
      </c>
      <c r="D63" s="356">
        <v>4474015.408</v>
      </c>
      <c r="E63" s="180">
        <v>567618.0</v>
      </c>
      <c r="F63" s="180">
        <v>851424.0</v>
      </c>
      <c r="G63" s="357">
        <v>2223000.0</v>
      </c>
      <c r="H63" s="329"/>
      <c r="I63" s="43">
        <f t="shared" si="2"/>
        <v>8116057.418</v>
      </c>
      <c r="J63" s="233"/>
    </row>
    <row r="64" spans="8:8">
      <c r="A64" s="3" t="s">
        <v>74</v>
      </c>
      <c r="B64" s="4" t="s">
        <v>65</v>
      </c>
      <c r="C64" s="356">
        <v>0.01</v>
      </c>
      <c r="D64" s="356">
        <v>4761027.728</v>
      </c>
      <c r="E64" s="180">
        <v>567618.0</v>
      </c>
      <c r="F64" s="180">
        <v>851424.0</v>
      </c>
      <c r="G64" s="357">
        <v>2223000.0</v>
      </c>
      <c r="H64" s="329"/>
      <c r="I64" s="43">
        <f t="shared" si="2"/>
        <v>8403069.738</v>
      </c>
      <c r="J64" s="233"/>
    </row>
    <row r="65" spans="8:8">
      <c r="A65" s="3" t="s">
        <v>75</v>
      </c>
      <c r="B65" s="4" t="s">
        <v>65</v>
      </c>
      <c r="C65" s="356">
        <v>0.01</v>
      </c>
      <c r="D65" s="356">
        <v>7344138.512</v>
      </c>
      <c r="E65" s="180">
        <v>567618.0</v>
      </c>
      <c r="F65" s="180">
        <v>851424.0</v>
      </c>
      <c r="G65" s="357">
        <v>2223000.0</v>
      </c>
      <c r="H65" s="329"/>
      <c r="I65" s="43">
        <f t="shared" si="2"/>
        <v>1.0986180522E7</v>
      </c>
      <c r="J65" s="233"/>
    </row>
    <row r="66" spans="8:8">
      <c r="A66" s="3" t="s">
        <v>76</v>
      </c>
      <c r="B66" s="4" t="s">
        <v>65</v>
      </c>
      <c r="C66" s="356">
        <v>0.01</v>
      </c>
      <c r="D66" s="356">
        <v>4474015.408</v>
      </c>
      <c r="E66" s="180">
        <v>567618.0</v>
      </c>
      <c r="F66" s="180">
        <v>851424.0</v>
      </c>
      <c r="G66" s="357">
        <v>2223000.0</v>
      </c>
      <c r="H66" s="329"/>
      <c r="I66" s="43">
        <f t="shared" si="2"/>
        <v>8116057.418</v>
      </c>
      <c r="J66" s="233"/>
    </row>
    <row r="67" spans="8:8">
      <c r="A67" s="3" t="s">
        <v>77</v>
      </c>
      <c r="B67" s="4" t="s">
        <v>65</v>
      </c>
      <c r="C67" s="356">
        <v>0.01</v>
      </c>
      <c r="D67" s="356">
        <v>4761027.728</v>
      </c>
      <c r="E67" s="180">
        <v>567618.0</v>
      </c>
      <c r="F67" s="180">
        <v>851424.0</v>
      </c>
      <c r="G67" s="357">
        <v>2223000.0</v>
      </c>
      <c r="H67" s="329"/>
      <c r="I67" s="43">
        <f t="shared" si="2"/>
        <v>8403069.738</v>
      </c>
      <c r="J67" s="233"/>
    </row>
    <row r="68" spans="8:8">
      <c r="A68" s="3" t="s">
        <v>78</v>
      </c>
      <c r="B68" s="4" t="s">
        <v>65</v>
      </c>
      <c r="C68" s="356">
        <v>0.01</v>
      </c>
      <c r="D68" s="356">
        <v>5267520.032</v>
      </c>
      <c r="E68" s="180">
        <v>567618.0</v>
      </c>
      <c r="F68" s="180">
        <v>851424.0</v>
      </c>
      <c r="G68" s="357">
        <v>2223000.0</v>
      </c>
      <c r="H68" s="329"/>
      <c r="I68" s="43">
        <f t="shared" si="2"/>
        <v>8909562.042</v>
      </c>
      <c r="J68" s="233"/>
    </row>
    <row r="69" spans="8:8">
      <c r="A69" s="3" t="s">
        <v>79</v>
      </c>
      <c r="B69" s="4" t="s">
        <v>65</v>
      </c>
      <c r="C69" s="356">
        <v>0.01</v>
      </c>
      <c r="D69" s="356">
        <v>5807778.495999999</v>
      </c>
      <c r="E69" s="180">
        <v>567618.0</v>
      </c>
      <c r="F69" s="180">
        <v>851424.0</v>
      </c>
      <c r="G69" s="357">
        <v>2223000.0</v>
      </c>
      <c r="H69" s="329"/>
      <c r="I69" s="43">
        <f t="shared" si="2"/>
        <v>9449820.506</v>
      </c>
      <c r="J69" s="233"/>
    </row>
    <row r="70" spans="8:8">
      <c r="A70" s="3" t="s">
        <v>80</v>
      </c>
      <c r="B70" s="4" t="s">
        <v>65</v>
      </c>
      <c r="C70" s="356">
        <v>0.01</v>
      </c>
      <c r="D70" s="356">
        <v>4474015.408</v>
      </c>
      <c r="E70" s="180">
        <v>567618.0</v>
      </c>
      <c r="F70" s="180">
        <v>851424.0</v>
      </c>
      <c r="G70" s="357">
        <v>2223000.0</v>
      </c>
      <c r="H70" s="329"/>
      <c r="I70" s="43">
        <f t="shared" si="2"/>
        <v>8116057.418</v>
      </c>
      <c r="J70" s="233"/>
    </row>
    <row r="71" spans="8:8">
      <c r="A71" s="3" t="s">
        <v>81</v>
      </c>
      <c r="B71" s="4" t="s">
        <v>65</v>
      </c>
      <c r="C71" s="356">
        <v>0.01</v>
      </c>
      <c r="D71" s="356">
        <v>4761027.728</v>
      </c>
      <c r="E71" s="180">
        <v>567618.0</v>
      </c>
      <c r="F71" s="180">
        <v>851424.0</v>
      </c>
      <c r="G71" s="357">
        <v>2223000.0</v>
      </c>
      <c r="H71" s="329"/>
      <c r="I71" s="43">
        <f t="shared" si="2"/>
        <v>8403069.738</v>
      </c>
      <c r="J71" s="233"/>
    </row>
    <row r="72" spans="8:8">
      <c r="A72" s="3" t="s">
        <v>82</v>
      </c>
      <c r="B72" s="4" t="s">
        <v>65</v>
      </c>
      <c r="C72" s="356">
        <v>0.01</v>
      </c>
      <c r="D72" s="356">
        <v>8948030.831999999</v>
      </c>
      <c r="E72" s="180">
        <v>567618.0</v>
      </c>
      <c r="F72" s="180">
        <v>851424.0</v>
      </c>
      <c r="G72" s="357">
        <v>2223000.0</v>
      </c>
      <c r="H72" s="329"/>
      <c r="I72" s="43">
        <f t="shared" si="2"/>
        <v>1.2590072841999998E7</v>
      </c>
      <c r="J72" s="233"/>
    </row>
    <row r="73" spans="8:8">
      <c r="A73" s="3" t="s">
        <v>83</v>
      </c>
      <c r="B73" s="4" t="s">
        <v>65</v>
      </c>
      <c r="C73" s="356">
        <v>0.01</v>
      </c>
      <c r="D73" s="356">
        <v>9522055.440000001</v>
      </c>
      <c r="E73" s="180">
        <v>567618.0</v>
      </c>
      <c r="F73" s="180">
        <v>851424.0</v>
      </c>
      <c r="G73" s="357">
        <v>2223000.0</v>
      </c>
      <c r="H73" s="329"/>
      <c r="I73" s="43">
        <f t="shared" si="2"/>
        <v>1.3164097450000001E7</v>
      </c>
      <c r="J73" s="233"/>
    </row>
    <row r="74" spans="8:8">
      <c r="A74" s="3" t="s">
        <v>84</v>
      </c>
      <c r="B74" s="4" t="s">
        <v>65</v>
      </c>
      <c r="C74" s="356">
        <v>0.01</v>
      </c>
      <c r="D74" s="356">
        <v>4761027.728</v>
      </c>
      <c r="E74" s="180">
        <v>567618.0</v>
      </c>
      <c r="F74" s="180">
        <v>851424.0</v>
      </c>
      <c r="G74" s="357">
        <v>2223000.0</v>
      </c>
      <c r="H74" s="329"/>
      <c r="I74" s="43">
        <f>SUM(C74:H74)</f>
        <v>8403069.738</v>
      </c>
      <c r="J74" s="233"/>
    </row>
    <row r="75" spans="8:8">
      <c r="A75" s="3" t="s">
        <v>85</v>
      </c>
      <c r="B75" s="4" t="s">
        <v>65</v>
      </c>
      <c r="C75" s="356">
        <v>0.01</v>
      </c>
      <c r="D75" s="356">
        <v>9522055.440000001</v>
      </c>
      <c r="E75" s="180">
        <v>567618.0</v>
      </c>
      <c r="F75" s="180">
        <v>851424.0</v>
      </c>
      <c r="G75" s="357">
        <v>2223000.0</v>
      </c>
      <c r="H75" s="329"/>
      <c r="I75" s="43">
        <f>SUM(C75:H75)</f>
        <v>1.3164097450000001E7</v>
      </c>
      <c r="J75" s="233"/>
    </row>
    <row r="76" spans="8:8">
      <c r="A76" s="15" t="s">
        <v>86</v>
      </c>
      <c r="B76" s="16" t="s">
        <v>65</v>
      </c>
      <c r="C76" s="356">
        <v>0.01</v>
      </c>
      <c r="D76" s="356">
        <v>4761027.728</v>
      </c>
      <c r="E76" s="180">
        <v>567618.0</v>
      </c>
      <c r="F76" s="180">
        <v>851424.0</v>
      </c>
      <c r="G76" s="357">
        <v>2223000.0</v>
      </c>
      <c r="H76" s="329"/>
      <c r="I76" s="43">
        <f t="shared" si="3" ref="I76:I113">SUM(C76:G76)</f>
        <v>8403069.738</v>
      </c>
      <c r="J76" s="233"/>
    </row>
    <row r="77" spans="8:8" s="49" ht="15.0" customFormat="1">
      <c r="A77" s="15" t="s">
        <v>87</v>
      </c>
      <c r="B77" s="16" t="s">
        <v>65</v>
      </c>
      <c r="C77" s="356">
        <v>0.01</v>
      </c>
      <c r="D77" s="356">
        <v>5267520.032</v>
      </c>
      <c r="E77" s="180">
        <v>567618.0</v>
      </c>
      <c r="F77" s="180">
        <v>851424.0</v>
      </c>
      <c r="G77" s="357">
        <v>2223000.0</v>
      </c>
      <c r="H77" s="329"/>
      <c r="I77" s="241">
        <f t="shared" si="3"/>
        <v>8909562.042</v>
      </c>
      <c r="J77" s="233"/>
    </row>
    <row r="78" spans="8:8">
      <c r="A78" s="15" t="s">
        <v>88</v>
      </c>
      <c r="B78" s="16" t="s">
        <v>65</v>
      </c>
      <c r="C78" s="356">
        <v>0.01</v>
      </c>
      <c r="D78" s="356">
        <v>5807778.495999999</v>
      </c>
      <c r="E78" s="180">
        <v>567618.0</v>
      </c>
      <c r="F78" s="180">
        <v>851424.0</v>
      </c>
      <c r="G78" s="357">
        <v>2223000.0</v>
      </c>
      <c r="H78" s="329"/>
      <c r="I78" s="43">
        <f t="shared" si="3"/>
        <v>9449820.506</v>
      </c>
      <c r="J78" s="233"/>
    </row>
    <row r="79" spans="8:8">
      <c r="A79" s="15" t="s">
        <v>89</v>
      </c>
      <c r="B79" s="16" t="s">
        <v>65</v>
      </c>
      <c r="C79" s="356">
        <v>0.01</v>
      </c>
      <c r="D79" s="356">
        <v>6584400.0479999995</v>
      </c>
      <c r="E79" s="180">
        <v>567618.0</v>
      </c>
      <c r="F79" s="180">
        <v>851424.0</v>
      </c>
      <c r="G79" s="357">
        <v>2223000.0</v>
      </c>
      <c r="H79" s="329"/>
      <c r="I79" s="43">
        <f t="shared" si="3"/>
        <v>1.0226442057999998E7</v>
      </c>
      <c r="J79" s="233"/>
    </row>
    <row r="80" spans="8:8">
      <c r="A80" s="15" t="s">
        <v>90</v>
      </c>
      <c r="B80" s="16" t="s">
        <v>65</v>
      </c>
      <c r="C80" s="356">
        <v>0.01</v>
      </c>
      <c r="D80" s="356">
        <v>7074009.279999999</v>
      </c>
      <c r="E80" s="180">
        <v>567618.0</v>
      </c>
      <c r="F80" s="180">
        <v>851424.0</v>
      </c>
      <c r="G80" s="357">
        <v>2223000.0</v>
      </c>
      <c r="H80" s="329"/>
      <c r="I80" s="43">
        <f t="shared" si="3"/>
        <v>1.071605129E7</v>
      </c>
      <c r="J80" s="233"/>
    </row>
    <row r="81" spans="8:8">
      <c r="A81" s="15" t="s">
        <v>91</v>
      </c>
      <c r="B81" s="16" t="s">
        <v>65</v>
      </c>
      <c r="C81" s="356">
        <v>0.01</v>
      </c>
      <c r="D81" s="356">
        <v>7496086.192</v>
      </c>
      <c r="E81" s="180">
        <v>567618.0</v>
      </c>
      <c r="F81" s="180">
        <v>851424.0</v>
      </c>
      <c r="G81" s="357">
        <v>2223000.0</v>
      </c>
      <c r="H81" s="329"/>
      <c r="I81" s="43">
        <f t="shared" si="3"/>
        <v>1.1138128202E7</v>
      </c>
      <c r="J81" s="233"/>
    </row>
    <row r="82" spans="8:8">
      <c r="A82" s="15" t="s">
        <v>92</v>
      </c>
      <c r="B82" s="16" t="s">
        <v>65</v>
      </c>
      <c r="C82" s="356">
        <v>0.01</v>
      </c>
      <c r="D82" s="356">
        <v>4474015.408</v>
      </c>
      <c r="E82" s="180">
        <v>567618.0</v>
      </c>
      <c r="F82" s="180">
        <v>851424.0</v>
      </c>
      <c r="G82" s="357">
        <v>2223000.0</v>
      </c>
      <c r="H82" s="329"/>
      <c r="I82" s="43">
        <f t="shared" si="3"/>
        <v>8116057.418</v>
      </c>
      <c r="J82" s="233"/>
    </row>
    <row r="83" spans="8:8">
      <c r="A83" s="15" t="s">
        <v>93</v>
      </c>
      <c r="B83" s="16" t="s">
        <v>65</v>
      </c>
      <c r="C83" s="356">
        <v>0.01</v>
      </c>
      <c r="D83" s="356">
        <v>4761027.728</v>
      </c>
      <c r="E83" s="180">
        <v>567618.0</v>
      </c>
      <c r="F83" s="180">
        <v>851424.0</v>
      </c>
      <c r="G83" s="357">
        <v>2223000.0</v>
      </c>
      <c r="H83" s="329"/>
      <c r="I83" s="43">
        <f t="shared" si="3"/>
        <v>8403069.738</v>
      </c>
      <c r="J83" s="233"/>
    </row>
    <row r="84" spans="8:8">
      <c r="A84" s="15" t="s">
        <v>94</v>
      </c>
      <c r="B84" s="16" t="s">
        <v>65</v>
      </c>
      <c r="C84" s="356">
        <v>0.01</v>
      </c>
      <c r="D84" s="356">
        <v>5807778.495999999</v>
      </c>
      <c r="E84" s="180">
        <v>567618.0</v>
      </c>
      <c r="F84" s="180">
        <v>851424.0</v>
      </c>
      <c r="G84" s="357">
        <v>2223000.0</v>
      </c>
      <c r="H84" s="329"/>
      <c r="I84" s="43">
        <f t="shared" si="3"/>
        <v>9449820.506</v>
      </c>
      <c r="J84" s="233"/>
    </row>
    <row r="85" spans="8:8">
      <c r="A85" s="15" t="s">
        <v>95</v>
      </c>
      <c r="B85" s="16" t="s">
        <v>65</v>
      </c>
      <c r="C85" s="356">
        <v>0.01</v>
      </c>
      <c r="D85" s="356">
        <v>4761027.728</v>
      </c>
      <c r="E85" s="180">
        <v>567618.0</v>
      </c>
      <c r="F85" s="180">
        <v>851424.0</v>
      </c>
      <c r="G85" s="357">
        <v>2223000.0</v>
      </c>
      <c r="H85" s="329"/>
      <c r="I85" s="43">
        <f t="shared" si="3"/>
        <v>8403069.738</v>
      </c>
      <c r="J85" s="233"/>
    </row>
    <row r="86" spans="8:8">
      <c r="A86" s="15" t="s">
        <v>96</v>
      </c>
      <c r="B86" s="16" t="s">
        <v>65</v>
      </c>
      <c r="C86" s="356">
        <v>0.01</v>
      </c>
      <c r="D86" s="356">
        <v>5807778.495999999</v>
      </c>
      <c r="E86" s="180">
        <v>567618.0</v>
      </c>
      <c r="F86" s="180">
        <v>851424.0</v>
      </c>
      <c r="G86" s="357">
        <v>2223000.0</v>
      </c>
      <c r="H86" s="329"/>
      <c r="I86" s="43">
        <f t="shared" si="3"/>
        <v>9449820.506</v>
      </c>
      <c r="J86" s="233"/>
    </row>
    <row r="87" spans="8:8">
      <c r="A87" s="15" t="s">
        <v>97</v>
      </c>
      <c r="B87" s="16" t="s">
        <v>65</v>
      </c>
      <c r="C87" s="356">
        <v>0.01</v>
      </c>
      <c r="D87" s="356">
        <v>4474015.408</v>
      </c>
      <c r="E87" s="180">
        <v>567618.0</v>
      </c>
      <c r="F87" s="180">
        <v>851424.0</v>
      </c>
      <c r="G87" s="357">
        <v>2223000.0</v>
      </c>
      <c r="H87" s="329"/>
      <c r="I87" s="43">
        <f t="shared" si="3"/>
        <v>8116057.418</v>
      </c>
      <c r="J87" s="233"/>
    </row>
    <row r="88" spans="8:8">
      <c r="A88" s="15" t="s">
        <v>98</v>
      </c>
      <c r="B88" s="16" t="s">
        <v>65</v>
      </c>
      <c r="C88" s="356">
        <v>0.01</v>
      </c>
      <c r="D88" s="356">
        <v>4761027.728</v>
      </c>
      <c r="E88" s="180">
        <v>567618.0</v>
      </c>
      <c r="F88" s="180">
        <v>851424.0</v>
      </c>
      <c r="G88" s="357">
        <v>2223000.0</v>
      </c>
      <c r="H88" s="329"/>
      <c r="I88" s="43">
        <f t="shared" si="3"/>
        <v>8403069.738</v>
      </c>
      <c r="J88" s="233"/>
    </row>
    <row r="89" spans="8:8" s="49" ht="15.0" customFormat="1">
      <c r="A89" s="15" t="s">
        <v>99</v>
      </c>
      <c r="B89" s="16" t="s">
        <v>65</v>
      </c>
      <c r="C89" s="356">
        <v>0.01</v>
      </c>
      <c r="D89" s="356">
        <v>5807778.495999999</v>
      </c>
      <c r="E89" s="180">
        <v>567618.0</v>
      </c>
      <c r="F89" s="180">
        <v>851424.0</v>
      </c>
      <c r="G89" s="357">
        <v>2223000.0</v>
      </c>
      <c r="H89" s="329"/>
      <c r="I89" s="43">
        <f t="shared" si="3"/>
        <v>9449820.506</v>
      </c>
      <c r="J89" s="233"/>
    </row>
    <row r="90" spans="8:8">
      <c r="A90" s="15" t="s">
        <v>100</v>
      </c>
      <c r="B90" s="16" t="s">
        <v>65</v>
      </c>
      <c r="C90" s="356">
        <v>0.01</v>
      </c>
      <c r="D90" s="356">
        <v>7074009.279999999</v>
      </c>
      <c r="E90" s="180">
        <v>567618.0</v>
      </c>
      <c r="F90" s="180">
        <v>851424.0</v>
      </c>
      <c r="G90" s="357">
        <v>2223000.0</v>
      </c>
      <c r="H90" s="329"/>
      <c r="I90" s="43">
        <f t="shared" si="3"/>
        <v>1.071605129E7</v>
      </c>
      <c r="J90" s="233"/>
    </row>
    <row r="91" spans="8:8">
      <c r="A91" s="15" t="s">
        <v>101</v>
      </c>
      <c r="B91" s="16" t="s">
        <v>65</v>
      </c>
      <c r="C91" s="356">
        <v>0.01</v>
      </c>
      <c r="D91" s="356">
        <v>7496086.192</v>
      </c>
      <c r="E91" s="180">
        <v>567618.0</v>
      </c>
      <c r="F91" s="180">
        <v>851424.0</v>
      </c>
      <c r="G91" s="357">
        <v>2223000.0</v>
      </c>
      <c r="H91" s="329"/>
      <c r="I91" s="43">
        <f t="shared" si="3"/>
        <v>1.1138128202E7</v>
      </c>
      <c r="J91" s="233"/>
    </row>
    <row r="92" spans="8:8">
      <c r="A92" s="15" t="s">
        <v>102</v>
      </c>
      <c r="B92" s="16" t="s">
        <v>65</v>
      </c>
      <c r="C92" s="356">
        <v>0.01</v>
      </c>
      <c r="D92" s="356">
        <v>4710378.496</v>
      </c>
      <c r="E92" s="180">
        <v>567618.0</v>
      </c>
      <c r="F92" s="180">
        <v>851424.0</v>
      </c>
      <c r="G92" s="357">
        <v>2223000.0</v>
      </c>
      <c r="H92" s="329"/>
      <c r="I92" s="43">
        <f t="shared" si="3"/>
        <v>8352420.506</v>
      </c>
      <c r="J92" s="233"/>
    </row>
    <row r="93" spans="8:8">
      <c r="A93" s="15" t="s">
        <v>103</v>
      </c>
      <c r="B93" s="16" t="s">
        <v>65</v>
      </c>
      <c r="C93" s="356">
        <v>0.01</v>
      </c>
      <c r="D93" s="356">
        <v>4474015.408</v>
      </c>
      <c r="E93" s="180">
        <v>567618.0</v>
      </c>
      <c r="F93" s="180">
        <v>851424.0</v>
      </c>
      <c r="G93" s="357">
        <v>2223000.0</v>
      </c>
      <c r="H93" s="329"/>
      <c r="I93" s="43">
        <f t="shared" si="3"/>
        <v>8116057.418</v>
      </c>
      <c r="J93" s="233"/>
    </row>
    <row r="94" spans="8:8">
      <c r="A94" s="15" t="s">
        <v>104</v>
      </c>
      <c r="B94" s="16" t="s">
        <v>65</v>
      </c>
      <c r="C94" s="356">
        <v>0.01</v>
      </c>
      <c r="D94" s="356">
        <v>4761027.728</v>
      </c>
      <c r="E94" s="180">
        <v>567618.0</v>
      </c>
      <c r="F94" s="180">
        <v>851424.0</v>
      </c>
      <c r="G94" s="357">
        <v>2223000.0</v>
      </c>
      <c r="H94" s="329"/>
      <c r="I94" s="43">
        <f t="shared" si="3"/>
        <v>8403069.738</v>
      </c>
      <c r="J94" s="233"/>
    </row>
    <row r="95" spans="8:8" s="49" ht="15.0" customFormat="1">
      <c r="A95" s="3" t="s">
        <v>105</v>
      </c>
      <c r="B95" s="4" t="s">
        <v>65</v>
      </c>
      <c r="C95" s="356">
        <v>0.01</v>
      </c>
      <c r="D95" s="356">
        <v>5267520.032</v>
      </c>
      <c r="E95" s="180">
        <v>567618.0</v>
      </c>
      <c r="F95" s="180">
        <v>851424.0</v>
      </c>
      <c r="G95" s="357">
        <v>2223000.0</v>
      </c>
      <c r="H95" s="329"/>
      <c r="I95" s="241">
        <f t="shared" si="3"/>
        <v>8909562.042</v>
      </c>
      <c r="J95" s="233"/>
    </row>
    <row r="96" spans="8:8">
      <c r="A96" s="3" t="s">
        <v>108</v>
      </c>
      <c r="B96" s="4" t="s">
        <v>65</v>
      </c>
      <c r="C96" s="356">
        <v>0.01</v>
      </c>
      <c r="D96" s="356">
        <v>4761027.728</v>
      </c>
      <c r="E96" s="180">
        <v>567618.0</v>
      </c>
      <c r="F96" s="180">
        <v>851424.0</v>
      </c>
      <c r="G96" s="357">
        <v>2223000.0</v>
      </c>
      <c r="H96" s="329"/>
      <c r="I96" s="43">
        <f t="shared" si="3"/>
        <v>8403069.738</v>
      </c>
      <c r="J96" s="233"/>
    </row>
    <row r="97" spans="8:8">
      <c r="A97" s="3" t="s">
        <v>109</v>
      </c>
      <c r="B97" s="4" t="s">
        <v>65</v>
      </c>
      <c r="C97" s="356">
        <v>0.01</v>
      </c>
      <c r="D97" s="356">
        <v>5267520.032</v>
      </c>
      <c r="E97" s="180">
        <v>567618.0</v>
      </c>
      <c r="F97" s="180">
        <v>851424.0</v>
      </c>
      <c r="G97" s="357">
        <v>2223000.0</v>
      </c>
      <c r="H97" s="329"/>
      <c r="I97" s="43">
        <f t="shared" si="3"/>
        <v>8909562.042</v>
      </c>
      <c r="J97" s="233"/>
    </row>
    <row r="98" spans="8:8">
      <c r="A98" s="3" t="s">
        <v>110</v>
      </c>
      <c r="B98" s="4" t="s">
        <v>65</v>
      </c>
      <c r="C98" s="356">
        <v>2.0735286E7</v>
      </c>
      <c r="D98" s="356">
        <v>4372716.944</v>
      </c>
      <c r="E98" s="180">
        <v>567618.0</v>
      </c>
      <c r="F98" s="180">
        <v>851424.0</v>
      </c>
      <c r="G98" s="357">
        <v>2223000.0</v>
      </c>
      <c r="H98" s="329"/>
      <c r="I98" s="43">
        <f t="shared" si="3"/>
        <v>2.8750044944E7</v>
      </c>
      <c r="J98" s="233"/>
    </row>
    <row r="99" spans="8:8">
      <c r="A99" s="3" t="s">
        <v>111</v>
      </c>
      <c r="B99" s="4" t="s">
        <v>65</v>
      </c>
      <c r="C99" s="356">
        <v>0.01</v>
      </c>
      <c r="D99" s="356">
        <v>4474015.408</v>
      </c>
      <c r="E99" s="180">
        <v>567618.0</v>
      </c>
      <c r="F99" s="180">
        <v>851424.0</v>
      </c>
      <c r="G99" s="357">
        <v>2223000.0</v>
      </c>
      <c r="H99" s="329"/>
      <c r="I99" s="43">
        <f t="shared" si="3"/>
        <v>8116057.418</v>
      </c>
      <c r="J99" s="233"/>
    </row>
    <row r="100" spans="8:8">
      <c r="A100" s="3" t="s">
        <v>112</v>
      </c>
      <c r="B100" s="4" t="s">
        <v>65</v>
      </c>
      <c r="C100" s="356">
        <v>0.01</v>
      </c>
      <c r="D100" s="356">
        <v>4761027.728</v>
      </c>
      <c r="E100" s="180">
        <v>567618.0</v>
      </c>
      <c r="F100" s="180">
        <v>851424.0</v>
      </c>
      <c r="G100" s="357">
        <v>2223000.0</v>
      </c>
      <c r="H100" s="329"/>
      <c r="I100" s="43">
        <f t="shared" si="3"/>
        <v>8403069.738</v>
      </c>
      <c r="J100" s="233"/>
    </row>
    <row r="101" spans="8:8">
      <c r="A101" s="3" t="s">
        <v>113</v>
      </c>
      <c r="B101" s="4" t="s">
        <v>65</v>
      </c>
      <c r="C101" s="356">
        <v>0.01</v>
      </c>
      <c r="D101" s="356">
        <v>5267520.032</v>
      </c>
      <c r="E101" s="180">
        <v>567618.0</v>
      </c>
      <c r="F101" s="180">
        <v>851424.0</v>
      </c>
      <c r="G101" s="357">
        <v>2223000.0</v>
      </c>
      <c r="H101" s="329"/>
      <c r="I101" s="43">
        <f t="shared" si="3"/>
        <v>8909562.042</v>
      </c>
      <c r="J101" s="233"/>
    </row>
    <row r="102" spans="8:8">
      <c r="A102" s="3" t="s">
        <v>114</v>
      </c>
      <c r="B102" s="4" t="s">
        <v>65</v>
      </c>
      <c r="C102" s="356">
        <v>0.01</v>
      </c>
      <c r="D102" s="356">
        <v>4474015.408</v>
      </c>
      <c r="E102" s="180">
        <v>567618.0</v>
      </c>
      <c r="F102" s="180">
        <v>851424.0</v>
      </c>
      <c r="G102" s="357">
        <v>2223000.0</v>
      </c>
      <c r="H102" s="329"/>
      <c r="I102" s="43">
        <f t="shared" si="3"/>
        <v>8116057.418</v>
      </c>
      <c r="J102" s="233"/>
    </row>
    <row r="103" spans="8:8">
      <c r="A103" s="3" t="s">
        <v>115</v>
      </c>
      <c r="B103" s="4" t="s">
        <v>65</v>
      </c>
      <c r="C103" s="356">
        <v>0.01</v>
      </c>
      <c r="D103" s="356">
        <v>4761027.728</v>
      </c>
      <c r="E103" s="180">
        <v>567618.0</v>
      </c>
      <c r="F103" s="180">
        <v>851424.0</v>
      </c>
      <c r="G103" s="357">
        <v>2223000.0</v>
      </c>
      <c r="H103" s="329"/>
      <c r="I103" s="43">
        <f t="shared" si="3"/>
        <v>8403069.738</v>
      </c>
      <c r="J103" s="233"/>
    </row>
    <row r="104" spans="8:8">
      <c r="A104" s="3" t="s">
        <v>116</v>
      </c>
      <c r="B104" s="4" t="s">
        <v>65</v>
      </c>
      <c r="C104" s="356">
        <v>0.01</v>
      </c>
      <c r="D104" s="356">
        <v>5267520.032</v>
      </c>
      <c r="E104" s="180">
        <v>567618.0</v>
      </c>
      <c r="F104" s="180">
        <v>851424.0</v>
      </c>
      <c r="G104" s="357">
        <v>2223000.0</v>
      </c>
      <c r="H104" s="329"/>
      <c r="I104" s="43">
        <f t="shared" si="3"/>
        <v>8909562.042</v>
      </c>
      <c r="J104" s="233"/>
    </row>
    <row r="105" spans="8:8">
      <c r="A105" s="3" t="s">
        <v>117</v>
      </c>
      <c r="B105" s="4" t="s">
        <v>65</v>
      </c>
      <c r="C105" s="356">
        <v>0.01</v>
      </c>
      <c r="D105" s="356">
        <v>4761027.728</v>
      </c>
      <c r="E105" s="180">
        <v>567618.0</v>
      </c>
      <c r="F105" s="180">
        <v>851424.0</v>
      </c>
      <c r="G105" s="357">
        <v>2223000.0</v>
      </c>
      <c r="H105" s="329"/>
      <c r="I105" s="43">
        <f t="shared" si="3"/>
        <v>8403069.738</v>
      </c>
      <c r="J105" s="233"/>
    </row>
    <row r="106" spans="8:8">
      <c r="A106" s="3" t="s">
        <v>118</v>
      </c>
      <c r="B106" s="4" t="s">
        <v>65</v>
      </c>
      <c r="C106" s="356">
        <v>0.01</v>
      </c>
      <c r="D106" s="356">
        <v>4474015.408</v>
      </c>
      <c r="E106" s="180">
        <v>567618.0</v>
      </c>
      <c r="F106" s="180">
        <v>851424.0</v>
      </c>
      <c r="G106" s="357">
        <v>2223000.0</v>
      </c>
      <c r="H106" s="329"/>
      <c r="I106" s="43">
        <f t="shared" si="3"/>
        <v>8116057.418</v>
      </c>
      <c r="J106" s="233"/>
    </row>
    <row r="107" spans="8:8">
      <c r="A107" s="3" t="s">
        <v>119</v>
      </c>
      <c r="B107" s="4" t="s">
        <v>65</v>
      </c>
      <c r="C107" s="356">
        <v>0.01</v>
      </c>
      <c r="D107" s="356">
        <v>4761027.728</v>
      </c>
      <c r="E107" s="180">
        <v>567618.0</v>
      </c>
      <c r="F107" s="180">
        <v>851424.0</v>
      </c>
      <c r="G107" s="357">
        <v>2223000.0</v>
      </c>
      <c r="H107" s="329"/>
      <c r="I107" s="43">
        <f t="shared" si="3"/>
        <v>8403069.738</v>
      </c>
      <c r="J107" s="233"/>
    </row>
    <row r="108" spans="8:8">
      <c r="A108" s="3" t="s">
        <v>120</v>
      </c>
      <c r="B108" s="4" t="s">
        <v>65</v>
      </c>
      <c r="C108" s="356">
        <v>0.01</v>
      </c>
      <c r="D108" s="356">
        <v>8948030.831999999</v>
      </c>
      <c r="E108" s="180">
        <v>567618.0</v>
      </c>
      <c r="F108" s="180">
        <v>851424.0</v>
      </c>
      <c r="G108" s="357">
        <v>2223000.0</v>
      </c>
      <c r="H108" s="329"/>
      <c r="I108" s="43">
        <f t="shared" si="3"/>
        <v>1.2590072841999998E7</v>
      </c>
      <c r="J108" s="233"/>
    </row>
    <row r="109" spans="8:8">
      <c r="A109" s="3" t="s">
        <v>121</v>
      </c>
      <c r="B109" s="4" t="s">
        <v>65</v>
      </c>
      <c r="C109" s="356">
        <v>0.01</v>
      </c>
      <c r="D109" s="356">
        <v>9522055.440000001</v>
      </c>
      <c r="E109" s="180">
        <v>567618.0</v>
      </c>
      <c r="F109" s="180">
        <v>851424.0</v>
      </c>
      <c r="G109" s="357">
        <v>2223000.0</v>
      </c>
      <c r="H109" s="329"/>
      <c r="I109" s="43">
        <f t="shared" si="3"/>
        <v>1.3164097450000001E7</v>
      </c>
      <c r="J109" s="233"/>
    </row>
    <row r="110" spans="8:8">
      <c r="A110" s="3" t="s">
        <v>122</v>
      </c>
      <c r="B110" s="4" t="s">
        <v>65</v>
      </c>
      <c r="C110" s="356">
        <v>0.01</v>
      </c>
      <c r="D110" s="356">
        <v>4474015.408</v>
      </c>
      <c r="E110" s="180">
        <v>567618.0</v>
      </c>
      <c r="F110" s="180">
        <v>851424.0</v>
      </c>
      <c r="G110" s="357">
        <v>2223000.0</v>
      </c>
      <c r="H110" s="329"/>
      <c r="I110" s="43">
        <f t="shared" si="3"/>
        <v>8116057.418</v>
      </c>
      <c r="J110" s="233"/>
    </row>
    <row r="111" spans="8:8">
      <c r="A111" s="3" t="s">
        <v>123</v>
      </c>
      <c r="B111" s="4" t="s">
        <v>65</v>
      </c>
      <c r="C111" s="356">
        <v>0.01</v>
      </c>
      <c r="D111" s="356">
        <v>4761027.728</v>
      </c>
      <c r="E111" s="180">
        <v>567618.0</v>
      </c>
      <c r="F111" s="180">
        <v>851424.0</v>
      </c>
      <c r="G111" s="357">
        <v>2223000.0</v>
      </c>
      <c r="H111" s="329"/>
      <c r="I111" s="43">
        <f t="shared" si="3"/>
        <v>8403069.738</v>
      </c>
      <c r="J111" s="233"/>
    </row>
    <row r="112" spans="8:8">
      <c r="A112" s="3" t="s">
        <v>124</v>
      </c>
      <c r="B112" s="4" t="s">
        <v>65</v>
      </c>
      <c r="C112" s="356">
        <v>0.01</v>
      </c>
      <c r="D112" s="356">
        <v>5267520.032</v>
      </c>
      <c r="E112" s="180">
        <v>567618.0</v>
      </c>
      <c r="F112" s="180">
        <v>851424.0</v>
      </c>
      <c r="G112" s="357">
        <v>2223000.0</v>
      </c>
      <c r="H112" s="329"/>
      <c r="I112" s="43">
        <f t="shared" si="3"/>
        <v>8909562.042</v>
      </c>
      <c r="J112" s="233"/>
    </row>
    <row r="113" spans="8:8">
      <c r="A113" s="3" t="s">
        <v>125</v>
      </c>
      <c r="B113" s="4" t="s">
        <v>65</v>
      </c>
      <c r="C113" s="356">
        <v>0.01</v>
      </c>
      <c r="D113" s="356">
        <v>5807778.495999999</v>
      </c>
      <c r="E113" s="180">
        <v>567618.0</v>
      </c>
      <c r="F113" s="180">
        <v>851424.0</v>
      </c>
      <c r="G113" s="357">
        <v>2223000.0</v>
      </c>
      <c r="H113" s="329"/>
      <c r="I113" s="43">
        <f t="shared" si="3"/>
        <v>9449820.506</v>
      </c>
      <c r="J113" s="233"/>
    </row>
    <row r="114" spans="8:8">
      <c r="A114" s="3" t="s">
        <v>126</v>
      </c>
      <c r="B114" s="4" t="s">
        <v>65</v>
      </c>
      <c r="C114" s="356">
        <v>0.01</v>
      </c>
      <c r="D114" s="356">
        <v>6584400.0479999995</v>
      </c>
      <c r="E114" s="180">
        <v>567618.0</v>
      </c>
      <c r="F114" s="180">
        <v>851424.0</v>
      </c>
      <c r="G114" s="357">
        <v>2223000.0</v>
      </c>
      <c r="H114" s="329"/>
      <c r="I114" s="43">
        <f t="shared" si="4" ref="I114:I177">SUM(C114:H114)</f>
        <v>1.0226442057999998E7</v>
      </c>
      <c r="J114" s="233"/>
    </row>
    <row r="115" spans="8:8">
      <c r="A115" s="3" t="s">
        <v>127</v>
      </c>
      <c r="B115" s="4" t="s">
        <v>65</v>
      </c>
      <c r="C115" s="356">
        <v>0.01</v>
      </c>
      <c r="D115" s="356">
        <v>8948030.831999999</v>
      </c>
      <c r="E115" s="180">
        <v>567618.0</v>
      </c>
      <c r="F115" s="180">
        <v>851424.0</v>
      </c>
      <c r="G115" s="357">
        <v>2223000.0</v>
      </c>
      <c r="H115" s="329"/>
      <c r="I115" s="43">
        <f t="shared" si="4"/>
        <v>1.2590072841999998E7</v>
      </c>
      <c r="J115" s="233"/>
    </row>
    <row r="116" spans="8:8">
      <c r="A116" s="3" t="s">
        <v>128</v>
      </c>
      <c r="B116" s="4" t="s">
        <v>65</v>
      </c>
      <c r="C116" s="356">
        <v>0.01</v>
      </c>
      <c r="D116" s="356">
        <v>9522055.440000001</v>
      </c>
      <c r="E116" s="180">
        <v>567618.0</v>
      </c>
      <c r="F116" s="180">
        <v>851424.0</v>
      </c>
      <c r="G116" s="357">
        <v>2223000.0</v>
      </c>
      <c r="H116" s="329"/>
      <c r="I116" s="43">
        <f t="shared" si="4"/>
        <v>1.3164097450000001E7</v>
      </c>
      <c r="J116" s="233"/>
    </row>
    <row r="117" spans="8:8">
      <c r="A117" s="3" t="s">
        <v>129</v>
      </c>
      <c r="B117" s="4" t="s">
        <v>65</v>
      </c>
      <c r="C117" s="356">
        <v>0.01</v>
      </c>
      <c r="D117" s="356">
        <v>1.0535040064E7</v>
      </c>
      <c r="E117" s="180">
        <v>567618.0</v>
      </c>
      <c r="F117" s="180">
        <v>851424.0</v>
      </c>
      <c r="G117" s="357">
        <v>2223000.0</v>
      </c>
      <c r="H117" s="329"/>
      <c r="I117" s="43">
        <f t="shared" si="4"/>
        <v>1.4177082074E7</v>
      </c>
      <c r="J117" s="233"/>
    </row>
    <row r="118" spans="8:8">
      <c r="A118" s="3" t="s">
        <v>130</v>
      </c>
      <c r="B118" s="4" t="s">
        <v>65</v>
      </c>
      <c r="C118" s="356">
        <v>0.01</v>
      </c>
      <c r="D118" s="356">
        <v>1.1615556991999999E7</v>
      </c>
      <c r="E118" s="180">
        <v>567618.0</v>
      </c>
      <c r="F118" s="180">
        <v>851424.0</v>
      </c>
      <c r="G118" s="357">
        <v>2223000.0</v>
      </c>
      <c r="H118" s="329"/>
      <c r="I118" s="43">
        <f t="shared" si="4"/>
        <v>1.5257599001999998E7</v>
      </c>
      <c r="J118" s="233"/>
    </row>
    <row r="119" spans="8:8">
      <c r="A119" s="3" t="s">
        <v>131</v>
      </c>
      <c r="B119" s="4" t="s">
        <v>65</v>
      </c>
      <c r="C119" s="356">
        <v>0.01</v>
      </c>
      <c r="D119" s="356">
        <v>1.3168800079999998E7</v>
      </c>
      <c r="E119" s="180">
        <v>567618.0</v>
      </c>
      <c r="F119" s="180">
        <v>851424.0</v>
      </c>
      <c r="G119" s="357">
        <v>2223000.0</v>
      </c>
      <c r="H119" s="329"/>
      <c r="I119" s="43">
        <f t="shared" si="4"/>
        <v>1.6810842089999996E7</v>
      </c>
      <c r="J119" s="233"/>
    </row>
    <row r="120" spans="8:8">
      <c r="A120" s="3" t="s">
        <v>132</v>
      </c>
      <c r="B120" s="4" t="s">
        <v>65</v>
      </c>
      <c r="C120" s="356">
        <v>0.01</v>
      </c>
      <c r="D120" s="356">
        <v>4474015.408</v>
      </c>
      <c r="E120" s="180">
        <v>567618.0</v>
      </c>
      <c r="F120" s="180">
        <v>851424.0</v>
      </c>
      <c r="G120" s="357">
        <v>2223000.0</v>
      </c>
      <c r="H120" s="329"/>
      <c r="I120" s="43">
        <f t="shared" si="4"/>
        <v>8116057.418</v>
      </c>
      <c r="J120" s="233"/>
    </row>
    <row r="121" spans="8:8">
      <c r="A121" s="3" t="s">
        <v>133</v>
      </c>
      <c r="B121" s="4" t="s">
        <v>65</v>
      </c>
      <c r="C121" s="356">
        <v>0.01</v>
      </c>
      <c r="D121" s="356">
        <v>4761027.728</v>
      </c>
      <c r="E121" s="180">
        <v>567618.0</v>
      </c>
      <c r="F121" s="180">
        <v>851424.0</v>
      </c>
      <c r="G121" s="357">
        <v>2223000.0</v>
      </c>
      <c r="H121" s="329"/>
      <c r="I121" s="43">
        <f t="shared" si="4"/>
        <v>8403069.738</v>
      </c>
      <c r="J121" s="233"/>
    </row>
    <row r="122" spans="8:8">
      <c r="A122" s="3" t="s">
        <v>134</v>
      </c>
      <c r="B122" s="4" t="s">
        <v>65</v>
      </c>
      <c r="C122" s="356">
        <v>0.01</v>
      </c>
      <c r="D122" s="356">
        <v>5267520.032</v>
      </c>
      <c r="E122" s="180">
        <v>567618.0</v>
      </c>
      <c r="F122" s="180">
        <v>851424.0</v>
      </c>
      <c r="G122" s="357">
        <v>2223000.0</v>
      </c>
      <c r="H122" s="329"/>
      <c r="I122" s="43">
        <f t="shared" si="4"/>
        <v>8909562.042</v>
      </c>
      <c r="J122" s="233"/>
    </row>
    <row r="123" spans="8:8">
      <c r="A123" s="3" t="s">
        <v>135</v>
      </c>
      <c r="B123" s="4" t="s">
        <v>65</v>
      </c>
      <c r="C123" s="356">
        <v>0.01</v>
      </c>
      <c r="D123" s="356">
        <v>4474015.408</v>
      </c>
      <c r="E123" s="180">
        <v>567618.0</v>
      </c>
      <c r="F123" s="180">
        <v>851424.0</v>
      </c>
      <c r="G123" s="357">
        <v>2223000.0</v>
      </c>
      <c r="H123" s="329"/>
      <c r="I123" s="43">
        <f t="shared" si="4"/>
        <v>8116057.418</v>
      </c>
      <c r="J123" s="233"/>
    </row>
    <row r="124" spans="8:8">
      <c r="A124" s="3" t="s">
        <v>136</v>
      </c>
      <c r="B124" s="4" t="s">
        <v>65</v>
      </c>
      <c r="C124" s="356">
        <v>0.01</v>
      </c>
      <c r="D124" s="356">
        <v>4761027.728</v>
      </c>
      <c r="E124" s="180">
        <v>567618.0</v>
      </c>
      <c r="F124" s="180">
        <v>851424.0</v>
      </c>
      <c r="G124" s="357">
        <v>2223000.0</v>
      </c>
      <c r="H124" s="329"/>
      <c r="I124" s="43">
        <f t="shared" si="4"/>
        <v>8403069.738</v>
      </c>
      <c r="J124" s="233"/>
    </row>
    <row r="125" spans="8:8">
      <c r="A125" s="3" t="s">
        <v>137</v>
      </c>
      <c r="B125" s="4" t="s">
        <v>65</v>
      </c>
      <c r="C125" s="356">
        <v>0.01</v>
      </c>
      <c r="D125" s="356">
        <v>8948030.831999999</v>
      </c>
      <c r="E125" s="180">
        <v>567618.0</v>
      </c>
      <c r="F125" s="180">
        <v>851424.0</v>
      </c>
      <c r="G125" s="357">
        <v>2223000.0</v>
      </c>
      <c r="H125" s="329"/>
      <c r="I125" s="43">
        <f t="shared" si="4"/>
        <v>1.2590072841999998E7</v>
      </c>
      <c r="J125" s="233"/>
    </row>
    <row r="126" spans="8:8">
      <c r="A126" s="3" t="s">
        <v>138</v>
      </c>
      <c r="B126" s="4" t="s">
        <v>65</v>
      </c>
      <c r="C126" s="356">
        <v>0.01</v>
      </c>
      <c r="D126" s="356">
        <v>9522055.440000001</v>
      </c>
      <c r="E126" s="180">
        <v>567618.0</v>
      </c>
      <c r="F126" s="180">
        <v>851424.0</v>
      </c>
      <c r="G126" s="357">
        <v>2223000.0</v>
      </c>
      <c r="H126" s="329"/>
      <c r="I126" s="43">
        <f t="shared" si="4"/>
        <v>1.3164097450000001E7</v>
      </c>
      <c r="J126" s="233"/>
    </row>
    <row r="127" spans="8:8">
      <c r="A127" s="3" t="s">
        <v>139</v>
      </c>
      <c r="B127" s="4" t="s">
        <v>65</v>
      </c>
      <c r="C127" s="356">
        <v>0.01</v>
      </c>
      <c r="D127" s="356">
        <v>4474015.408</v>
      </c>
      <c r="E127" s="180">
        <v>567618.0</v>
      </c>
      <c r="F127" s="180">
        <v>851424.0</v>
      </c>
      <c r="G127" s="357">
        <v>2223000.0</v>
      </c>
      <c r="H127" s="329"/>
      <c r="I127" s="43">
        <f t="shared" si="4"/>
        <v>8116057.418</v>
      </c>
      <c r="J127" s="233"/>
    </row>
    <row r="128" spans="8:8">
      <c r="A128" s="3" t="s">
        <v>140</v>
      </c>
      <c r="B128" s="4" t="s">
        <v>65</v>
      </c>
      <c r="C128" s="356">
        <v>0.01</v>
      </c>
      <c r="D128" s="356">
        <v>4761027.728</v>
      </c>
      <c r="E128" s="180">
        <v>567618.0</v>
      </c>
      <c r="F128" s="180">
        <v>851424.0</v>
      </c>
      <c r="G128" s="357">
        <v>2223000.0</v>
      </c>
      <c r="H128" s="329"/>
      <c r="I128" s="43">
        <f t="shared" si="4"/>
        <v>8403069.738</v>
      </c>
      <c r="J128" s="233"/>
    </row>
    <row r="129" spans="8:8">
      <c r="A129" s="3" t="s">
        <v>141</v>
      </c>
      <c r="B129" s="4" t="s">
        <v>65</v>
      </c>
      <c r="C129" s="356">
        <v>0.01</v>
      </c>
      <c r="D129" s="356">
        <v>5267520.032</v>
      </c>
      <c r="E129" s="180">
        <v>567618.0</v>
      </c>
      <c r="F129" s="180">
        <v>851424.0</v>
      </c>
      <c r="G129" s="357">
        <v>2223000.0</v>
      </c>
      <c r="H129" s="329"/>
      <c r="I129" s="43">
        <f t="shared" si="4"/>
        <v>8909562.042</v>
      </c>
      <c r="J129" s="233"/>
    </row>
    <row r="130" spans="8:8">
      <c r="A130" s="3" t="s">
        <v>142</v>
      </c>
      <c r="B130" s="4" t="s">
        <v>65</v>
      </c>
      <c r="C130" s="356">
        <v>0.01</v>
      </c>
      <c r="D130" s="356">
        <v>8948030.831999999</v>
      </c>
      <c r="E130" s="180">
        <v>567618.0</v>
      </c>
      <c r="F130" s="180">
        <v>851424.0</v>
      </c>
      <c r="G130" s="357">
        <v>2223000.0</v>
      </c>
      <c r="H130" s="329"/>
      <c r="I130" s="43">
        <f t="shared" si="4"/>
        <v>1.2590072841999998E7</v>
      </c>
      <c r="J130" s="233"/>
    </row>
    <row r="131" spans="8:8">
      <c r="A131" s="3" t="s">
        <v>143</v>
      </c>
      <c r="B131" s="4" t="s">
        <v>65</v>
      </c>
      <c r="C131" s="356">
        <v>0.01</v>
      </c>
      <c r="D131" s="356">
        <v>9522055.440000001</v>
      </c>
      <c r="E131" s="180">
        <v>567618.0</v>
      </c>
      <c r="F131" s="180">
        <v>851424.0</v>
      </c>
      <c r="G131" s="357">
        <v>2223000.0</v>
      </c>
      <c r="H131" s="329"/>
      <c r="I131" s="43">
        <f t="shared" si="4"/>
        <v>1.3164097450000001E7</v>
      </c>
      <c r="J131" s="233"/>
    </row>
    <row r="132" spans="8:8">
      <c r="A132" s="3" t="s">
        <v>144</v>
      </c>
      <c r="B132" s="4" t="s">
        <v>65</v>
      </c>
      <c r="C132" s="356">
        <v>0.01</v>
      </c>
      <c r="D132" s="356">
        <v>1.0535040064E7</v>
      </c>
      <c r="E132" s="180">
        <v>567618.0</v>
      </c>
      <c r="F132" s="180">
        <v>851424.0</v>
      </c>
      <c r="G132" s="357">
        <v>2223000.0</v>
      </c>
      <c r="H132" s="329"/>
      <c r="I132" s="43">
        <f t="shared" si="4"/>
        <v>1.4177082074E7</v>
      </c>
      <c r="J132" s="233"/>
    </row>
    <row r="133" spans="8:8">
      <c r="A133" s="3" t="s">
        <v>145</v>
      </c>
      <c r="B133" s="4" t="s">
        <v>65</v>
      </c>
      <c r="C133" s="356">
        <v>0.01</v>
      </c>
      <c r="D133" s="356">
        <v>4474015.408</v>
      </c>
      <c r="E133" s="180">
        <v>567618.0</v>
      </c>
      <c r="F133" s="180">
        <v>851424.0</v>
      </c>
      <c r="G133" s="357">
        <v>2223000.0</v>
      </c>
      <c r="H133" s="329"/>
      <c r="I133" s="43">
        <f t="shared" si="4"/>
        <v>8116057.418</v>
      </c>
      <c r="J133" s="233"/>
    </row>
    <row r="134" spans="8:8">
      <c r="A134" s="3" t="s">
        <v>146</v>
      </c>
      <c r="B134" s="4" t="s">
        <v>65</v>
      </c>
      <c r="C134" s="356">
        <v>0.01</v>
      </c>
      <c r="D134" s="356">
        <v>4761027.728</v>
      </c>
      <c r="E134" s="180">
        <v>567618.0</v>
      </c>
      <c r="F134" s="180">
        <v>851424.0</v>
      </c>
      <c r="G134" s="357">
        <v>2223000.0</v>
      </c>
      <c r="H134" s="329"/>
      <c r="I134" s="43">
        <f t="shared" si="4"/>
        <v>8403069.738</v>
      </c>
      <c r="J134" s="233"/>
    </row>
    <row r="135" spans="8:8">
      <c r="A135" s="3" t="s">
        <v>147</v>
      </c>
      <c r="B135" s="4" t="s">
        <v>65</v>
      </c>
      <c r="C135" s="356">
        <v>0.01</v>
      </c>
      <c r="D135" s="356">
        <v>5267520.032</v>
      </c>
      <c r="E135" s="180">
        <v>567618.0</v>
      </c>
      <c r="F135" s="180">
        <v>851424.0</v>
      </c>
      <c r="G135" s="357">
        <v>2223000.0</v>
      </c>
      <c r="H135" s="329"/>
      <c r="I135" s="43">
        <f t="shared" si="4"/>
        <v>8909562.042</v>
      </c>
      <c r="J135" s="233"/>
    </row>
    <row r="136" spans="8:8">
      <c r="A136" s="3" t="s">
        <v>148</v>
      </c>
      <c r="B136" s="4" t="s">
        <v>65</v>
      </c>
      <c r="C136" s="356">
        <v>0.01</v>
      </c>
      <c r="D136" s="356">
        <v>4761027.728</v>
      </c>
      <c r="E136" s="180">
        <v>567618.0</v>
      </c>
      <c r="F136" s="180">
        <v>851424.0</v>
      </c>
      <c r="G136" s="357">
        <v>2223000.0</v>
      </c>
      <c r="H136" s="329"/>
      <c r="I136" s="43">
        <f t="shared" si="4"/>
        <v>8403069.738</v>
      </c>
      <c r="J136" s="233"/>
    </row>
    <row r="137" spans="8:8">
      <c r="A137" s="3" t="s">
        <v>149</v>
      </c>
      <c r="B137" s="4" t="s">
        <v>65</v>
      </c>
      <c r="C137" s="356">
        <v>0.01</v>
      </c>
      <c r="D137" s="356">
        <v>5267520.032</v>
      </c>
      <c r="E137" s="180">
        <v>567618.0</v>
      </c>
      <c r="F137" s="180">
        <v>851424.0</v>
      </c>
      <c r="G137" s="357">
        <v>2223000.0</v>
      </c>
      <c r="H137" s="329"/>
      <c r="I137" s="43">
        <f t="shared" si="4"/>
        <v>8909562.042</v>
      </c>
      <c r="J137" s="233"/>
    </row>
    <row r="138" spans="8:8">
      <c r="A138" s="3" t="s">
        <v>150</v>
      </c>
      <c r="B138" s="4" t="s">
        <v>65</v>
      </c>
      <c r="C138" s="356">
        <v>0.01</v>
      </c>
      <c r="D138" s="356">
        <v>7074009.279999999</v>
      </c>
      <c r="E138" s="180">
        <v>567618.0</v>
      </c>
      <c r="F138" s="180">
        <v>851424.0</v>
      </c>
      <c r="G138" s="357">
        <v>2223000.0</v>
      </c>
      <c r="H138" s="329"/>
      <c r="I138" s="43">
        <f t="shared" si="4"/>
        <v>1.071605129E7</v>
      </c>
      <c r="J138" s="233"/>
    </row>
    <row r="139" spans="8:8">
      <c r="A139" s="3" t="s">
        <v>151</v>
      </c>
      <c r="B139" s="4" t="s">
        <v>65</v>
      </c>
      <c r="C139" s="356">
        <v>0.01</v>
      </c>
      <c r="D139" s="356">
        <v>9522055.440000001</v>
      </c>
      <c r="E139" s="180">
        <v>567618.0</v>
      </c>
      <c r="F139" s="180">
        <v>851424.0</v>
      </c>
      <c r="G139" s="357">
        <v>2223000.0</v>
      </c>
      <c r="H139" s="329"/>
      <c r="I139" s="43">
        <f t="shared" si="4"/>
        <v>1.3164097450000001E7</v>
      </c>
      <c r="J139" s="233"/>
    </row>
    <row r="140" spans="8:8">
      <c r="A140" s="3" t="s">
        <v>152</v>
      </c>
      <c r="B140" s="4" t="s">
        <v>65</v>
      </c>
      <c r="C140" s="356">
        <v>0.01</v>
      </c>
      <c r="D140" s="356">
        <v>1.0535040064E7</v>
      </c>
      <c r="E140" s="180">
        <v>567618.0</v>
      </c>
      <c r="F140" s="180">
        <v>851424.0</v>
      </c>
      <c r="G140" s="357">
        <v>2223000.0</v>
      </c>
      <c r="H140" s="329"/>
      <c r="I140" s="43">
        <f t="shared" si="4"/>
        <v>1.4177082074E7</v>
      </c>
      <c r="J140" s="233"/>
    </row>
    <row r="141" spans="8:8">
      <c r="A141" s="3" t="s">
        <v>153</v>
      </c>
      <c r="B141" s="4" t="s">
        <v>65</v>
      </c>
      <c r="C141" s="356">
        <v>0.01</v>
      </c>
      <c r="D141" s="356">
        <v>2.1948000128E7</v>
      </c>
      <c r="E141" s="180">
        <v>567618.0</v>
      </c>
      <c r="F141" s="180">
        <v>851424.0</v>
      </c>
      <c r="G141" s="357">
        <v>2223000.0</v>
      </c>
      <c r="H141" s="329"/>
      <c r="I141" s="43">
        <f t="shared" si="4"/>
        <v>2.5590042138E7</v>
      </c>
      <c r="J141" s="233"/>
    </row>
    <row r="142" spans="8:8">
      <c r="A142" s="3" t="s">
        <v>154</v>
      </c>
      <c r="B142" s="4" t="s">
        <v>65</v>
      </c>
      <c r="C142" s="356">
        <v>0.01</v>
      </c>
      <c r="D142" s="356">
        <v>4220769.264</v>
      </c>
      <c r="E142" s="180">
        <v>567618.0</v>
      </c>
      <c r="F142" s="180">
        <v>851424.0</v>
      </c>
      <c r="G142" s="357">
        <v>2223000.0</v>
      </c>
      <c r="H142" s="329"/>
      <c r="I142" s="43">
        <f t="shared" si="4"/>
        <v>7862811.274</v>
      </c>
      <c r="J142" s="233"/>
    </row>
    <row r="143" spans="8:8">
      <c r="A143" s="3" t="s">
        <v>155</v>
      </c>
      <c r="B143" s="4" t="s">
        <v>65</v>
      </c>
      <c r="C143" s="356">
        <v>0.01</v>
      </c>
      <c r="D143" s="356">
        <v>4474015.408</v>
      </c>
      <c r="E143" s="180">
        <v>567618.0</v>
      </c>
      <c r="F143" s="180">
        <v>851424.0</v>
      </c>
      <c r="G143" s="357">
        <v>2223000.0</v>
      </c>
      <c r="H143" s="329"/>
      <c r="I143" s="43">
        <f t="shared" si="4"/>
        <v>8116057.418</v>
      </c>
      <c r="J143" s="233"/>
    </row>
    <row r="144" spans="8:8">
      <c r="A144" s="3" t="s">
        <v>156</v>
      </c>
      <c r="B144" s="4" t="s">
        <v>65</v>
      </c>
      <c r="C144" s="356">
        <v>0.01</v>
      </c>
      <c r="D144" s="356">
        <v>4761027.728</v>
      </c>
      <c r="E144" s="180">
        <v>567618.0</v>
      </c>
      <c r="F144" s="180">
        <v>851424.0</v>
      </c>
      <c r="G144" s="357">
        <v>2223000.0</v>
      </c>
      <c r="H144" s="329"/>
      <c r="I144" s="43">
        <f t="shared" si="4"/>
        <v>8403069.738</v>
      </c>
      <c r="J144" s="233"/>
    </row>
    <row r="145" spans="8:8">
      <c r="A145" s="3" t="s">
        <v>157</v>
      </c>
      <c r="B145" s="4" t="s">
        <v>65</v>
      </c>
      <c r="C145" s="356">
        <v>0.01</v>
      </c>
      <c r="D145" s="356">
        <v>4474015.408</v>
      </c>
      <c r="E145" s="180">
        <v>567618.0</v>
      </c>
      <c r="F145" s="180">
        <v>851424.0</v>
      </c>
      <c r="G145" s="357">
        <v>2223000.0</v>
      </c>
      <c r="H145" s="329"/>
      <c r="I145" s="43">
        <f t="shared" si="4"/>
        <v>8116057.418</v>
      </c>
      <c r="J145" s="233"/>
    </row>
    <row r="146" spans="8:8">
      <c r="A146" s="3" t="s">
        <v>158</v>
      </c>
      <c r="B146" s="4" t="s">
        <v>65</v>
      </c>
      <c r="C146" s="356">
        <v>0.01</v>
      </c>
      <c r="D146" s="356">
        <v>4761027.728</v>
      </c>
      <c r="E146" s="180">
        <v>567618.0</v>
      </c>
      <c r="F146" s="180">
        <v>851424.0</v>
      </c>
      <c r="G146" s="357">
        <v>2223000.0</v>
      </c>
      <c r="H146" s="329"/>
      <c r="I146" s="43">
        <f t="shared" si="4"/>
        <v>8403069.738</v>
      </c>
      <c r="J146" s="233"/>
    </row>
    <row r="147" spans="8:8">
      <c r="A147" s="3" t="s">
        <v>159</v>
      </c>
      <c r="B147" s="4" t="s">
        <v>65</v>
      </c>
      <c r="C147" s="356">
        <v>0.01</v>
      </c>
      <c r="D147" s="356">
        <v>5267520.032</v>
      </c>
      <c r="E147" s="180">
        <v>567618.0</v>
      </c>
      <c r="F147" s="180">
        <v>851424.0</v>
      </c>
      <c r="G147" s="357">
        <v>2223000.0</v>
      </c>
      <c r="H147" s="329"/>
      <c r="I147" s="43">
        <f t="shared" si="4"/>
        <v>8909562.042</v>
      </c>
      <c r="J147" s="233"/>
    </row>
    <row r="148" spans="8:8">
      <c r="A148" s="3" t="s">
        <v>160</v>
      </c>
      <c r="B148" s="4" t="s">
        <v>65</v>
      </c>
      <c r="C148" s="356">
        <v>0.01</v>
      </c>
      <c r="D148" s="356">
        <v>4761027.728</v>
      </c>
      <c r="E148" s="180">
        <v>567618.0</v>
      </c>
      <c r="F148" s="180">
        <v>851424.0</v>
      </c>
      <c r="G148" s="357">
        <v>2223000.0</v>
      </c>
      <c r="H148" s="329"/>
      <c r="I148" s="43">
        <f t="shared" si="4"/>
        <v>8403069.738</v>
      </c>
      <c r="J148" s="233"/>
    </row>
    <row r="149" spans="8:8">
      <c r="A149" s="15" t="s">
        <v>161</v>
      </c>
      <c r="B149" s="16" t="s">
        <v>65</v>
      </c>
      <c r="C149" s="356">
        <v>0.01</v>
      </c>
      <c r="D149" s="356">
        <v>5267520.032</v>
      </c>
      <c r="E149" s="180">
        <v>567618.0</v>
      </c>
      <c r="F149" s="180">
        <v>851424.0</v>
      </c>
      <c r="G149" s="357">
        <v>2223000.0</v>
      </c>
      <c r="H149" s="329"/>
      <c r="I149" s="43">
        <f t="shared" si="4"/>
        <v>8909562.042</v>
      </c>
      <c r="J149" s="233"/>
    </row>
    <row r="150" spans="8:8">
      <c r="A150" s="15" t="s">
        <v>162</v>
      </c>
      <c r="B150" s="16" t="s">
        <v>65</v>
      </c>
      <c r="C150" s="356">
        <v>0.01</v>
      </c>
      <c r="D150" s="356">
        <v>9522055.440000001</v>
      </c>
      <c r="E150" s="180">
        <v>567618.0</v>
      </c>
      <c r="F150" s="180">
        <v>851424.0</v>
      </c>
      <c r="G150" s="357">
        <v>2223000.0</v>
      </c>
      <c r="H150" s="329"/>
      <c r="I150" s="43">
        <f t="shared" si="4"/>
        <v>1.3164097450000001E7</v>
      </c>
      <c r="J150" s="233"/>
    </row>
    <row r="151" spans="8:8">
      <c r="A151" s="15" t="s">
        <v>163</v>
      </c>
      <c r="B151" s="16" t="s">
        <v>65</v>
      </c>
      <c r="C151" s="356">
        <v>0.01</v>
      </c>
      <c r="D151" s="356">
        <v>1.0535040064E7</v>
      </c>
      <c r="E151" s="180">
        <v>567618.0</v>
      </c>
      <c r="F151" s="180">
        <v>851424.0</v>
      </c>
      <c r="G151" s="357">
        <v>2223000.0</v>
      </c>
      <c r="H151" s="329"/>
      <c r="I151" s="43">
        <f t="shared" si="4"/>
        <v>1.4177082074E7</v>
      </c>
      <c r="J151" s="233"/>
    </row>
    <row r="152" spans="8:8">
      <c r="A152" s="3" t="s">
        <v>164</v>
      </c>
      <c r="B152" s="4" t="s">
        <v>65</v>
      </c>
      <c r="C152" s="356">
        <v>0.01</v>
      </c>
      <c r="D152" s="356">
        <v>4119470.8</v>
      </c>
      <c r="E152" s="180">
        <v>567618.0</v>
      </c>
      <c r="F152" s="180">
        <v>851424.0</v>
      </c>
      <c r="G152" s="357">
        <v>2223000.0</v>
      </c>
      <c r="H152" s="329"/>
      <c r="I152" s="43">
        <f t="shared" si="4"/>
        <v>7761512.81</v>
      </c>
      <c r="J152" s="233"/>
    </row>
    <row r="153" spans="8:8">
      <c r="A153" s="3" t="s">
        <v>165</v>
      </c>
      <c r="B153" s="4" t="s">
        <v>65</v>
      </c>
      <c r="C153" s="356">
        <v>0.01</v>
      </c>
      <c r="D153" s="356">
        <v>4625963.104</v>
      </c>
      <c r="E153" s="180">
        <v>567618.0</v>
      </c>
      <c r="F153" s="180">
        <v>851424.0</v>
      </c>
      <c r="G153" s="357">
        <v>2223000.0</v>
      </c>
      <c r="H153" s="329"/>
      <c r="I153" s="43">
        <f t="shared" si="4"/>
        <v>8268005.114</v>
      </c>
      <c r="J153" s="233"/>
    </row>
    <row r="154" spans="8:8">
      <c r="A154" s="3" t="s">
        <v>166</v>
      </c>
      <c r="B154" s="4" t="s">
        <v>65</v>
      </c>
      <c r="C154" s="356">
        <v>0.01</v>
      </c>
      <c r="D154" s="356">
        <v>4474015.408</v>
      </c>
      <c r="E154" s="180">
        <v>567618.0</v>
      </c>
      <c r="F154" s="180">
        <v>851424.0</v>
      </c>
      <c r="G154" s="357">
        <v>2223000.0</v>
      </c>
      <c r="H154" s="329"/>
      <c r="I154" s="43">
        <f t="shared" si="4"/>
        <v>8116057.418</v>
      </c>
      <c r="J154" s="233"/>
    </row>
    <row r="155" spans="8:8">
      <c r="A155" s="3" t="s">
        <v>167</v>
      </c>
      <c r="B155" s="4" t="s">
        <v>65</v>
      </c>
      <c r="C155" s="356">
        <v>0.01</v>
      </c>
      <c r="D155" s="356">
        <v>4761027.728</v>
      </c>
      <c r="E155" s="180">
        <v>567618.0</v>
      </c>
      <c r="F155" s="180">
        <v>851424.0</v>
      </c>
      <c r="G155" s="357">
        <v>2223000.0</v>
      </c>
      <c r="H155" s="329"/>
      <c r="I155" s="43">
        <f t="shared" si="4"/>
        <v>8403069.738</v>
      </c>
      <c r="J155" s="233"/>
    </row>
    <row r="156" spans="8:8">
      <c r="A156" s="3" t="s">
        <v>168</v>
      </c>
      <c r="B156" s="4" t="s">
        <v>65</v>
      </c>
      <c r="C156" s="356">
        <v>0.01</v>
      </c>
      <c r="D156" s="356">
        <v>8948030.831999999</v>
      </c>
      <c r="E156" s="180">
        <v>567618.0</v>
      </c>
      <c r="F156" s="180">
        <v>851424.0</v>
      </c>
      <c r="G156" s="357">
        <v>2223000.0</v>
      </c>
      <c r="H156" s="329"/>
      <c r="I156" s="43">
        <f t="shared" si="4"/>
        <v>1.2590072841999998E7</v>
      </c>
      <c r="J156" s="233"/>
    </row>
    <row r="157" spans="8:8">
      <c r="A157" s="3" t="s">
        <v>169</v>
      </c>
      <c r="B157" s="4" t="s">
        <v>65</v>
      </c>
      <c r="C157" s="356">
        <v>0.01</v>
      </c>
      <c r="D157" s="356">
        <v>9522055.440000001</v>
      </c>
      <c r="E157" s="180">
        <v>567618.0</v>
      </c>
      <c r="F157" s="180">
        <v>851424.0</v>
      </c>
      <c r="G157" s="357">
        <v>2223000.0</v>
      </c>
      <c r="H157" s="329"/>
      <c r="I157" s="43">
        <f t="shared" si="4"/>
        <v>1.3164097450000001E7</v>
      </c>
      <c r="J157" s="233"/>
    </row>
    <row r="158" spans="8:8">
      <c r="A158" s="3" t="s">
        <v>170</v>
      </c>
      <c r="B158" s="4" t="s">
        <v>65</v>
      </c>
      <c r="C158" s="356">
        <v>0.01</v>
      </c>
      <c r="D158" s="356">
        <v>4474015.408</v>
      </c>
      <c r="E158" s="180">
        <v>567618.0</v>
      </c>
      <c r="F158" s="180">
        <v>851424.0</v>
      </c>
      <c r="G158" s="357">
        <v>2223000.0</v>
      </c>
      <c r="H158" s="329"/>
      <c r="I158" s="43">
        <f t="shared" si="4"/>
        <v>8116057.418</v>
      </c>
      <c r="J158" s="233"/>
    </row>
    <row r="159" spans="8:8">
      <c r="A159" s="3" t="s">
        <v>171</v>
      </c>
      <c r="B159" s="4" t="s">
        <v>65</v>
      </c>
      <c r="C159" s="356">
        <v>0.01</v>
      </c>
      <c r="D159" s="356">
        <v>4761027.728</v>
      </c>
      <c r="E159" s="180">
        <v>567618.0</v>
      </c>
      <c r="F159" s="180">
        <v>851424.0</v>
      </c>
      <c r="G159" s="357">
        <v>2223000.0</v>
      </c>
      <c r="H159" s="329"/>
      <c r="I159" s="43">
        <f t="shared" si="4"/>
        <v>8403069.738</v>
      </c>
      <c r="J159" s="233"/>
    </row>
    <row r="160" spans="8:8">
      <c r="A160" s="3" t="s">
        <v>172</v>
      </c>
      <c r="B160" s="4" t="s">
        <v>65</v>
      </c>
      <c r="C160" s="356">
        <v>0.01</v>
      </c>
      <c r="D160" s="356">
        <v>5267520.032</v>
      </c>
      <c r="E160" s="180">
        <v>567618.0</v>
      </c>
      <c r="F160" s="180">
        <v>851424.0</v>
      </c>
      <c r="G160" s="357">
        <v>2223000.0</v>
      </c>
      <c r="H160" s="329"/>
      <c r="I160" s="43">
        <f t="shared" si="4"/>
        <v>8909562.042</v>
      </c>
      <c r="J160" s="233"/>
    </row>
    <row r="161" spans="8:8">
      <c r="A161" s="3" t="s">
        <v>173</v>
      </c>
      <c r="B161" s="4" t="s">
        <v>65</v>
      </c>
      <c r="C161" s="356">
        <v>0.01</v>
      </c>
      <c r="D161" s="356">
        <v>8948030.831999999</v>
      </c>
      <c r="E161" s="180">
        <v>567618.0</v>
      </c>
      <c r="F161" s="180">
        <v>851424.0</v>
      </c>
      <c r="G161" s="357">
        <v>2223000.0</v>
      </c>
      <c r="H161" s="329"/>
      <c r="I161" s="43">
        <f t="shared" si="4"/>
        <v>1.2590072841999998E7</v>
      </c>
      <c r="J161" s="233"/>
    </row>
    <row r="162" spans="8:8">
      <c r="A162" s="3" t="s">
        <v>174</v>
      </c>
      <c r="B162" s="4" t="s">
        <v>65</v>
      </c>
      <c r="C162" s="356">
        <v>0.01</v>
      </c>
      <c r="D162" s="356">
        <v>9522055.440000001</v>
      </c>
      <c r="E162" s="180">
        <v>567618.0</v>
      </c>
      <c r="F162" s="180">
        <v>851424.0</v>
      </c>
      <c r="G162" s="357">
        <v>2223000.0</v>
      </c>
      <c r="H162" s="329"/>
      <c r="I162" s="43">
        <f t="shared" si="4"/>
        <v>1.3164097450000001E7</v>
      </c>
      <c r="J162" s="233"/>
    </row>
    <row r="163" spans="8:8">
      <c r="A163" s="3" t="s">
        <v>175</v>
      </c>
      <c r="B163" s="4" t="s">
        <v>65</v>
      </c>
      <c r="C163" s="356">
        <v>0.01</v>
      </c>
      <c r="D163" s="356">
        <v>1.0535040064E7</v>
      </c>
      <c r="E163" s="180">
        <v>567618.0</v>
      </c>
      <c r="F163" s="180">
        <v>851424.0</v>
      </c>
      <c r="G163" s="357">
        <v>2223000.0</v>
      </c>
      <c r="H163" s="329"/>
      <c r="I163" s="43">
        <f t="shared" si="4"/>
        <v>1.4177082074E7</v>
      </c>
      <c r="J163" s="233"/>
    </row>
    <row r="164" spans="8:8">
      <c r="A164" s="3" t="s">
        <v>176</v>
      </c>
      <c r="B164" s="4" t="s">
        <v>65</v>
      </c>
      <c r="C164" s="356">
        <v>0.01</v>
      </c>
      <c r="D164" s="356">
        <v>4170120.0319999997</v>
      </c>
      <c r="E164" s="180">
        <v>567618.0</v>
      </c>
      <c r="F164" s="180">
        <v>851424.0</v>
      </c>
      <c r="G164" s="357">
        <v>2223000.0</v>
      </c>
      <c r="H164" s="329"/>
      <c r="I164" s="43">
        <f t="shared" si="4"/>
        <v>7812162.041999999</v>
      </c>
      <c r="J164" s="233"/>
    </row>
    <row r="165" spans="8:8">
      <c r="A165" s="3" t="s">
        <v>177</v>
      </c>
      <c r="B165" s="4" t="s">
        <v>65</v>
      </c>
      <c r="C165" s="356">
        <v>0.01</v>
      </c>
      <c r="D165" s="356">
        <v>5267520.032</v>
      </c>
      <c r="E165" s="180">
        <v>567618.0</v>
      </c>
      <c r="F165" s="180">
        <v>851424.0</v>
      </c>
      <c r="G165" s="357">
        <v>2223000.0</v>
      </c>
      <c r="H165" s="329"/>
      <c r="I165" s="43">
        <f t="shared" si="4"/>
        <v>8909562.042</v>
      </c>
      <c r="J165" s="233"/>
    </row>
    <row r="166" spans="8:8">
      <c r="A166" s="3" t="s">
        <v>178</v>
      </c>
      <c r="B166" s="4" t="s">
        <v>65</v>
      </c>
      <c r="C166" s="356">
        <v>2.0735286E7</v>
      </c>
      <c r="D166" s="356">
        <v>7.9130982032E7</v>
      </c>
      <c r="E166" s="180">
        <v>567618.0</v>
      </c>
      <c r="F166" s="180">
        <v>851424.0</v>
      </c>
      <c r="G166" s="357">
        <v>2223000.0</v>
      </c>
      <c r="H166" s="329"/>
      <c r="I166" s="43">
        <f t="shared" si="4"/>
        <v>1.03508310032E8</v>
      </c>
      <c r="J166" s="233"/>
    </row>
    <row r="167" spans="8:8">
      <c r="A167" s="3" t="s">
        <v>179</v>
      </c>
      <c r="B167" s="4" t="s">
        <v>65</v>
      </c>
      <c r="C167" s="356">
        <v>0.01</v>
      </c>
      <c r="D167" s="356">
        <v>1.0146729296E7</v>
      </c>
      <c r="E167" s="180">
        <v>567618.0</v>
      </c>
      <c r="F167" s="180">
        <v>851424.0</v>
      </c>
      <c r="G167" s="357">
        <v>2223000.0</v>
      </c>
      <c r="H167" s="329"/>
      <c r="I167" s="43">
        <f t="shared" si="4"/>
        <v>1.3788771306E7</v>
      </c>
      <c r="J167" s="233"/>
    </row>
    <row r="168" spans="8:8">
      <c r="A168" s="3" t="s">
        <v>180</v>
      </c>
      <c r="B168" s="4" t="s">
        <v>65</v>
      </c>
      <c r="C168" s="356">
        <v>0.01</v>
      </c>
      <c r="D168" s="356">
        <v>4761027.728</v>
      </c>
      <c r="E168" s="180">
        <v>567618.0</v>
      </c>
      <c r="F168" s="180">
        <v>851424.0</v>
      </c>
      <c r="G168" s="357">
        <v>2223000.0</v>
      </c>
      <c r="H168" s="329"/>
      <c r="I168" s="43">
        <f t="shared" si="4"/>
        <v>8403069.738</v>
      </c>
      <c r="J168" s="233"/>
    </row>
    <row r="169" spans="8:8">
      <c r="A169" s="3" t="s">
        <v>181</v>
      </c>
      <c r="B169" s="4" t="s">
        <v>65</v>
      </c>
      <c r="C169" s="356">
        <v>0.01</v>
      </c>
      <c r="D169" s="356">
        <v>9522055.440000001</v>
      </c>
      <c r="E169" s="180">
        <v>567618.0</v>
      </c>
      <c r="F169" s="180">
        <v>851424.0</v>
      </c>
      <c r="G169" s="357">
        <v>2223000.0</v>
      </c>
      <c r="H169" s="329"/>
      <c r="I169" s="43">
        <f t="shared" si="4"/>
        <v>1.3164097450000001E7</v>
      </c>
      <c r="J169" s="233"/>
    </row>
    <row r="170" spans="8:8">
      <c r="A170" s="3" t="s">
        <v>182</v>
      </c>
      <c r="B170" s="4" t="s">
        <v>65</v>
      </c>
      <c r="C170" s="356">
        <v>0.01</v>
      </c>
      <c r="D170" s="356">
        <v>4474015.408</v>
      </c>
      <c r="E170" s="180">
        <v>567618.0</v>
      </c>
      <c r="F170" s="180">
        <v>851424.0</v>
      </c>
      <c r="G170" s="357">
        <v>2223000.0</v>
      </c>
      <c r="H170" s="329"/>
      <c r="I170" s="43">
        <f t="shared" si="4"/>
        <v>8116057.418</v>
      </c>
      <c r="J170" s="233"/>
    </row>
    <row r="171" spans="8:8">
      <c r="A171" s="3" t="s">
        <v>183</v>
      </c>
      <c r="B171" s="4" t="s">
        <v>65</v>
      </c>
      <c r="C171" s="356">
        <v>0.01</v>
      </c>
      <c r="D171" s="356">
        <v>4761027.728</v>
      </c>
      <c r="E171" s="180">
        <v>567618.0</v>
      </c>
      <c r="F171" s="180">
        <v>851424.0</v>
      </c>
      <c r="G171" s="357">
        <v>2223000.0</v>
      </c>
      <c r="H171" s="329"/>
      <c r="I171" s="43">
        <f t="shared" si="4"/>
        <v>8403069.738</v>
      </c>
      <c r="J171" s="233"/>
    </row>
    <row r="172" spans="8:8">
      <c r="A172" s="3" t="s">
        <v>184</v>
      </c>
      <c r="B172" s="4" t="s">
        <v>65</v>
      </c>
      <c r="C172" s="356">
        <v>0.01</v>
      </c>
      <c r="D172" s="356">
        <v>5267520.032</v>
      </c>
      <c r="E172" s="180">
        <v>567618.0</v>
      </c>
      <c r="F172" s="180">
        <v>851424.0</v>
      </c>
      <c r="G172" s="357">
        <v>2223000.0</v>
      </c>
      <c r="H172" s="329"/>
      <c r="I172" s="43">
        <f t="shared" si="4"/>
        <v>8909562.042</v>
      </c>
      <c r="J172" s="233"/>
    </row>
    <row r="173" spans="8:8">
      <c r="A173" s="3" t="s">
        <v>185</v>
      </c>
      <c r="B173" s="4" t="s">
        <v>65</v>
      </c>
      <c r="C173" s="356">
        <v>0.01</v>
      </c>
      <c r="D173" s="356">
        <v>8948030.831999999</v>
      </c>
      <c r="E173" s="180">
        <v>567618.0</v>
      </c>
      <c r="F173" s="180">
        <v>851424.0</v>
      </c>
      <c r="G173" s="357">
        <v>2223000.0</v>
      </c>
      <c r="H173" s="329"/>
      <c r="I173" s="43">
        <f t="shared" si="4"/>
        <v>1.2590072841999998E7</v>
      </c>
      <c r="J173" s="233"/>
    </row>
    <row r="174" spans="8:8">
      <c r="A174" s="3" t="s">
        <v>186</v>
      </c>
      <c r="B174" s="4" t="s">
        <v>65</v>
      </c>
      <c r="C174" s="356">
        <v>0.01</v>
      </c>
      <c r="D174" s="356">
        <v>9522055.440000001</v>
      </c>
      <c r="E174" s="180">
        <v>567618.0</v>
      </c>
      <c r="F174" s="180">
        <v>851424.0</v>
      </c>
      <c r="G174" s="357">
        <v>2223000.0</v>
      </c>
      <c r="H174" s="329"/>
      <c r="I174" s="43">
        <f t="shared" si="4"/>
        <v>1.3164097450000001E7</v>
      </c>
      <c r="J174" s="233"/>
    </row>
    <row r="175" spans="8:8">
      <c r="A175" s="3" t="s">
        <v>187</v>
      </c>
      <c r="B175" s="4" t="s">
        <v>65</v>
      </c>
      <c r="C175" s="356">
        <v>0.01</v>
      </c>
      <c r="D175" s="356">
        <v>1.0535040064E7</v>
      </c>
      <c r="E175" s="180">
        <v>567618.0</v>
      </c>
      <c r="F175" s="180">
        <v>851424.0</v>
      </c>
      <c r="G175" s="357">
        <v>2223000.0</v>
      </c>
      <c r="H175" s="329"/>
      <c r="I175" s="43">
        <f t="shared" si="4"/>
        <v>1.4177082074E7</v>
      </c>
      <c r="J175" s="233"/>
    </row>
    <row r="176" spans="8:8">
      <c r="A176" s="15" t="s">
        <v>188</v>
      </c>
      <c r="B176" s="16" t="s">
        <v>65</v>
      </c>
      <c r="C176" s="356">
        <v>0.01</v>
      </c>
      <c r="D176" s="356">
        <v>4474015.408</v>
      </c>
      <c r="E176" s="180">
        <v>567618.0</v>
      </c>
      <c r="F176" s="180">
        <v>851424.0</v>
      </c>
      <c r="G176" s="357">
        <v>2223000.0</v>
      </c>
      <c r="H176" s="329"/>
      <c r="I176" s="43">
        <f t="shared" si="4"/>
        <v>8116057.418</v>
      </c>
      <c r="J176" s="233"/>
    </row>
    <row r="177" spans="8:8">
      <c r="A177" s="3" t="s">
        <v>189</v>
      </c>
      <c r="B177" s="4" t="s">
        <v>65</v>
      </c>
      <c r="C177" s="356">
        <v>0.01</v>
      </c>
      <c r="D177" s="356">
        <v>4761027.728</v>
      </c>
      <c r="E177" s="180">
        <v>567618.0</v>
      </c>
      <c r="F177" s="180">
        <v>851424.0</v>
      </c>
      <c r="G177" s="357">
        <v>2223000.0</v>
      </c>
      <c r="H177" s="329"/>
      <c r="I177" s="43">
        <f t="shared" si="4"/>
        <v>8403069.738</v>
      </c>
      <c r="J177" s="233"/>
    </row>
    <row r="178" spans="8:8">
      <c r="A178" s="3" t="s">
        <v>190</v>
      </c>
      <c r="B178" s="16" t="s">
        <v>65</v>
      </c>
      <c r="C178" s="356">
        <v>0.01</v>
      </c>
      <c r="D178" s="356">
        <v>4474015.408</v>
      </c>
      <c r="E178" s="180">
        <v>567618.0</v>
      </c>
      <c r="F178" s="180">
        <v>851424.0</v>
      </c>
      <c r="G178" s="357">
        <v>2223000.0</v>
      </c>
      <c r="H178" s="329"/>
      <c r="I178" s="43">
        <f t="shared" si="5" ref="I178:I182">SUM(C178:H178)</f>
        <v>8116057.418</v>
      </c>
      <c r="J178" s="233"/>
    </row>
    <row r="179" spans="8:8" s="49" ht="15.0" customFormat="1">
      <c r="A179" s="3" t="s">
        <v>191</v>
      </c>
      <c r="B179" s="4" t="s">
        <v>65</v>
      </c>
      <c r="C179" s="356">
        <v>0.01</v>
      </c>
      <c r="D179" s="356">
        <v>4761027.728</v>
      </c>
      <c r="E179" s="180">
        <v>567618.0</v>
      </c>
      <c r="F179" s="180">
        <v>851424.0</v>
      </c>
      <c r="G179" s="357">
        <v>2223000.0</v>
      </c>
      <c r="H179" s="329"/>
      <c r="I179" s="241">
        <f t="shared" si="5"/>
        <v>8403069.738</v>
      </c>
      <c r="J179" s="233"/>
    </row>
    <row r="180" spans="8:8">
      <c r="A180" s="3" t="s">
        <v>192</v>
      </c>
      <c r="B180" s="4" t="s">
        <v>65</v>
      </c>
      <c r="C180" s="356">
        <v>0.01</v>
      </c>
      <c r="D180" s="356">
        <v>5267520.032</v>
      </c>
      <c r="E180" s="180">
        <v>567618.0</v>
      </c>
      <c r="F180" s="180">
        <v>851424.0</v>
      </c>
      <c r="G180" s="357">
        <v>2223000.0</v>
      </c>
      <c r="H180" s="329"/>
      <c r="I180" s="43">
        <f t="shared" si="5"/>
        <v>8909562.042</v>
      </c>
      <c r="J180" s="233"/>
    </row>
    <row r="181" spans="8:8">
      <c r="A181" s="3" t="s">
        <v>193</v>
      </c>
      <c r="B181" s="4" t="s">
        <v>65</v>
      </c>
      <c r="C181" s="356">
        <v>0.01</v>
      </c>
      <c r="D181" s="356">
        <v>4474015.408</v>
      </c>
      <c r="E181" s="180">
        <v>567618.0</v>
      </c>
      <c r="F181" s="180">
        <v>851424.0</v>
      </c>
      <c r="G181" s="357">
        <v>2223000.0</v>
      </c>
      <c r="H181" s="329"/>
      <c r="I181" s="43">
        <f t="shared" si="5"/>
        <v>8116057.418</v>
      </c>
      <c r="J181" s="233"/>
    </row>
    <row r="182" spans="8:8">
      <c r="A182" s="3" t="s">
        <v>194</v>
      </c>
      <c r="B182" s="4" t="s">
        <v>65</v>
      </c>
      <c r="C182" s="356">
        <v>0.01</v>
      </c>
      <c r="D182" s="356">
        <v>4761027.728</v>
      </c>
      <c r="E182" s="180">
        <v>567618.0</v>
      </c>
      <c r="F182" s="180">
        <v>851424.0</v>
      </c>
      <c r="G182" s="357">
        <v>2223000.0</v>
      </c>
      <c r="H182" s="329"/>
      <c r="I182" s="43">
        <f t="shared" si="5"/>
        <v>8403069.738</v>
      </c>
      <c r="J182" s="233"/>
    </row>
    <row r="183" spans="8:8">
      <c r="A183" s="3" t="s">
        <v>197</v>
      </c>
      <c r="B183" s="4" t="s">
        <v>196</v>
      </c>
      <c r="C183" s="356">
        <v>0.01</v>
      </c>
      <c r="D183" s="356">
        <v>1.1084544032E7</v>
      </c>
      <c r="E183" s="180">
        <v>567618.0</v>
      </c>
      <c r="F183" s="180">
        <v>851424.0</v>
      </c>
      <c r="G183" s="357"/>
      <c r="H183" s="329"/>
      <c r="I183" s="43">
        <f t="shared" si="6" ref="I183:I239">SUM(C183:F183)</f>
        <v>1.2503586042E7</v>
      </c>
      <c r="J183" s="233"/>
    </row>
    <row r="184" spans="8:8">
      <c r="A184" s="3" t="s">
        <v>198</v>
      </c>
      <c r="B184" s="4" t="s">
        <v>196</v>
      </c>
      <c r="C184" s="356">
        <v>0.01</v>
      </c>
      <c r="D184" s="356">
        <v>1.1037311606400001E8</v>
      </c>
      <c r="E184" s="180">
        <v>567618.0</v>
      </c>
      <c r="F184" s="180">
        <v>851424.0</v>
      </c>
      <c r="G184" s="357"/>
      <c r="H184" s="329"/>
      <c r="I184" s="43">
        <f t="shared" si="6"/>
        <v>1.1179215807400002E8</v>
      </c>
      <c r="J184" s="233"/>
    </row>
    <row r="185" spans="8:8">
      <c r="A185" s="3" t="s">
        <v>199</v>
      </c>
      <c r="B185" s="4" t="s">
        <v>196</v>
      </c>
      <c r="C185" s="356">
        <v>0.01</v>
      </c>
      <c r="D185" s="356">
        <v>3.1612700351999998E7</v>
      </c>
      <c r="E185" s="180">
        <v>567618.0</v>
      </c>
      <c r="F185" s="180">
        <v>851424.0</v>
      </c>
      <c r="G185" s="357"/>
      <c r="H185" s="329"/>
      <c r="I185" s="43">
        <f t="shared" si="6"/>
        <v>3.3031742362E7</v>
      </c>
      <c r="J185" s="233"/>
      <c r="L185" s="238"/>
    </row>
    <row r="186" spans="8:8">
      <c r="A186" s="3" t="s">
        <v>201</v>
      </c>
      <c r="B186" s="4" t="s">
        <v>196</v>
      </c>
      <c r="C186" s="356">
        <v>0.01</v>
      </c>
      <c r="D186" s="356">
        <v>3.1612700351999998E7</v>
      </c>
      <c r="E186" s="180">
        <v>567618.0</v>
      </c>
      <c r="F186" s="180">
        <v>851424.0</v>
      </c>
      <c r="G186" s="357"/>
      <c r="H186" s="329"/>
      <c r="I186" s="43">
        <f t="shared" si="6"/>
        <v>3.3031742362E7</v>
      </c>
      <c r="J186" s="233"/>
    </row>
    <row r="187" spans="8:8">
      <c r="A187" s="3" t="s">
        <v>202</v>
      </c>
      <c r="B187" s="16" t="s">
        <v>196</v>
      </c>
      <c r="C187" s="356">
        <v>0.01</v>
      </c>
      <c r="D187" s="356">
        <v>3.1612700351999998E7</v>
      </c>
      <c r="E187" s="180">
        <v>567618.0</v>
      </c>
      <c r="F187" s="180">
        <v>851424.0</v>
      </c>
      <c r="G187" s="357"/>
      <c r="H187" s="329"/>
      <c r="I187" s="43">
        <f t="shared" si="6"/>
        <v>3.3031742362E7</v>
      </c>
      <c r="J187" s="233"/>
    </row>
    <row r="188" spans="8:8">
      <c r="A188" s="3" t="s">
        <v>203</v>
      </c>
      <c r="B188" s="4" t="s">
        <v>196</v>
      </c>
      <c r="C188" s="356">
        <v>0.01</v>
      </c>
      <c r="D188" s="356">
        <v>3.1612700351999998E7</v>
      </c>
      <c r="E188" s="180">
        <v>567618.0</v>
      </c>
      <c r="F188" s="180">
        <v>851424.0</v>
      </c>
      <c r="G188" s="357"/>
      <c r="H188" s="329"/>
      <c r="I188" s="43">
        <f t="shared" si="6"/>
        <v>3.3031742362E7</v>
      </c>
      <c r="J188" s="233"/>
    </row>
    <row r="189" spans="8:8">
      <c r="A189" s="3" t="s">
        <v>204</v>
      </c>
      <c r="B189" s="4" t="s">
        <v>196</v>
      </c>
      <c r="C189" s="356">
        <v>0.01</v>
      </c>
      <c r="D189" s="356">
        <v>3.1612700351999998E7</v>
      </c>
      <c r="E189" s="180">
        <v>567618.0</v>
      </c>
      <c r="F189" s="180">
        <v>851424.0</v>
      </c>
      <c r="G189" s="357"/>
      <c r="H189" s="329"/>
      <c r="I189" s="43">
        <f t="shared" si="6"/>
        <v>3.3031742362E7</v>
      </c>
      <c r="J189" s="233"/>
      <c r="N189" s="233"/>
    </row>
    <row r="190" spans="8:8">
      <c r="A190" s="3" t="s">
        <v>206</v>
      </c>
      <c r="B190" s="4" t="s">
        <v>196</v>
      </c>
      <c r="C190" s="356">
        <v>0.01</v>
      </c>
      <c r="D190" s="356">
        <v>3.1612700351999998E7</v>
      </c>
      <c r="E190" s="180">
        <v>567618.0</v>
      </c>
      <c r="F190" s="180">
        <v>851424.0</v>
      </c>
      <c r="G190" s="357"/>
      <c r="H190" s="329"/>
      <c r="I190" s="43">
        <f t="shared" si="6"/>
        <v>3.3031742362E7</v>
      </c>
      <c r="J190" s="233"/>
    </row>
    <row r="191" spans="8:8">
      <c r="A191" s="3" t="s">
        <v>207</v>
      </c>
      <c r="B191" s="4" t="s">
        <v>196</v>
      </c>
      <c r="C191" s="356">
        <v>0.01</v>
      </c>
      <c r="D191" s="356">
        <v>3.1612700351999998E7</v>
      </c>
      <c r="E191" s="180">
        <v>567618.0</v>
      </c>
      <c r="F191" s="180">
        <v>851424.0</v>
      </c>
      <c r="G191" s="357"/>
      <c r="H191" s="329"/>
      <c r="I191" s="43">
        <f t="shared" si="6"/>
        <v>3.3031742362E7</v>
      </c>
      <c r="J191" s="233"/>
      <c r="L191" s="233"/>
      <c r="M191" s="76"/>
    </row>
    <row r="192" spans="8:8">
      <c r="A192" s="3" t="s">
        <v>208</v>
      </c>
      <c r="B192" s="4" t="s">
        <v>196</v>
      </c>
      <c r="C192" s="356">
        <v>0.01</v>
      </c>
      <c r="D192" s="356">
        <v>3.1612700351999998E7</v>
      </c>
      <c r="E192" s="180">
        <v>567618.0</v>
      </c>
      <c r="F192" s="180">
        <v>851424.0</v>
      </c>
      <c r="G192" s="357"/>
      <c r="H192" s="329"/>
      <c r="I192" s="43">
        <f t="shared" si="6"/>
        <v>3.3031742362E7</v>
      </c>
      <c r="J192" s="233"/>
    </row>
    <row r="193" spans="8:8">
      <c r="A193" s="3" t="s">
        <v>209</v>
      </c>
      <c r="B193" s="4" t="s">
        <v>196</v>
      </c>
      <c r="C193" s="356">
        <v>0.01</v>
      </c>
      <c r="D193" s="356">
        <v>3.1612700351999998E7</v>
      </c>
      <c r="E193" s="180">
        <v>567618.0</v>
      </c>
      <c r="F193" s="180">
        <v>851424.0</v>
      </c>
      <c r="G193" s="357"/>
      <c r="H193" s="329"/>
      <c r="I193" s="43">
        <f t="shared" si="6"/>
        <v>3.3031742362E7</v>
      </c>
      <c r="J193" s="233"/>
    </row>
    <row r="194" spans="8:8">
      <c r="A194" s="3" t="s">
        <v>210</v>
      </c>
      <c r="B194" s="4" t="s">
        <v>196</v>
      </c>
      <c r="C194" s="356">
        <v>0.01</v>
      </c>
      <c r="D194" s="356">
        <v>3.1612700351999998E7</v>
      </c>
      <c r="E194" s="180">
        <v>567618.0</v>
      </c>
      <c r="F194" s="180">
        <v>851424.0</v>
      </c>
      <c r="G194" s="357"/>
      <c r="H194" s="329"/>
      <c r="I194" s="43">
        <f t="shared" si="6"/>
        <v>3.3031742362E7</v>
      </c>
      <c r="J194" s="233"/>
    </row>
    <row r="195" spans="8:8">
      <c r="A195" s="3" t="s">
        <v>211</v>
      </c>
      <c r="B195" s="4" t="s">
        <v>196</v>
      </c>
      <c r="C195" s="356">
        <v>0.01</v>
      </c>
      <c r="D195" s="356">
        <v>3.1612700351999998E7</v>
      </c>
      <c r="E195" s="180">
        <v>567618.0</v>
      </c>
      <c r="F195" s="180">
        <v>851424.0</v>
      </c>
      <c r="G195" s="357"/>
      <c r="H195" s="329"/>
      <c r="I195" s="43">
        <f t="shared" si="6"/>
        <v>3.3031742362E7</v>
      </c>
      <c r="J195" s="233"/>
    </row>
    <row r="196" spans="8:8">
      <c r="A196" s="3" t="s">
        <v>212</v>
      </c>
      <c r="B196" s="4" t="s">
        <v>196</v>
      </c>
      <c r="C196" s="356">
        <v>0.01</v>
      </c>
      <c r="D196" s="356">
        <v>3.1612700351999998E7</v>
      </c>
      <c r="E196" s="180">
        <v>567618.0</v>
      </c>
      <c r="F196" s="180">
        <v>851424.0</v>
      </c>
      <c r="G196" s="357"/>
      <c r="H196" s="329"/>
      <c r="I196" s="43">
        <f t="shared" si="6"/>
        <v>3.3031742362E7</v>
      </c>
      <c r="J196" s="233"/>
    </row>
    <row r="197" spans="8:8">
      <c r="A197" s="3" t="s">
        <v>214</v>
      </c>
      <c r="B197" s="4" t="s">
        <v>196</v>
      </c>
      <c r="C197" s="356">
        <v>0.01</v>
      </c>
      <c r="D197" s="356">
        <v>3.1612700351999998E7</v>
      </c>
      <c r="E197" s="180">
        <v>567618.0</v>
      </c>
      <c r="F197" s="180">
        <v>851424.0</v>
      </c>
      <c r="G197" s="357"/>
      <c r="H197" s="329"/>
      <c r="I197" s="43">
        <f t="shared" si="6"/>
        <v>3.3031742362E7</v>
      </c>
      <c r="J197" s="233"/>
    </row>
    <row r="198" spans="8:8">
      <c r="A198" s="3" t="s">
        <v>215</v>
      </c>
      <c r="B198" s="4" t="s">
        <v>196</v>
      </c>
      <c r="C198" s="356">
        <v>0.01</v>
      </c>
      <c r="D198" s="356">
        <v>3.1612700351999998E7</v>
      </c>
      <c r="E198" s="180">
        <v>567618.0</v>
      </c>
      <c r="F198" s="180">
        <v>851424.0</v>
      </c>
      <c r="G198" s="357"/>
      <c r="H198" s="329"/>
      <c r="I198" s="43">
        <f t="shared" si="6"/>
        <v>3.3031742362E7</v>
      </c>
      <c r="J198" s="233"/>
    </row>
    <row r="199" spans="8:8">
      <c r="A199" s="3" t="s">
        <v>216</v>
      </c>
      <c r="B199" s="4" t="s">
        <v>196</v>
      </c>
      <c r="C199" s="356">
        <v>0.01</v>
      </c>
      <c r="D199" s="356">
        <v>3.1612700351999998E7</v>
      </c>
      <c r="E199" s="180">
        <v>567618.0</v>
      </c>
      <c r="F199" s="180">
        <v>851424.0</v>
      </c>
      <c r="G199" s="357"/>
      <c r="H199" s="329"/>
      <c r="I199" s="43">
        <f t="shared" si="6"/>
        <v>3.3031742362E7</v>
      </c>
      <c r="J199" s="233"/>
    </row>
    <row r="200" spans="8:8">
      <c r="A200" s="3" t="s">
        <v>217</v>
      </c>
      <c r="B200" s="4" t="s">
        <v>196</v>
      </c>
      <c r="C200" s="356">
        <v>0.01</v>
      </c>
      <c r="D200" s="356">
        <v>3.1612700351999998E7</v>
      </c>
      <c r="E200" s="180">
        <v>567618.0</v>
      </c>
      <c r="F200" s="180">
        <v>851424.0</v>
      </c>
      <c r="G200" s="357"/>
      <c r="H200" s="329"/>
      <c r="I200" s="43">
        <f t="shared" si="6"/>
        <v>3.3031742362E7</v>
      </c>
      <c r="J200" s="233"/>
    </row>
    <row r="201" spans="8:8">
      <c r="A201" s="3" t="s">
        <v>218</v>
      </c>
      <c r="B201" s="4" t="s">
        <v>196</v>
      </c>
      <c r="C201" s="356">
        <v>0.01</v>
      </c>
      <c r="D201" s="356">
        <v>3.1612700351999998E7</v>
      </c>
      <c r="E201" s="180">
        <v>567618.0</v>
      </c>
      <c r="F201" s="180">
        <v>851424.0</v>
      </c>
      <c r="G201" s="357"/>
      <c r="H201" s="329"/>
      <c r="I201" s="43">
        <f t="shared" si="6"/>
        <v>3.3031742362E7</v>
      </c>
      <c r="J201" s="233"/>
    </row>
    <row r="202" spans="8:8">
      <c r="A202" s="3" t="s">
        <v>219</v>
      </c>
      <c r="B202" s="4" t="s">
        <v>196</v>
      </c>
      <c r="C202" s="356">
        <v>0.01</v>
      </c>
      <c r="D202" s="356">
        <v>3.1612700351999998E7</v>
      </c>
      <c r="E202" s="180">
        <v>567618.0</v>
      </c>
      <c r="F202" s="180">
        <v>851424.0</v>
      </c>
      <c r="G202" s="357"/>
      <c r="H202" s="329"/>
      <c r="I202" s="43">
        <f t="shared" si="6"/>
        <v>3.3031742362E7</v>
      </c>
      <c r="J202" s="233"/>
    </row>
    <row r="203" spans="8:8">
      <c r="A203" s="3" t="s">
        <v>220</v>
      </c>
      <c r="B203" s="4" t="s">
        <v>196</v>
      </c>
      <c r="C203" s="356">
        <v>0.01</v>
      </c>
      <c r="D203" s="356">
        <v>3.1612700351999998E7</v>
      </c>
      <c r="E203" s="180">
        <v>567618.0</v>
      </c>
      <c r="F203" s="180">
        <v>851424.0</v>
      </c>
      <c r="G203" s="357"/>
      <c r="H203" s="329"/>
      <c r="I203" s="43">
        <f t="shared" si="6"/>
        <v>3.3031742362E7</v>
      </c>
      <c r="J203" s="233"/>
    </row>
    <row r="204" spans="8:8">
      <c r="A204" s="15" t="s">
        <v>221</v>
      </c>
      <c r="B204" s="4" t="s">
        <v>196</v>
      </c>
      <c r="C204" s="356">
        <v>0.01</v>
      </c>
      <c r="D204" s="356">
        <v>3.1612700351999998E7</v>
      </c>
      <c r="E204" s="180">
        <v>567618.0</v>
      </c>
      <c r="F204" s="180">
        <v>851424.0</v>
      </c>
      <c r="G204" s="357"/>
      <c r="H204" s="329"/>
      <c r="I204" s="43">
        <f t="shared" si="6"/>
        <v>3.3031742362E7</v>
      </c>
      <c r="J204" s="233"/>
    </row>
    <row r="205" spans="8:8">
      <c r="A205" s="3" t="s">
        <v>222</v>
      </c>
      <c r="B205" s="4" t="s">
        <v>196</v>
      </c>
      <c r="C205" s="356">
        <v>0.01</v>
      </c>
      <c r="D205" s="356">
        <v>6.3225400703999996E7</v>
      </c>
      <c r="E205" s="180">
        <v>567618.0</v>
      </c>
      <c r="F205" s="180">
        <v>851424.0</v>
      </c>
      <c r="G205" s="357"/>
      <c r="H205" s="329"/>
      <c r="I205" s="43">
        <f t="shared" si="6"/>
        <v>6.4644442713999994E7</v>
      </c>
      <c r="J205" s="233"/>
    </row>
    <row r="206" spans="8:8">
      <c r="A206" s="3" t="s">
        <v>223</v>
      </c>
      <c r="B206" s="4" t="s">
        <v>196</v>
      </c>
      <c r="C206" s="356">
        <v>0.01</v>
      </c>
      <c r="D206" s="356">
        <v>3.1612700351999998E7</v>
      </c>
      <c r="E206" s="180">
        <v>567618.0</v>
      </c>
      <c r="F206" s="180">
        <v>851424.0</v>
      </c>
      <c r="G206" s="357"/>
      <c r="H206" s="329"/>
      <c r="I206" s="43">
        <f t="shared" si="6"/>
        <v>3.3031742362E7</v>
      </c>
      <c r="J206" s="233"/>
    </row>
    <row r="207" spans="8:8">
      <c r="A207" s="3" t="s">
        <v>224</v>
      </c>
      <c r="B207" s="4" t="s">
        <v>196</v>
      </c>
      <c r="C207" s="356">
        <v>0.01</v>
      </c>
      <c r="D207" s="356">
        <v>3.1612700351999998E7</v>
      </c>
      <c r="E207" s="180">
        <v>567618.0</v>
      </c>
      <c r="F207" s="180">
        <v>851424.0</v>
      </c>
      <c r="G207" s="357"/>
      <c r="H207" s="329"/>
      <c r="I207" s="43">
        <f t="shared" si="6"/>
        <v>3.3031742362E7</v>
      </c>
      <c r="J207" s="233"/>
    </row>
    <row r="208" spans="8:8">
      <c r="A208" s="3" t="s">
        <v>225</v>
      </c>
      <c r="B208" s="4" t="s">
        <v>196</v>
      </c>
      <c r="C208" s="356">
        <v>0.01</v>
      </c>
      <c r="D208" s="356">
        <v>3.1612700351999998E7</v>
      </c>
      <c r="E208" s="180">
        <v>567618.0</v>
      </c>
      <c r="F208" s="180">
        <v>851424.0</v>
      </c>
      <c r="G208" s="357"/>
      <c r="H208" s="329"/>
      <c r="I208" s="43">
        <f t="shared" si="6"/>
        <v>3.3031742362E7</v>
      </c>
      <c r="J208" s="233"/>
    </row>
    <row r="209" spans="8:8">
      <c r="A209" s="3" t="s">
        <v>226</v>
      </c>
      <c r="B209" s="4" t="s">
        <v>196</v>
      </c>
      <c r="C209" s="356">
        <v>0.01</v>
      </c>
      <c r="D209" s="356">
        <v>4.1547300096E7</v>
      </c>
      <c r="E209" s="180">
        <v>567618.0</v>
      </c>
      <c r="F209" s="180">
        <v>851424.0</v>
      </c>
      <c r="G209" s="357"/>
      <c r="H209" s="329"/>
      <c r="I209" s="43">
        <f t="shared" si="6"/>
        <v>4.2966342106E7</v>
      </c>
      <c r="J209" s="233"/>
    </row>
    <row r="210" spans="8:8">
      <c r="A210" s="3" t="s">
        <v>228</v>
      </c>
      <c r="B210" s="4" t="s">
        <v>196</v>
      </c>
      <c r="C210" s="356">
        <v>0.01</v>
      </c>
      <c r="D210" s="356">
        <v>3.1612700351999998E7</v>
      </c>
      <c r="E210" s="180">
        <v>567618.0</v>
      </c>
      <c r="F210" s="180">
        <v>851424.0</v>
      </c>
      <c r="G210" s="357"/>
      <c r="H210" s="329"/>
      <c r="I210" s="43">
        <f t="shared" si="6"/>
        <v>3.3031742362E7</v>
      </c>
      <c r="J210" s="233"/>
    </row>
    <row r="211" spans="8:8">
      <c r="A211" s="3" t="s">
        <v>229</v>
      </c>
      <c r="B211" s="4" t="s">
        <v>196</v>
      </c>
      <c r="C211" s="356">
        <v>0.01</v>
      </c>
      <c r="D211" s="356">
        <v>3.1612700351999998E7</v>
      </c>
      <c r="E211" s="180">
        <v>567618.0</v>
      </c>
      <c r="F211" s="180">
        <v>851424.0</v>
      </c>
      <c r="G211" s="357"/>
      <c r="H211" s="329"/>
      <c r="I211" s="43">
        <f t="shared" si="6"/>
        <v>3.3031742362E7</v>
      </c>
      <c r="J211" s="233"/>
    </row>
    <row r="212" spans="8:8">
      <c r="A212" s="3" t="s">
        <v>230</v>
      </c>
      <c r="B212" s="4" t="s">
        <v>196</v>
      </c>
      <c r="C212" s="356">
        <v>0.01</v>
      </c>
      <c r="D212" s="356">
        <v>3.1612700351999998E7</v>
      </c>
      <c r="E212" s="180">
        <v>567618.0</v>
      </c>
      <c r="F212" s="180">
        <v>851424.0</v>
      </c>
      <c r="G212" s="357"/>
      <c r="H212" s="329"/>
      <c r="I212" s="43">
        <f t="shared" si="6"/>
        <v>3.3031742362E7</v>
      </c>
      <c r="J212" s="233"/>
    </row>
    <row r="213" spans="8:8">
      <c r="A213" s="3" t="s">
        <v>231</v>
      </c>
      <c r="B213" s="4" t="s">
        <v>196</v>
      </c>
      <c r="C213" s="356">
        <v>0.01</v>
      </c>
      <c r="D213" s="356">
        <v>3.1612700351999998E7</v>
      </c>
      <c r="E213" s="180">
        <v>567618.0</v>
      </c>
      <c r="F213" s="180">
        <v>851424.0</v>
      </c>
      <c r="G213" s="357"/>
      <c r="H213" s="329"/>
      <c r="I213" s="43">
        <f t="shared" si="6"/>
        <v>3.3031742362E7</v>
      </c>
      <c r="J213" s="233"/>
    </row>
    <row r="214" spans="8:8">
      <c r="A214" s="3" t="s">
        <v>232</v>
      </c>
      <c r="B214" s="4" t="s">
        <v>196</v>
      </c>
      <c r="C214" s="356">
        <v>0.01</v>
      </c>
      <c r="D214" s="356">
        <v>3.1612700351999998E7</v>
      </c>
      <c r="E214" s="180">
        <v>567618.0</v>
      </c>
      <c r="F214" s="180">
        <v>851424.0</v>
      </c>
      <c r="G214" s="357"/>
      <c r="H214" s="329"/>
      <c r="I214" s="43">
        <f t="shared" si="6"/>
        <v>3.3031742362E7</v>
      </c>
      <c r="J214" s="233"/>
    </row>
    <row r="215" spans="8:8">
      <c r="A215" s="3" t="s">
        <v>233</v>
      </c>
      <c r="B215" s="4" t="s">
        <v>196</v>
      </c>
      <c r="C215" s="356">
        <v>0.01</v>
      </c>
      <c r="D215" s="356">
        <v>3.1612700351999998E7</v>
      </c>
      <c r="E215" s="180">
        <v>567618.0</v>
      </c>
      <c r="F215" s="180">
        <v>851424.0</v>
      </c>
      <c r="G215" s="357"/>
      <c r="H215" s="329"/>
      <c r="I215" s="43">
        <f t="shared" si="6"/>
        <v>3.3031742362E7</v>
      </c>
      <c r="J215" s="233"/>
    </row>
    <row r="216" spans="8:8">
      <c r="A216" s="3" t="s">
        <v>234</v>
      </c>
      <c r="B216" s="4" t="s">
        <v>196</v>
      </c>
      <c r="C216" s="356">
        <v>0.01</v>
      </c>
      <c r="D216" s="356">
        <v>3.1612700351999998E7</v>
      </c>
      <c r="E216" s="180">
        <v>567618.0</v>
      </c>
      <c r="F216" s="180">
        <v>851424.0</v>
      </c>
      <c r="G216" s="357"/>
      <c r="H216" s="329"/>
      <c r="I216" s="43">
        <f t="shared" si="6"/>
        <v>3.3031742362E7</v>
      </c>
      <c r="J216" s="233"/>
    </row>
    <row r="217" spans="8:8">
      <c r="A217" s="3" t="s">
        <v>235</v>
      </c>
      <c r="B217" s="4" t="s">
        <v>196</v>
      </c>
      <c r="C217" s="356">
        <v>0.01</v>
      </c>
      <c r="D217" s="356">
        <v>3.1612700351999998E7</v>
      </c>
      <c r="E217" s="180">
        <v>567618.0</v>
      </c>
      <c r="F217" s="180">
        <v>851424.0</v>
      </c>
      <c r="G217" s="357"/>
      <c r="H217" s="329"/>
      <c r="I217" s="43">
        <f t="shared" si="6"/>
        <v>3.3031742362E7</v>
      </c>
      <c r="J217" s="233"/>
    </row>
    <row r="218" spans="8:8">
      <c r="A218" s="3" t="s">
        <v>236</v>
      </c>
      <c r="B218" s="4" t="s">
        <v>196</v>
      </c>
      <c r="C218" s="356">
        <v>0.01</v>
      </c>
      <c r="D218" s="356">
        <v>3.1612700351999998E7</v>
      </c>
      <c r="E218" s="180">
        <v>567618.0</v>
      </c>
      <c r="F218" s="180">
        <v>851424.0</v>
      </c>
      <c r="G218" s="357"/>
      <c r="H218" s="329"/>
      <c r="I218" s="43">
        <f t="shared" si="6"/>
        <v>3.3031742362E7</v>
      </c>
      <c r="J218" s="233"/>
    </row>
    <row r="219" spans="8:8">
      <c r="A219" s="3" t="s">
        <v>237</v>
      </c>
      <c r="B219" s="4" t="s">
        <v>196</v>
      </c>
      <c r="C219" s="356">
        <v>0.01</v>
      </c>
      <c r="D219" s="356">
        <v>3.1612700351999998E7</v>
      </c>
      <c r="E219" s="180">
        <v>567618.0</v>
      </c>
      <c r="F219" s="180">
        <v>851424.0</v>
      </c>
      <c r="G219" s="357"/>
      <c r="H219" s="329"/>
      <c r="I219" s="43">
        <f t="shared" si="6"/>
        <v>3.3031742362E7</v>
      </c>
      <c r="J219" s="233"/>
    </row>
    <row r="220" spans="8:8">
      <c r="A220" s="3" t="s">
        <v>238</v>
      </c>
      <c r="B220" s="4" t="s">
        <v>196</v>
      </c>
      <c r="C220" s="356">
        <v>0.01</v>
      </c>
      <c r="D220" s="356">
        <v>3.1612700351999998E7</v>
      </c>
      <c r="E220" s="180">
        <v>567618.0</v>
      </c>
      <c r="F220" s="180">
        <v>851424.0</v>
      </c>
      <c r="G220" s="357"/>
      <c r="H220" s="329"/>
      <c r="I220" s="43">
        <f t="shared" si="6"/>
        <v>3.3031742362E7</v>
      </c>
      <c r="J220" s="233"/>
    </row>
    <row r="221" spans="8:8">
      <c r="A221" s="3" t="s">
        <v>239</v>
      </c>
      <c r="B221" s="4" t="s">
        <v>196</v>
      </c>
      <c r="C221" s="356">
        <v>0.01</v>
      </c>
      <c r="D221" s="356">
        <v>3.1612700351999998E7</v>
      </c>
      <c r="E221" s="180">
        <v>567618.0</v>
      </c>
      <c r="F221" s="180">
        <v>851424.0</v>
      </c>
      <c r="G221" s="357"/>
      <c r="H221" s="329"/>
      <c r="I221" s="43">
        <f t="shared" si="6"/>
        <v>3.3031742362E7</v>
      </c>
      <c r="J221" s="233"/>
    </row>
    <row r="222" spans="8:8">
      <c r="A222" s="3" t="s">
        <v>240</v>
      </c>
      <c r="B222" s="4" t="s">
        <v>196</v>
      </c>
      <c r="C222" s="356">
        <v>0.01</v>
      </c>
      <c r="D222" s="356">
        <v>3.1612700351999998E7</v>
      </c>
      <c r="E222" s="180">
        <v>567618.0</v>
      </c>
      <c r="F222" s="180">
        <v>851424.0</v>
      </c>
      <c r="G222" s="357"/>
      <c r="H222" s="329"/>
      <c r="I222" s="43">
        <f t="shared" si="6"/>
        <v>3.3031742362E7</v>
      </c>
      <c r="J222" s="233"/>
    </row>
    <row r="223" spans="8:8">
      <c r="A223" s="3" t="s">
        <v>241</v>
      </c>
      <c r="B223" s="16" t="s">
        <v>196</v>
      </c>
      <c r="C223" s="356">
        <v>0.01</v>
      </c>
      <c r="D223" s="356">
        <v>3.1612700351999998E7</v>
      </c>
      <c r="E223" s="180">
        <v>567618.0</v>
      </c>
      <c r="F223" s="180">
        <v>851424.0</v>
      </c>
      <c r="G223" s="357"/>
      <c r="H223" s="329"/>
      <c r="I223" s="43">
        <f t="shared" si="6"/>
        <v>3.3031742362E7</v>
      </c>
      <c r="J223" s="233"/>
    </row>
    <row r="224" spans="8:8">
      <c r="A224" s="3" t="s">
        <v>242</v>
      </c>
      <c r="B224" s="4" t="s">
        <v>196</v>
      </c>
      <c r="C224" s="356">
        <v>0.01</v>
      </c>
      <c r="D224" s="356">
        <v>3.1612700351999998E7</v>
      </c>
      <c r="E224" s="180">
        <v>567618.0</v>
      </c>
      <c r="F224" s="180">
        <v>851424.0</v>
      </c>
      <c r="G224" s="357"/>
      <c r="H224" s="329"/>
      <c r="I224" s="43">
        <f t="shared" si="6"/>
        <v>3.3031742362E7</v>
      </c>
      <c r="J224" s="233"/>
    </row>
    <row r="225" spans="8:8">
      <c r="A225" s="3" t="s">
        <v>243</v>
      </c>
      <c r="B225" s="4" t="s">
        <v>196</v>
      </c>
      <c r="C225" s="356">
        <v>0.01</v>
      </c>
      <c r="D225" s="356">
        <v>3.1612700351999998E7</v>
      </c>
      <c r="E225" s="180">
        <v>567618.0</v>
      </c>
      <c r="F225" s="180">
        <v>851424.0</v>
      </c>
      <c r="G225" s="357"/>
      <c r="H225" s="329"/>
      <c r="I225" s="43">
        <f t="shared" si="6"/>
        <v>3.3031742362E7</v>
      </c>
      <c r="J225" s="233"/>
    </row>
    <row r="226" spans="8:8" s="49" ht="15.0" customFormat="1">
      <c r="A226" s="3" t="s">
        <v>244</v>
      </c>
      <c r="B226" s="4" t="s">
        <v>196</v>
      </c>
      <c r="C226" s="356">
        <v>0.01</v>
      </c>
      <c r="D226" s="356">
        <v>3.1612700351999998E7</v>
      </c>
      <c r="E226" s="180">
        <v>567618.0</v>
      </c>
      <c r="F226" s="180">
        <v>851424.0</v>
      </c>
      <c r="G226" s="357"/>
      <c r="H226" s="329"/>
      <c r="I226" s="241">
        <f t="shared" si="6"/>
        <v>3.3031742362E7</v>
      </c>
      <c r="J226" s="233"/>
    </row>
    <row r="227" spans="8:8">
      <c r="A227" s="3" t="s">
        <v>246</v>
      </c>
      <c r="B227" s="4" t="s">
        <v>196</v>
      </c>
      <c r="C227" s="356">
        <v>0.01</v>
      </c>
      <c r="D227" s="356">
        <v>3.1612700351999998E7</v>
      </c>
      <c r="E227" s="180">
        <v>567618.0</v>
      </c>
      <c r="F227" s="180">
        <v>851424.0</v>
      </c>
      <c r="G227" s="357"/>
      <c r="H227" s="329"/>
      <c r="I227" s="43">
        <f t="shared" si="6"/>
        <v>3.3031742362E7</v>
      </c>
      <c r="J227" s="233"/>
    </row>
    <row r="228" spans="8:8">
      <c r="A228" s="3" t="s">
        <v>247</v>
      </c>
      <c r="B228" s="4" t="s">
        <v>196</v>
      </c>
      <c r="C228" s="356">
        <v>0.01</v>
      </c>
      <c r="D228" s="356">
        <v>3.1612700351999998E7</v>
      </c>
      <c r="E228" s="180">
        <v>567618.0</v>
      </c>
      <c r="F228" s="180">
        <v>851424.0</v>
      </c>
      <c r="G228" s="357"/>
      <c r="H228" s="329"/>
      <c r="I228" s="43">
        <f t="shared" si="6"/>
        <v>3.3031742362E7</v>
      </c>
      <c r="J228" s="233"/>
    </row>
    <row r="229" spans="8:8">
      <c r="A229" s="3" t="s">
        <v>248</v>
      </c>
      <c r="B229" s="4" t="s">
        <v>196</v>
      </c>
      <c r="C229" s="356">
        <v>0.01</v>
      </c>
      <c r="D229" s="356">
        <v>3.1612700351999998E7</v>
      </c>
      <c r="E229" s="180">
        <v>567618.0</v>
      </c>
      <c r="F229" s="180">
        <v>851424.0</v>
      </c>
      <c r="G229" s="357"/>
      <c r="H229" s="329"/>
      <c r="I229" s="43">
        <f t="shared" si="6"/>
        <v>3.3031742362E7</v>
      </c>
      <c r="J229" s="233"/>
    </row>
    <row r="230" spans="8:8">
      <c r="A230" s="3" t="s">
        <v>249</v>
      </c>
      <c r="B230" s="4" t="s">
        <v>196</v>
      </c>
      <c r="C230" s="356">
        <v>0.01</v>
      </c>
      <c r="D230" s="356">
        <v>3.1612700351999998E7</v>
      </c>
      <c r="E230" s="180">
        <v>567618.0</v>
      </c>
      <c r="F230" s="180">
        <v>851424.0</v>
      </c>
      <c r="G230" s="357"/>
      <c r="H230" s="329"/>
      <c r="I230" s="43">
        <f t="shared" si="6"/>
        <v>3.3031742362E7</v>
      </c>
      <c r="J230" s="233"/>
    </row>
    <row r="231" spans="8:8">
      <c r="A231" s="3" t="s">
        <v>250</v>
      </c>
      <c r="B231" s="4" t="s">
        <v>196</v>
      </c>
      <c r="C231" s="356">
        <v>0.01</v>
      </c>
      <c r="D231" s="356">
        <v>3.1612700351999998E7</v>
      </c>
      <c r="E231" s="180">
        <v>567618.0</v>
      </c>
      <c r="F231" s="180">
        <v>851424.0</v>
      </c>
      <c r="G231" s="357"/>
      <c r="H231" s="329"/>
      <c r="I231" s="43">
        <f t="shared" si="6"/>
        <v>3.3031742362E7</v>
      </c>
      <c r="J231" s="233"/>
    </row>
    <row r="232" spans="8:8">
      <c r="A232" s="3" t="s">
        <v>251</v>
      </c>
      <c r="B232" s="4" t="s">
        <v>196</v>
      </c>
      <c r="C232" s="356">
        <v>0.01</v>
      </c>
      <c r="D232" s="356">
        <v>3.1612700351999998E7</v>
      </c>
      <c r="E232" s="180">
        <v>567618.0</v>
      </c>
      <c r="F232" s="180">
        <v>851424.0</v>
      </c>
      <c r="G232" s="357"/>
      <c r="H232" s="329"/>
      <c r="I232" s="43">
        <f t="shared" si="6"/>
        <v>3.3031742362E7</v>
      </c>
      <c r="J232" s="233"/>
    </row>
    <row r="233" spans="8:8">
      <c r="A233" s="3" t="s">
        <v>252</v>
      </c>
      <c r="B233" s="4" t="s">
        <v>196</v>
      </c>
      <c r="C233" s="356">
        <v>0.01</v>
      </c>
      <c r="D233" s="356">
        <v>3.1612700351999998E7</v>
      </c>
      <c r="E233" s="180">
        <v>567618.0</v>
      </c>
      <c r="F233" s="180">
        <v>851424.0</v>
      </c>
      <c r="G233" s="357"/>
      <c r="H233" s="329"/>
      <c r="I233" s="43">
        <f t="shared" si="6"/>
        <v>3.3031742362E7</v>
      </c>
      <c r="J233" s="233"/>
    </row>
    <row r="234" spans="8:8">
      <c r="A234" s="3" t="s">
        <v>253</v>
      </c>
      <c r="B234" s="4" t="s">
        <v>196</v>
      </c>
      <c r="C234" s="356">
        <v>0.01</v>
      </c>
      <c r="D234" s="356">
        <v>3.1612700351999998E7</v>
      </c>
      <c r="E234" s="180">
        <v>567618.0</v>
      </c>
      <c r="F234" s="180">
        <v>851424.0</v>
      </c>
      <c r="G234" s="357"/>
      <c r="H234" s="329"/>
      <c r="I234" s="43">
        <f t="shared" si="6"/>
        <v>3.3031742362E7</v>
      </c>
      <c r="J234" s="233"/>
    </row>
    <row r="235" spans="8:8">
      <c r="A235" s="3" t="s">
        <v>254</v>
      </c>
      <c r="B235" s="4" t="s">
        <v>196</v>
      </c>
      <c r="C235" s="356">
        <v>0.01</v>
      </c>
      <c r="D235" s="356">
        <v>3.1612700351999998E7</v>
      </c>
      <c r="E235" s="180">
        <v>567618.0</v>
      </c>
      <c r="F235" s="180">
        <v>851424.0</v>
      </c>
      <c r="G235" s="357"/>
      <c r="H235" s="329"/>
      <c r="I235" s="43">
        <f t="shared" si="6"/>
        <v>3.3031742362E7</v>
      </c>
      <c r="J235" s="233"/>
    </row>
    <row r="236" spans="8:8">
      <c r="A236" s="3" t="s">
        <v>255</v>
      </c>
      <c r="B236" s="4" t="s">
        <v>196</v>
      </c>
      <c r="C236" s="356">
        <v>0.01</v>
      </c>
      <c r="D236" s="356">
        <v>3.1612700351999998E7</v>
      </c>
      <c r="E236" s="180">
        <v>567618.0</v>
      </c>
      <c r="F236" s="180">
        <v>851424.0</v>
      </c>
      <c r="G236" s="357"/>
      <c r="H236" s="329"/>
      <c r="I236" s="43">
        <f t="shared" si="6"/>
        <v>3.3031742362E7</v>
      </c>
      <c r="J236" s="233"/>
    </row>
    <row r="237" spans="8:8">
      <c r="A237" s="3" t="s">
        <v>256</v>
      </c>
      <c r="B237" s="4" t="s">
        <v>196</v>
      </c>
      <c r="C237" s="356">
        <v>0.01</v>
      </c>
      <c r="D237" s="356">
        <v>3.1612700351999998E7</v>
      </c>
      <c r="E237" s="180">
        <v>567618.0</v>
      </c>
      <c r="F237" s="180">
        <v>851424.0</v>
      </c>
      <c r="G237" s="357"/>
      <c r="H237" s="329"/>
      <c r="I237" s="43">
        <f t="shared" si="6"/>
        <v>3.3031742362E7</v>
      </c>
      <c r="J237" s="233"/>
    </row>
    <row r="238" spans="8:8">
      <c r="A238" s="3" t="s">
        <v>257</v>
      </c>
      <c r="B238" s="4" t="s">
        <v>196</v>
      </c>
      <c r="C238" s="356">
        <v>0.01</v>
      </c>
      <c r="D238" s="356">
        <v>3.1612700351999998E7</v>
      </c>
      <c r="E238" s="180">
        <v>567618.0</v>
      </c>
      <c r="F238" s="180">
        <v>851424.0</v>
      </c>
      <c r="G238" s="357"/>
      <c r="H238" s="329"/>
      <c r="I238" s="43">
        <f t="shared" si="6"/>
        <v>3.3031742362E7</v>
      </c>
      <c r="J238" s="233"/>
    </row>
    <row r="239" spans="8:8">
      <c r="A239" s="3" t="s">
        <v>258</v>
      </c>
      <c r="B239" s="4" t="s">
        <v>196</v>
      </c>
      <c r="C239" s="356">
        <v>0.01</v>
      </c>
      <c r="D239" s="356">
        <v>3.1612700351999998E7</v>
      </c>
      <c r="E239" s="180">
        <v>567618.0</v>
      </c>
      <c r="F239" s="180">
        <v>851424.0</v>
      </c>
      <c r="G239" s="357"/>
      <c r="H239" s="329"/>
      <c r="I239" s="43">
        <f t="shared" si="6"/>
        <v>3.3031742362E7</v>
      </c>
      <c r="J239" s="233"/>
    </row>
    <row r="240" spans="8:8">
      <c r="A240" s="3" t="s">
        <v>259</v>
      </c>
      <c r="B240" s="4" t="s">
        <v>196</v>
      </c>
      <c r="C240" s="356">
        <v>0.01</v>
      </c>
      <c r="D240" s="356">
        <v>3.1612700351999998E7</v>
      </c>
      <c r="E240" s="180">
        <v>567618.0</v>
      </c>
      <c r="F240" s="180">
        <v>851424.0</v>
      </c>
      <c r="G240" s="357"/>
      <c r="H240" s="329"/>
      <c r="I240" s="43">
        <f>SUM(C240:H240)</f>
        <v>3.3031742362E7</v>
      </c>
      <c r="J240" s="233"/>
    </row>
    <row r="241" spans="8:8">
      <c r="A241" s="3" t="s">
        <v>260</v>
      </c>
      <c r="B241" s="4" t="s">
        <v>196</v>
      </c>
      <c r="C241" s="356">
        <v>1.3121768686E7</v>
      </c>
      <c r="D241" s="356">
        <v>3.796969568E7</v>
      </c>
      <c r="E241" s="180">
        <v>567618.0</v>
      </c>
      <c r="F241" s="180">
        <v>851424.0</v>
      </c>
      <c r="G241" s="357"/>
      <c r="H241" s="329"/>
      <c r="I241" s="43">
        <f>SUM(C241:H241)</f>
        <v>5.2510506366E7</v>
      </c>
      <c r="J241" s="233"/>
    </row>
    <row r="242" spans="8:8">
      <c r="A242" s="3" t="s">
        <v>262</v>
      </c>
      <c r="B242" s="4" t="s">
        <v>196</v>
      </c>
      <c r="C242" s="356">
        <v>0.01</v>
      </c>
      <c r="D242" s="356">
        <v>3.7935240416E7</v>
      </c>
      <c r="E242" s="180">
        <v>567618.0</v>
      </c>
      <c r="F242" s="180">
        <v>851424.0</v>
      </c>
      <c r="G242" s="357"/>
      <c r="H242" s="329"/>
      <c r="I242" s="43">
        <f t="shared" si="7" ref="I242:I254">SUM(C242:F242)</f>
        <v>3.9354282426E7</v>
      </c>
      <c r="J242" s="233"/>
    </row>
    <row r="243" spans="8:8">
      <c r="A243" s="3" t="s">
        <v>265</v>
      </c>
      <c r="B243" s="4" t="s">
        <v>196</v>
      </c>
      <c r="C243" s="356">
        <v>0.01</v>
      </c>
      <c r="D243" s="356">
        <v>3.1612700351999998E7</v>
      </c>
      <c r="E243" s="180">
        <v>567618.0</v>
      </c>
      <c r="F243" s="180">
        <v>851424.0</v>
      </c>
      <c r="G243" s="357"/>
      <c r="H243" s="329"/>
      <c r="I243" s="43">
        <f t="shared" si="7"/>
        <v>3.3031742362E7</v>
      </c>
      <c r="J243" s="233"/>
    </row>
    <row r="244" spans="8:8">
      <c r="A244" s="3" t="s">
        <v>266</v>
      </c>
      <c r="B244" s="4" t="s">
        <v>196</v>
      </c>
      <c r="C244" s="356">
        <v>0.01</v>
      </c>
      <c r="D244" s="356">
        <v>3.1612700351999998E7</v>
      </c>
      <c r="E244" s="180">
        <v>567618.0</v>
      </c>
      <c r="F244" s="180">
        <v>851424.0</v>
      </c>
      <c r="G244" s="357"/>
      <c r="H244" s="329"/>
      <c r="I244" s="43">
        <f t="shared" si="7"/>
        <v>3.3031742362E7</v>
      </c>
      <c r="J244" s="233"/>
    </row>
    <row r="245" spans="8:8">
      <c r="A245" s="3" t="s">
        <v>267</v>
      </c>
      <c r="B245" s="4" t="s">
        <v>196</v>
      </c>
      <c r="C245" s="356">
        <v>0.01</v>
      </c>
      <c r="D245" s="356">
        <v>3.1612700351999998E7</v>
      </c>
      <c r="E245" s="180">
        <v>567618.0</v>
      </c>
      <c r="F245" s="180">
        <v>851424.0</v>
      </c>
      <c r="G245" s="357"/>
      <c r="H245" s="329"/>
      <c r="I245" s="43">
        <f t="shared" si="7"/>
        <v>3.3031742362E7</v>
      </c>
      <c r="J245" s="233"/>
    </row>
    <row r="246" spans="8:8">
      <c r="A246" s="3" t="s">
        <v>268</v>
      </c>
      <c r="B246" s="4" t="s">
        <v>196</v>
      </c>
      <c r="C246" s="356">
        <v>0.01</v>
      </c>
      <c r="D246" s="356">
        <v>3.1612700351999998E7</v>
      </c>
      <c r="E246" s="180">
        <v>567618.0</v>
      </c>
      <c r="F246" s="180">
        <v>851424.0</v>
      </c>
      <c r="G246" s="357"/>
      <c r="H246" s="329"/>
      <c r="I246" s="43">
        <f t="shared" si="7"/>
        <v>3.3031742362E7</v>
      </c>
      <c r="J246" s="233"/>
    </row>
    <row r="247" spans="8:8">
      <c r="A247" s="3" t="s">
        <v>269</v>
      </c>
      <c r="B247" s="4" t="s">
        <v>196</v>
      </c>
      <c r="C247" s="356">
        <v>0.01</v>
      </c>
      <c r="D247" s="356">
        <v>3.1612700351999998E7</v>
      </c>
      <c r="E247" s="180">
        <v>567618.0</v>
      </c>
      <c r="F247" s="180">
        <v>851424.0</v>
      </c>
      <c r="G247" s="357"/>
      <c r="H247" s="329"/>
      <c r="I247" s="43">
        <f t="shared" si="7"/>
        <v>3.3031742362E7</v>
      </c>
      <c r="J247" s="233"/>
    </row>
    <row r="248" spans="8:8">
      <c r="A248" s="3" t="s">
        <v>270</v>
      </c>
      <c r="B248" s="4" t="s">
        <v>196</v>
      </c>
      <c r="C248" s="356">
        <v>0.01</v>
      </c>
      <c r="D248" s="356">
        <v>3.1612700351999998E7</v>
      </c>
      <c r="E248" s="180">
        <v>567618.0</v>
      </c>
      <c r="F248" s="180">
        <v>851424.0</v>
      </c>
      <c r="G248" s="357"/>
      <c r="H248" s="329"/>
      <c r="I248" s="43">
        <f t="shared" si="7"/>
        <v>3.3031742362E7</v>
      </c>
      <c r="J248" s="233"/>
    </row>
    <row r="249" spans="8:8">
      <c r="A249" s="3" t="s">
        <v>271</v>
      </c>
      <c r="B249" s="4" t="s">
        <v>196</v>
      </c>
      <c r="C249" s="356">
        <v>0.01</v>
      </c>
      <c r="D249" s="356">
        <v>3.1612700351999998E7</v>
      </c>
      <c r="E249" s="180">
        <v>567618.0</v>
      </c>
      <c r="F249" s="180">
        <v>851424.0</v>
      </c>
      <c r="G249" s="357"/>
      <c r="H249" s="329"/>
      <c r="I249" s="43">
        <f t="shared" si="7"/>
        <v>3.3031742362E7</v>
      </c>
      <c r="J249" s="233"/>
    </row>
    <row r="250" spans="8:8">
      <c r="A250" s="3" t="s">
        <v>272</v>
      </c>
      <c r="B250" s="4" t="s">
        <v>196</v>
      </c>
      <c r="C250" s="356">
        <v>0.01</v>
      </c>
      <c r="D250" s="356">
        <v>3.1612700351999998E7</v>
      </c>
      <c r="E250" s="180">
        <v>567618.0</v>
      </c>
      <c r="F250" s="180">
        <v>851424.0</v>
      </c>
      <c r="G250" s="357"/>
      <c r="H250" s="329"/>
      <c r="I250" s="43">
        <f t="shared" si="7"/>
        <v>3.3031742362E7</v>
      </c>
      <c r="J250" s="233"/>
    </row>
    <row r="251" spans="8:8">
      <c r="A251" s="3" t="s">
        <v>273</v>
      </c>
      <c r="B251" s="4" t="s">
        <v>196</v>
      </c>
      <c r="C251" s="356">
        <v>0.01</v>
      </c>
      <c r="D251" s="356">
        <v>3.1612700351999998E7</v>
      </c>
      <c r="E251" s="180">
        <v>567618.0</v>
      </c>
      <c r="F251" s="180">
        <v>851424.0</v>
      </c>
      <c r="G251" s="357"/>
      <c r="H251" s="329"/>
      <c r="I251" s="43">
        <f t="shared" si="7"/>
        <v>3.3031742362E7</v>
      </c>
      <c r="J251" s="233"/>
    </row>
    <row r="252" spans="8:8">
      <c r="A252" s="3" t="s">
        <v>274</v>
      </c>
      <c r="B252" s="4" t="s">
        <v>196</v>
      </c>
      <c r="C252" s="356">
        <v>0.01</v>
      </c>
      <c r="D252" s="356">
        <v>3.1612700351999998E7</v>
      </c>
      <c r="E252" s="180">
        <v>567618.0</v>
      </c>
      <c r="F252" s="180">
        <v>851424.0</v>
      </c>
      <c r="G252" s="357"/>
      <c r="H252" s="329"/>
      <c r="I252" s="43">
        <f t="shared" si="7"/>
        <v>3.3031742362E7</v>
      </c>
      <c r="J252" s="233"/>
    </row>
    <row r="253" spans="8:8">
      <c r="A253" s="3" t="s">
        <v>275</v>
      </c>
      <c r="B253" s="4" t="s">
        <v>196</v>
      </c>
      <c r="C253" s="356">
        <v>0.01</v>
      </c>
      <c r="D253" s="356">
        <v>3.1612700351999998E7</v>
      </c>
      <c r="E253" s="180">
        <v>567618.0</v>
      </c>
      <c r="F253" s="180">
        <v>851424.0</v>
      </c>
      <c r="G253" s="357"/>
      <c r="H253" s="329"/>
      <c r="I253" s="43">
        <f t="shared" si="7"/>
        <v>3.3031742362E7</v>
      </c>
      <c r="J253" s="233"/>
    </row>
    <row r="254" spans="8:8">
      <c r="A254" s="3" t="s">
        <v>276</v>
      </c>
      <c r="B254" s="4" t="s">
        <v>196</v>
      </c>
      <c r="C254" s="356">
        <v>0.01</v>
      </c>
      <c r="D254" s="356">
        <v>3.1612700351999998E7</v>
      </c>
      <c r="E254" s="180">
        <v>567618.0</v>
      </c>
      <c r="F254" s="180">
        <v>851424.0</v>
      </c>
      <c r="G254" s="357"/>
      <c r="H254" s="329"/>
      <c r="I254" s="43">
        <f t="shared" si="7"/>
        <v>3.3031742362E7</v>
      </c>
      <c r="J254" s="233"/>
    </row>
    <row r="255" spans="8:8">
      <c r="A255" s="334" t="s">
        <v>407</v>
      </c>
      <c r="B255" s="4" t="s">
        <v>196</v>
      </c>
      <c r="C255" s="356">
        <v>0.01</v>
      </c>
      <c r="D255" s="356">
        <v>6.3225400703999996E7</v>
      </c>
      <c r="E255" s="180">
        <v>567618.0</v>
      </c>
      <c r="F255" s="180">
        <v>851424.0</v>
      </c>
      <c r="G255" s="357"/>
      <c r="H255" s="329"/>
      <c r="I255" s="43">
        <f t="shared" si="8" ref="I255:I269">SUM(C255:H255)</f>
        <v>6.4644442713999994E7</v>
      </c>
      <c r="J255" s="233"/>
    </row>
    <row r="256" spans="8:8">
      <c r="A256" s="334" t="s">
        <v>408</v>
      </c>
      <c r="B256" s="4" t="s">
        <v>196</v>
      </c>
      <c r="C256" s="356">
        <v>0.01</v>
      </c>
      <c r="D256" s="356">
        <v>6.3225400703999996E7</v>
      </c>
      <c r="E256" s="180">
        <v>567618.0</v>
      </c>
      <c r="F256" s="180">
        <v>851424.0</v>
      </c>
      <c r="G256" s="357"/>
      <c r="H256" s="329"/>
      <c r="I256" s="43">
        <f t="shared" si="8"/>
        <v>6.4644442713999994E7</v>
      </c>
      <c r="J256" s="233"/>
    </row>
    <row r="257" spans="8:8">
      <c r="A257" s="15" t="s">
        <v>277</v>
      </c>
      <c r="B257" s="4" t="s">
        <v>196</v>
      </c>
      <c r="C257" s="356">
        <v>0.01</v>
      </c>
      <c r="D257" s="356">
        <v>3.1612700351999998E7</v>
      </c>
      <c r="E257" s="180">
        <v>567618.0</v>
      </c>
      <c r="F257" s="180">
        <v>851424.0</v>
      </c>
      <c r="G257" s="357"/>
      <c r="H257" s="329"/>
      <c r="I257" s="43">
        <f t="shared" si="8"/>
        <v>3.3031742362E7</v>
      </c>
      <c r="J257" s="233"/>
    </row>
    <row r="258" spans="8:8">
      <c r="A258" s="3" t="s">
        <v>280</v>
      </c>
      <c r="B258" s="4" t="s">
        <v>196</v>
      </c>
      <c r="C258" s="356">
        <v>1.3121768647E7</v>
      </c>
      <c r="D258" s="356">
        <v>3.796969568E7</v>
      </c>
      <c r="E258" s="180">
        <v>567618.0</v>
      </c>
      <c r="F258" s="180">
        <v>851424.0</v>
      </c>
      <c r="G258" s="329"/>
      <c r="H258" s="329"/>
      <c r="I258" s="43">
        <f t="shared" si="8"/>
        <v>5.2510506327E7</v>
      </c>
      <c r="J258" s="233"/>
    </row>
    <row r="259" spans="8:8">
      <c r="A259" s="207" t="s">
        <v>281</v>
      </c>
      <c r="B259" s="208" t="s">
        <v>282</v>
      </c>
      <c r="C259" s="356">
        <v>2.0E7</v>
      </c>
      <c r="D259" s="64"/>
      <c r="E259" s="180"/>
      <c r="F259" s="180"/>
      <c r="G259" s="329"/>
      <c r="H259" s="329"/>
      <c r="I259" s="210">
        <f t="shared" si="8"/>
        <v>2.0E7</v>
      </c>
    </row>
    <row r="260" spans="8:8">
      <c r="A260" s="207" t="s">
        <v>283</v>
      </c>
      <c r="B260" s="208" t="s">
        <v>282</v>
      </c>
      <c r="C260" s="356">
        <v>2.0E7</v>
      </c>
      <c r="D260" s="64"/>
      <c r="E260" s="180"/>
      <c r="F260" s="180"/>
      <c r="G260" s="329"/>
      <c r="H260" s="329"/>
      <c r="I260" s="210">
        <f t="shared" si="8"/>
        <v>2.0E7</v>
      </c>
    </row>
    <row r="261" spans="8:8">
      <c r="A261" s="207" t="s">
        <v>284</v>
      </c>
      <c r="B261" s="208" t="s">
        <v>285</v>
      </c>
      <c r="C261" s="180">
        <v>162240.0</v>
      </c>
      <c r="D261" s="64"/>
      <c r="E261" s="180"/>
      <c r="F261" s="180"/>
      <c r="G261" s="329"/>
      <c r="H261" s="329"/>
      <c r="I261" s="210">
        <f t="shared" si="8"/>
        <v>162240.0</v>
      </c>
    </row>
    <row r="262" spans="8:8">
      <c r="A262" s="207" t="s">
        <v>286</v>
      </c>
      <c r="B262" s="208" t="s">
        <v>285</v>
      </c>
      <c r="C262" s="180">
        <v>244983.0</v>
      </c>
      <c r="D262" s="64"/>
      <c r="E262" s="180"/>
      <c r="F262" s="180"/>
      <c r="G262" s="329"/>
      <c r="H262" s="329"/>
      <c r="I262" s="210">
        <f t="shared" si="8"/>
        <v>244983.0</v>
      </c>
    </row>
    <row r="263" spans="8:8">
      <c r="A263" s="15" t="s">
        <v>4</v>
      </c>
      <c r="B263" s="16" t="s">
        <v>285</v>
      </c>
      <c r="C263" s="180">
        <v>567618.0</v>
      </c>
      <c r="D263" s="64"/>
      <c r="E263" s="180"/>
      <c r="F263" s="180"/>
      <c r="G263" s="329"/>
      <c r="H263" s="329"/>
      <c r="I263" s="210">
        <f t="shared" si="8"/>
        <v>567618.0</v>
      </c>
    </row>
    <row r="264" spans="8:8">
      <c r="A264" s="15" t="s">
        <v>406</v>
      </c>
      <c r="B264" s="16" t="s">
        <v>285</v>
      </c>
      <c r="C264" s="180">
        <v>2223000.0</v>
      </c>
      <c r="D264" s="64"/>
      <c r="E264" s="180"/>
      <c r="F264" s="180"/>
      <c r="G264" s="329"/>
      <c r="H264" s="329"/>
      <c r="I264" s="210">
        <f t="shared" si="8"/>
        <v>2223000.0</v>
      </c>
    </row>
    <row r="265" spans="8:8">
      <c r="A265" s="207" t="s">
        <v>287</v>
      </c>
      <c r="B265" s="16" t="s">
        <v>285</v>
      </c>
      <c r="C265" s="180">
        <v>1702848.0</v>
      </c>
      <c r="D265" s="64"/>
      <c r="E265" s="180"/>
      <c r="F265" s="180"/>
      <c r="G265" s="329"/>
      <c r="H265" s="329"/>
      <c r="I265" s="210">
        <f t="shared" si="8"/>
        <v>1702848.0</v>
      </c>
    </row>
    <row r="266" spans="8:8">
      <c r="A266" s="15" t="s">
        <v>319</v>
      </c>
      <c r="B266" s="16" t="s">
        <v>285</v>
      </c>
      <c r="C266" s="180">
        <v>1029600.0</v>
      </c>
      <c r="D266" s="64"/>
      <c r="E266" s="180"/>
      <c r="F266" s="180"/>
      <c r="G266" s="329"/>
      <c r="H266" s="329"/>
      <c r="I266" s="210">
        <f t="shared" si="8"/>
        <v>1029600.0</v>
      </c>
    </row>
    <row r="267" spans="8:8">
      <c r="A267" s="15" t="s">
        <v>5</v>
      </c>
      <c r="B267" s="16" t="s">
        <v>285</v>
      </c>
      <c r="C267" s="180">
        <v>851424.0</v>
      </c>
      <c r="D267" s="64"/>
      <c r="E267" s="180"/>
      <c r="F267" s="180"/>
      <c r="G267" s="329"/>
      <c r="H267" s="329"/>
      <c r="I267" s="210">
        <f t="shared" si="8"/>
        <v>851424.0</v>
      </c>
    </row>
    <row r="268" spans="8:8">
      <c r="A268" s="15" t="s">
        <v>288</v>
      </c>
      <c r="B268" s="16" t="s">
        <v>285</v>
      </c>
      <c r="C268" s="180">
        <v>2842566.0</v>
      </c>
      <c r="D268" s="64"/>
      <c r="E268" s="180"/>
      <c r="F268" s="180"/>
      <c r="G268" s="329"/>
      <c r="H268" s="329"/>
      <c r="I268" s="210">
        <f t="shared" si="8"/>
        <v>2842566.0</v>
      </c>
    </row>
    <row r="269" spans="8:8">
      <c r="A269" s="207" t="s">
        <v>291</v>
      </c>
      <c r="B269" s="208" t="s">
        <v>290</v>
      </c>
      <c r="C269" s="356">
        <v>1.0427410447999999E7</v>
      </c>
      <c r="D269" s="356">
        <v>1.0427410447999999E7</v>
      </c>
      <c r="E269" s="180">
        <v>567618.0</v>
      </c>
      <c r="F269" s="180">
        <v>851424.0</v>
      </c>
      <c r="G269" s="329"/>
      <c r="H269" s="329"/>
      <c r="I269" s="210">
        <f t="shared" si="8"/>
        <v>2.2273862895999998E7</v>
      </c>
    </row>
    <row r="270" spans="8:8">
      <c r="A270" s="39"/>
      <c r="C270" s="161"/>
      <c r="D270" s="39"/>
    </row>
    <row r="271" spans="8:8">
      <c r="A271" s="39"/>
      <c r="C271" s="161"/>
      <c r="D271" s="39"/>
    </row>
    <row r="272" spans="8:8">
      <c r="A272" s="39"/>
    </row>
    <row r="273" spans="8:8">
      <c r="A273" s="39"/>
    </row>
    <row r="275" spans="8:8">
      <c r="A275" s="38" t="s">
        <v>351</v>
      </c>
    </row>
    <row r="284" spans="8:8">
      <c r="H284" s="351"/>
      <c r="J284" s="49"/>
      <c r="K284" s="49"/>
    </row>
    <row r="285" spans="8:8" s="49" ht="15.0" customFormat="1">
      <c r="A285" s="38"/>
      <c r="B285" s="39"/>
      <c r="C285" s="40"/>
      <c r="D285" s="163"/>
      <c r="E285" s="163"/>
      <c r="F285" s="163"/>
      <c r="G285" s="314"/>
      <c r="H285" s="351"/>
      <c r="J285" s="39"/>
      <c r="K285" s="39"/>
    </row>
    <row r="292" spans="8:8">
      <c r="J292" s="49"/>
      <c r="K292" s="49"/>
    </row>
    <row r="293" spans="8:8" s="49" ht="15.0" customFormat="1">
      <c r="A293" s="38"/>
      <c r="B293" s="39"/>
      <c r="C293" s="40"/>
      <c r="D293" s="163"/>
      <c r="E293" s="163"/>
      <c r="F293" s="163"/>
      <c r="G293" s="314"/>
      <c r="H293" s="351"/>
      <c r="J293" s="39"/>
      <c r="K293" s="39"/>
    </row>
    <row r="295" spans="8:8">
      <c r="J295" s="49"/>
      <c r="K295" s="49"/>
    </row>
    <row r="296" spans="8:8" s="49" ht="15.0" customFormat="1">
      <c r="A296" s="38"/>
      <c r="B296" s="39"/>
      <c r="C296" s="40"/>
      <c r="D296" s="163"/>
      <c r="E296" s="163"/>
      <c r="F296" s="163"/>
      <c r="G296" s="314"/>
      <c r="H296" s="351"/>
    </row>
    <row r="297" spans="8:8" s="49" ht="15.0" customFormat="1">
      <c r="A297" s="38"/>
      <c r="B297" s="39"/>
      <c r="C297" s="40"/>
      <c r="D297" s="163"/>
      <c r="E297" s="163"/>
      <c r="F297" s="163"/>
      <c r="G297" s="314"/>
      <c r="H297" s="351"/>
      <c r="J297" s="39"/>
      <c r="K297" s="39"/>
    </row>
    <row r="298" spans="8:8">
      <c r="H298" s="248"/>
    </row>
    <row r="299" spans="8:8">
      <c r="H299" s="248"/>
    </row>
  </sheetData>
  <pageMargins left="0.7" right="0.7" top="0.75" bottom="0.75" header="0.3" footer="0.3"/>
</worksheet>
</file>

<file path=xl/worksheets/sheet27.xml><?xml version="1.0" encoding="utf-8"?>
<worksheet xmlns:r="http://schemas.openxmlformats.org/officeDocument/2006/relationships" xmlns="http://schemas.openxmlformats.org/spreadsheetml/2006/main">
  <dimension ref="A1:O300"/>
  <sheetViews>
    <sheetView workbookViewId="0" topLeftCell="A247">
      <selection activeCell="A49" sqref="A49"/>
    </sheetView>
  </sheetViews>
  <sheetFormatPr defaultRowHeight="15.0" defaultColWidth="10"/>
  <cols>
    <col min="1" max="1" customWidth="1" width="60.85547" style="38"/>
    <col min="2" max="2" customWidth="1" width="14.285156" style="39"/>
    <col min="3" max="3" hidden="1" customWidth="1" width="14.5703125" style="40"/>
    <col min="4" max="5" hidden="1" customWidth="1" width="18.140625" style="163"/>
    <col min="6" max="6" hidden="1" customWidth="1" width="19.710938" style="163"/>
    <col min="7" max="7" hidden="1" customWidth="1" width="14.5703125" style="314"/>
    <col min="8" max="8" hidden="1" customWidth="1" width="19.710938" style="244"/>
    <col min="9" max="9" customWidth="1" width="15.7109375" style="39"/>
    <col min="10" max="10" customWidth="1" bestFit="1" width="76.140625" style="39"/>
    <col min="11" max="11" customWidth="1" bestFit="1" width="13.285156" style="39"/>
    <col min="12" max="12" customWidth="0" width="11.425781" style="39"/>
    <col min="13" max="13" customWidth="1" bestFit="1" width="41.710938" style="39"/>
    <col min="14" max="16384" customWidth="0" width="11.425781" style="39"/>
  </cols>
  <sheetData>
    <row r="1" spans="8:8" s="192" ht="15.0" customFormat="1">
      <c r="A1" s="193" t="s">
        <v>0</v>
      </c>
      <c r="B1" s="193" t="s">
        <v>1</v>
      </c>
      <c r="C1" s="358" t="s">
        <v>416</v>
      </c>
      <c r="D1" s="358" t="s">
        <v>3</v>
      </c>
      <c r="E1" s="359" t="s">
        <v>4</v>
      </c>
      <c r="F1" s="359" t="s">
        <v>5</v>
      </c>
      <c r="G1" s="359" t="s">
        <v>406</v>
      </c>
      <c r="H1" s="359" t="s">
        <v>319</v>
      </c>
      <c r="I1" s="358" t="s">
        <v>294</v>
      </c>
    </row>
    <row r="2" spans="8:8">
      <c r="A2" s="3" t="s">
        <v>7</v>
      </c>
      <c r="B2" s="4" t="s">
        <v>8</v>
      </c>
      <c r="C2" s="240">
        <v>1.0</v>
      </c>
      <c r="D2" s="240">
        <v>1.8527489E7</v>
      </c>
      <c r="E2" s="180">
        <v>851427.0</v>
      </c>
      <c r="F2" s="180">
        <v>1277136.0</v>
      </c>
      <c r="G2" s="329"/>
      <c r="H2" s="204"/>
      <c r="I2" s="43">
        <f>SUM(C2:H2)</f>
        <v>2.0656053E7</v>
      </c>
      <c r="J2" s="233"/>
    </row>
    <row r="3" spans="8:8">
      <c r="A3" s="3" t="s">
        <v>9</v>
      </c>
      <c r="B3" s="4" t="s">
        <v>8</v>
      </c>
      <c r="C3" s="240">
        <v>1.0</v>
      </c>
      <c r="D3" s="240">
        <v>1.8527489E7</v>
      </c>
      <c r="E3" s="180">
        <v>851427.0</v>
      </c>
      <c r="F3" s="180">
        <v>1277136.0</v>
      </c>
      <c r="G3" s="329"/>
      <c r="H3" s="329"/>
      <c r="I3" s="43">
        <f>SUM(C3:F3)</f>
        <v>2.0656053E7</v>
      </c>
      <c r="J3" s="233"/>
    </row>
    <row r="4" spans="8:8">
      <c r="A4" s="3" t="s">
        <v>10</v>
      </c>
      <c r="B4" s="4" t="s">
        <v>8</v>
      </c>
      <c r="C4" s="240">
        <v>1.0</v>
      </c>
      <c r="D4" s="240">
        <v>1.8527489E7</v>
      </c>
      <c r="E4" s="180">
        <v>851427.0</v>
      </c>
      <c r="F4" s="180">
        <v>1277136.0</v>
      </c>
      <c r="G4" s="329"/>
      <c r="H4" s="329"/>
      <c r="I4" s="43">
        <f>SUM(C4:F4)</f>
        <v>2.0656053E7</v>
      </c>
      <c r="J4" s="233"/>
    </row>
    <row r="5" spans="8:8">
      <c r="A5" s="3" t="s">
        <v>11</v>
      </c>
      <c r="B5" s="4" t="s">
        <v>8</v>
      </c>
      <c r="C5" s="240">
        <v>1.0</v>
      </c>
      <c r="D5" s="240">
        <v>1.4567986E7</v>
      </c>
      <c r="E5" s="180">
        <v>851427.0</v>
      </c>
      <c r="F5" s="180">
        <v>1277136.0</v>
      </c>
      <c r="G5" s="329"/>
      <c r="H5" s="329"/>
      <c r="I5" s="43">
        <f t="shared" si="0" ref="I5:I50">SUM(C5:H5)</f>
        <v>1.669655E7</v>
      </c>
      <c r="J5" s="233"/>
    </row>
    <row r="6" spans="8:8" ht="15.75">
      <c r="A6" s="353" t="s">
        <v>409</v>
      </c>
      <c r="B6" s="16" t="s">
        <v>13</v>
      </c>
      <c r="C6" s="240">
        <v>8155793.0</v>
      </c>
      <c r="D6" s="240">
        <v>5596351.0</v>
      </c>
      <c r="E6" s="180">
        <v>851427.0</v>
      </c>
      <c r="F6" s="180">
        <v>1277136.0</v>
      </c>
      <c r="G6" s="360"/>
      <c r="H6" s="360">
        <v>1544400.0</v>
      </c>
      <c r="I6" s="43">
        <f t="shared" si="0"/>
        <v>1.7425107E7</v>
      </c>
      <c r="J6" s="233"/>
      <c r="L6" s="71"/>
      <c r="M6" s="71"/>
    </row>
    <row r="7" spans="8:8" ht="15.75">
      <c r="A7" s="354" t="s">
        <v>420</v>
      </c>
      <c r="B7" s="181" t="s">
        <v>13</v>
      </c>
      <c r="C7" s="46">
        <v>1.183626434E7</v>
      </c>
      <c r="D7" s="71"/>
      <c r="E7" s="71"/>
      <c r="F7" s="71"/>
      <c r="G7" s="71"/>
      <c r="H7" s="71"/>
      <c r="I7" s="43">
        <f>17425107*2</f>
        <v>3.4850214E7</v>
      </c>
    </row>
    <row r="8" spans="8:8">
      <c r="A8" s="3" t="s">
        <v>15</v>
      </c>
      <c r="B8" s="4" t="s">
        <v>13</v>
      </c>
      <c r="C8" s="240">
        <v>8155793.0</v>
      </c>
      <c r="D8" s="240">
        <v>5596351.0</v>
      </c>
      <c r="E8" s="180">
        <v>851427.0</v>
      </c>
      <c r="F8" s="180">
        <v>1277136.0</v>
      </c>
      <c r="G8" s="360"/>
      <c r="H8" s="360">
        <v>1544400.0</v>
      </c>
      <c r="I8" s="43">
        <f t="shared" si="0"/>
        <v>1.7425107E7</v>
      </c>
      <c r="J8" s="233"/>
      <c r="L8" s="71"/>
      <c r="M8" s="71"/>
    </row>
    <row r="9" spans="8:8">
      <c r="A9" s="3" t="s">
        <v>16</v>
      </c>
      <c r="B9" s="4" t="s">
        <v>13</v>
      </c>
      <c r="C9" s="240">
        <v>8155793.0</v>
      </c>
      <c r="D9" s="240">
        <v>5596351.0</v>
      </c>
      <c r="E9" s="180">
        <v>851427.0</v>
      </c>
      <c r="F9" s="180">
        <v>1277136.0</v>
      </c>
      <c r="G9" s="360"/>
      <c r="H9" s="360">
        <v>1544400.0</v>
      </c>
      <c r="I9" s="43">
        <f t="shared" si="0"/>
        <v>1.7425107E7</v>
      </c>
      <c r="J9" s="233"/>
      <c r="L9" s="71"/>
      <c r="M9" s="71"/>
    </row>
    <row r="10" spans="8:8">
      <c r="A10" s="3" t="s">
        <v>17</v>
      </c>
      <c r="B10" s="4" t="s">
        <v>13</v>
      </c>
      <c r="C10" s="240">
        <v>2.8400924E7</v>
      </c>
      <c r="D10" s="240">
        <v>1.2791659E7</v>
      </c>
      <c r="E10" s="180">
        <v>851427.0</v>
      </c>
      <c r="F10" s="180">
        <v>1277136.0</v>
      </c>
      <c r="G10" s="360"/>
      <c r="H10" s="360">
        <v>1544400.0</v>
      </c>
      <c r="I10" s="43">
        <f t="shared" si="0"/>
        <v>4.4865546E7</v>
      </c>
      <c r="J10" s="233"/>
      <c r="L10" s="71"/>
      <c r="M10" s="71"/>
    </row>
    <row r="11" spans="8:8">
      <c r="A11" s="3" t="s">
        <v>18</v>
      </c>
      <c r="B11" s="4" t="s">
        <v>13</v>
      </c>
      <c r="C11" s="240">
        <v>9671471.0</v>
      </c>
      <c r="D11" s="240">
        <v>1.2791659E7</v>
      </c>
      <c r="E11" s="180">
        <v>851427.0</v>
      </c>
      <c r="F11" s="180">
        <v>1277136.0</v>
      </c>
      <c r="G11" s="360"/>
      <c r="H11" s="360">
        <v>1544400.0</v>
      </c>
      <c r="I11" s="43">
        <f t="shared" si="0"/>
        <v>2.6136093E7</v>
      </c>
      <c r="J11" s="233"/>
      <c r="L11" s="71"/>
      <c r="M11" s="71"/>
    </row>
    <row r="12" spans="8:8">
      <c r="A12" s="3" t="s">
        <v>19</v>
      </c>
      <c r="B12" s="4" t="s">
        <v>13</v>
      </c>
      <c r="C12" s="240">
        <v>9671471.0</v>
      </c>
      <c r="D12" s="240">
        <v>1.2791659E7</v>
      </c>
      <c r="E12" s="180">
        <v>851427.0</v>
      </c>
      <c r="F12" s="180">
        <v>1277136.0</v>
      </c>
      <c r="G12" s="360"/>
      <c r="H12" s="360">
        <v>1544400.0</v>
      </c>
      <c r="I12" s="43">
        <f t="shared" si="0"/>
        <v>2.6136093E7</v>
      </c>
      <c r="J12" s="233"/>
      <c r="L12" s="71"/>
      <c r="M12" s="71"/>
    </row>
    <row r="13" spans="8:8">
      <c r="A13" s="3" t="s">
        <v>20</v>
      </c>
      <c r="B13" s="4" t="s">
        <v>13</v>
      </c>
      <c r="C13" s="240">
        <v>9671471.0</v>
      </c>
      <c r="D13" s="240">
        <v>1.2791659E7</v>
      </c>
      <c r="E13" s="180">
        <v>851427.0</v>
      </c>
      <c r="F13" s="180">
        <v>1277136.0</v>
      </c>
      <c r="G13" s="360"/>
      <c r="H13" s="360">
        <v>1544400.0</v>
      </c>
      <c r="I13" s="43">
        <f t="shared" si="0"/>
        <v>2.6136093E7</v>
      </c>
      <c r="J13" s="233"/>
    </row>
    <row r="14" spans="8:8">
      <c r="A14" s="206" t="s">
        <v>21</v>
      </c>
      <c r="B14" s="4" t="s">
        <v>13</v>
      </c>
      <c r="C14" s="240">
        <v>9671471.0</v>
      </c>
      <c r="D14" s="240">
        <v>1.2791659E7</v>
      </c>
      <c r="E14" s="180">
        <v>851427.0</v>
      </c>
      <c r="F14" s="180">
        <v>1277136.0</v>
      </c>
      <c r="G14" s="360"/>
      <c r="H14" s="360">
        <v>1544400.0</v>
      </c>
      <c r="I14" s="43">
        <f>SUM(C14:H14)*2</f>
        <v>5.2272186E7</v>
      </c>
      <c r="J14" s="233"/>
    </row>
    <row r="15" spans="8:8">
      <c r="A15" s="15" t="s">
        <v>22</v>
      </c>
      <c r="B15" s="16" t="s">
        <v>13</v>
      </c>
      <c r="C15" s="240">
        <v>9671471.0</v>
      </c>
      <c r="D15" s="240">
        <v>1.2791659E7</v>
      </c>
      <c r="E15" s="180">
        <v>851427.0</v>
      </c>
      <c r="F15" s="180">
        <v>1277136.0</v>
      </c>
      <c r="G15" s="360"/>
      <c r="H15" s="360">
        <v>1544400.0</v>
      </c>
      <c r="I15" s="43">
        <f t="shared" si="0"/>
        <v>2.6136093E7</v>
      </c>
      <c r="J15" s="233"/>
    </row>
    <row r="16" spans="8:8">
      <c r="A16" s="206" t="s">
        <v>23</v>
      </c>
      <c r="B16" s="16" t="s">
        <v>13</v>
      </c>
      <c r="C16" s="240">
        <v>9671471.0</v>
      </c>
      <c r="D16" s="240">
        <v>1.2791659E7</v>
      </c>
      <c r="E16" s="180">
        <v>851427.0</v>
      </c>
      <c r="F16" s="180">
        <v>1277136.0</v>
      </c>
      <c r="G16" s="360"/>
      <c r="H16" s="360">
        <v>1544400.0</v>
      </c>
      <c r="I16" s="43">
        <f>SUM(C16:H16)*2</f>
        <v>5.2272186E7</v>
      </c>
      <c r="J16" s="233"/>
    </row>
    <row r="17" spans="8:8">
      <c r="A17" s="3" t="s">
        <v>24</v>
      </c>
      <c r="B17" s="16" t="s">
        <v>13</v>
      </c>
      <c r="C17" s="240">
        <v>9671471.0</v>
      </c>
      <c r="D17" s="240">
        <v>1.2791659E7</v>
      </c>
      <c r="E17" s="180">
        <v>851427.0</v>
      </c>
      <c r="F17" s="180">
        <v>1277136.0</v>
      </c>
      <c r="G17" s="360"/>
      <c r="H17" s="360">
        <v>1544400.0</v>
      </c>
      <c r="I17" s="43">
        <f t="shared" si="0"/>
        <v>2.6136093E7</v>
      </c>
      <c r="J17" s="233"/>
    </row>
    <row r="18" spans="8:8">
      <c r="A18" s="3" t="s">
        <v>25</v>
      </c>
      <c r="B18" s="4" t="s">
        <v>13</v>
      </c>
      <c r="C18" s="240">
        <v>9671471.0</v>
      </c>
      <c r="D18" s="240">
        <v>1.2791659E7</v>
      </c>
      <c r="E18" s="180">
        <v>851427.0</v>
      </c>
      <c r="F18" s="180">
        <v>1277136.0</v>
      </c>
      <c r="G18" s="360"/>
      <c r="H18" s="360">
        <v>1544400.0</v>
      </c>
      <c r="I18" s="43">
        <f t="shared" si="0"/>
        <v>2.6136093E7</v>
      </c>
      <c r="J18" s="233"/>
    </row>
    <row r="19" spans="8:8">
      <c r="A19" s="3" t="s">
        <v>26</v>
      </c>
      <c r="B19" s="4" t="s">
        <v>13</v>
      </c>
      <c r="C19" s="240">
        <v>9671471.0</v>
      </c>
      <c r="D19" s="240">
        <v>1.2791659E7</v>
      </c>
      <c r="E19" s="180">
        <v>851427.0</v>
      </c>
      <c r="F19" s="180">
        <v>1277136.0</v>
      </c>
      <c r="G19" s="360"/>
      <c r="H19" s="360">
        <v>1544400.0</v>
      </c>
      <c r="I19" s="43">
        <f t="shared" si="0"/>
        <v>2.6136093E7</v>
      </c>
      <c r="J19" s="233"/>
    </row>
    <row r="20" spans="8:8">
      <c r="A20" s="3" t="s">
        <v>27</v>
      </c>
      <c r="B20" s="4" t="s">
        <v>13</v>
      </c>
      <c r="C20" s="240">
        <v>9671471.0</v>
      </c>
      <c r="D20" s="240">
        <v>1.2791659E7</v>
      </c>
      <c r="E20" s="180">
        <v>851427.0</v>
      </c>
      <c r="F20" s="180">
        <v>1277136.0</v>
      </c>
      <c r="G20" s="360"/>
      <c r="H20" s="360">
        <v>1544400.0</v>
      </c>
      <c r="I20" s="43">
        <f t="shared" si="0"/>
        <v>2.6136093E7</v>
      </c>
      <c r="J20" s="233"/>
    </row>
    <row r="21" spans="8:8">
      <c r="A21" s="3" t="s">
        <v>28</v>
      </c>
      <c r="B21" s="4" t="s">
        <v>13</v>
      </c>
      <c r="C21" s="240">
        <v>9671471.0</v>
      </c>
      <c r="D21" s="240">
        <v>1.2791659E7</v>
      </c>
      <c r="E21" s="180">
        <v>851427.0</v>
      </c>
      <c r="F21" s="180">
        <v>1277136.0</v>
      </c>
      <c r="G21" s="360"/>
      <c r="H21" s="360">
        <v>1544400.0</v>
      </c>
      <c r="I21" s="43">
        <f t="shared" si="0"/>
        <v>2.6136093E7</v>
      </c>
      <c r="J21" s="233"/>
    </row>
    <row r="22" spans="8:8">
      <c r="A22" s="3" t="s">
        <v>29</v>
      </c>
      <c r="B22" s="4" t="s">
        <v>13</v>
      </c>
      <c r="C22" s="240">
        <v>9671471.0</v>
      </c>
      <c r="D22" s="240">
        <v>1.2791659E7</v>
      </c>
      <c r="E22" s="180">
        <v>851427.0</v>
      </c>
      <c r="F22" s="180">
        <v>1277136.0</v>
      </c>
      <c r="G22" s="360"/>
      <c r="H22" s="360">
        <v>1544400.0</v>
      </c>
      <c r="I22" s="43">
        <f t="shared" si="0"/>
        <v>2.6136093E7</v>
      </c>
      <c r="J22" s="233"/>
    </row>
    <row r="23" spans="8:8" ht="15.75">
      <c r="A23" s="14" t="s">
        <v>411</v>
      </c>
      <c r="B23" s="4" t="s">
        <v>13</v>
      </c>
      <c r="C23" s="240">
        <v>9671471.0</v>
      </c>
      <c r="D23" s="240">
        <v>1.2791659E7</v>
      </c>
      <c r="E23" s="180">
        <v>851427.0</v>
      </c>
      <c r="F23" s="180">
        <v>1277136.0</v>
      </c>
      <c r="G23" s="360"/>
      <c r="H23" s="360">
        <v>1544400.0</v>
      </c>
      <c r="I23" s="43">
        <f t="shared" si="0"/>
        <v>2.6136093E7</v>
      </c>
      <c r="J23" s="233"/>
    </row>
    <row r="24" spans="8:8">
      <c r="A24" s="3" t="s">
        <v>31</v>
      </c>
      <c r="B24" s="4" t="s">
        <v>13</v>
      </c>
      <c r="C24" s="240">
        <v>9671471.0</v>
      </c>
      <c r="D24" s="240">
        <v>1.2791659E7</v>
      </c>
      <c r="E24" s="180">
        <v>851427.0</v>
      </c>
      <c r="F24" s="180">
        <v>1277136.0</v>
      </c>
      <c r="G24" s="360"/>
      <c r="H24" s="360">
        <v>1544400.0</v>
      </c>
      <c r="I24" s="43">
        <f t="shared" si="0"/>
        <v>2.6136093E7</v>
      </c>
      <c r="J24" s="233"/>
    </row>
    <row r="25" spans="8:8">
      <c r="A25" s="3" t="s">
        <v>32</v>
      </c>
      <c r="B25" s="4" t="s">
        <v>13</v>
      </c>
      <c r="C25" s="240">
        <v>9671471.0</v>
      </c>
      <c r="D25" s="240">
        <v>1.2791659E7</v>
      </c>
      <c r="E25" s="180">
        <v>851427.0</v>
      </c>
      <c r="F25" s="180">
        <v>1277136.0</v>
      </c>
      <c r="G25" s="360"/>
      <c r="H25" s="360">
        <v>1544400.0</v>
      </c>
      <c r="I25" s="43">
        <f t="shared" si="0"/>
        <v>2.6136093E7</v>
      </c>
      <c r="J25" s="233"/>
    </row>
    <row r="26" spans="8:8">
      <c r="A26" s="3" t="s">
        <v>33</v>
      </c>
      <c r="B26" s="4" t="s">
        <v>13</v>
      </c>
      <c r="C26" s="240">
        <v>9671471.0</v>
      </c>
      <c r="D26" s="240">
        <v>1.2791659E7</v>
      </c>
      <c r="E26" s="180">
        <v>851427.0</v>
      </c>
      <c r="F26" s="180">
        <v>1277136.0</v>
      </c>
      <c r="G26" s="360"/>
      <c r="H26" s="360">
        <v>1544400.0</v>
      </c>
      <c r="I26" s="43">
        <f t="shared" si="0"/>
        <v>2.6136093E7</v>
      </c>
      <c r="J26" s="233"/>
    </row>
    <row r="27" spans="8:8">
      <c r="A27" s="3" t="s">
        <v>34</v>
      </c>
      <c r="B27" s="4" t="s">
        <v>13</v>
      </c>
      <c r="C27" s="240">
        <v>8155793.0</v>
      </c>
      <c r="D27" s="240">
        <v>5596351.0</v>
      </c>
      <c r="E27" s="180">
        <v>851427.0</v>
      </c>
      <c r="F27" s="180">
        <v>1277136.0</v>
      </c>
      <c r="G27" s="360"/>
      <c r="H27" s="360">
        <v>1544400.0</v>
      </c>
      <c r="I27" s="43">
        <f t="shared" si="0"/>
        <v>1.7425107E7</v>
      </c>
      <c r="J27" s="233"/>
    </row>
    <row r="28" spans="8:8">
      <c r="A28" s="3" t="s">
        <v>35</v>
      </c>
      <c r="B28" s="4" t="s">
        <v>13</v>
      </c>
      <c r="C28" s="240">
        <v>8155793.0</v>
      </c>
      <c r="D28" s="240">
        <v>5596351.0</v>
      </c>
      <c r="E28" s="180">
        <v>851427.0</v>
      </c>
      <c r="F28" s="180">
        <v>1277136.0</v>
      </c>
      <c r="G28" s="360"/>
      <c r="H28" s="360">
        <v>1544400.0</v>
      </c>
      <c r="I28" s="43">
        <f t="shared" si="0"/>
        <v>1.7425107E7</v>
      </c>
      <c r="J28" s="233"/>
    </row>
    <row r="29" spans="8:8">
      <c r="A29" s="3" t="s">
        <v>36</v>
      </c>
      <c r="B29" s="4" t="s">
        <v>13</v>
      </c>
      <c r="C29" s="240">
        <v>8155793.0</v>
      </c>
      <c r="D29" s="240">
        <v>5596351.0</v>
      </c>
      <c r="E29" s="180">
        <v>851427.0</v>
      </c>
      <c r="F29" s="180">
        <v>1277136.0</v>
      </c>
      <c r="G29" s="360"/>
      <c r="H29" s="360">
        <v>1544400.0</v>
      </c>
      <c r="I29" s="43">
        <f t="shared" si="0"/>
        <v>1.7425107E7</v>
      </c>
      <c r="J29" s="233"/>
    </row>
    <row r="30" spans="8:8" ht="15.75">
      <c r="A30" s="14" t="s">
        <v>417</v>
      </c>
      <c r="B30" s="4" t="s">
        <v>13</v>
      </c>
      <c r="C30" s="240">
        <v>8155793.0</v>
      </c>
      <c r="D30" s="240">
        <v>5596351.0</v>
      </c>
      <c r="E30" s="180">
        <v>851427.0</v>
      </c>
      <c r="F30" s="180">
        <v>1277136.0</v>
      </c>
      <c r="G30" s="360"/>
      <c r="H30" s="360">
        <v>1544400.0</v>
      </c>
      <c r="I30" s="43">
        <f t="shared" si="0"/>
        <v>1.7425107E7</v>
      </c>
      <c r="J30" s="233"/>
    </row>
    <row r="31" spans="8:8">
      <c r="A31" s="3" t="s">
        <v>38</v>
      </c>
      <c r="B31" s="4" t="s">
        <v>13</v>
      </c>
      <c r="C31" s="240">
        <v>8155793.0</v>
      </c>
      <c r="D31" s="240">
        <v>5596351.0</v>
      </c>
      <c r="E31" s="180">
        <v>851427.0</v>
      </c>
      <c r="F31" s="180">
        <v>1277136.0</v>
      </c>
      <c r="G31" s="360"/>
      <c r="H31" s="360">
        <v>1544400.0</v>
      </c>
      <c r="I31" s="43">
        <f t="shared" si="0"/>
        <v>1.7425107E7</v>
      </c>
      <c r="J31" s="233"/>
    </row>
    <row r="32" spans="8:8">
      <c r="A32" s="15" t="s">
        <v>39</v>
      </c>
      <c r="B32" s="4" t="s">
        <v>13</v>
      </c>
      <c r="C32" s="240">
        <v>8155793.0</v>
      </c>
      <c r="D32" s="240">
        <v>5596351.0</v>
      </c>
      <c r="E32" s="180">
        <v>851427.0</v>
      </c>
      <c r="F32" s="180">
        <v>1277136.0</v>
      </c>
      <c r="G32" s="360"/>
      <c r="H32" s="360">
        <v>1544400.0</v>
      </c>
      <c r="I32" s="43">
        <f t="shared" si="0"/>
        <v>1.7425107E7</v>
      </c>
      <c r="J32" s="233"/>
    </row>
    <row r="33" spans="8:8" s="49" ht="15.0" customFormat="1">
      <c r="A33" s="3" t="s">
        <v>40</v>
      </c>
      <c r="B33" s="16" t="s">
        <v>13</v>
      </c>
      <c r="C33" s="240">
        <v>8155793.0</v>
      </c>
      <c r="D33" s="240">
        <v>5596351.0</v>
      </c>
      <c r="E33" s="180">
        <v>851427.0</v>
      </c>
      <c r="F33" s="180">
        <v>1277136.0</v>
      </c>
      <c r="G33" s="360"/>
      <c r="H33" s="360">
        <v>1544400.0</v>
      </c>
      <c r="I33" s="43">
        <f t="shared" si="0"/>
        <v>1.7425107E7</v>
      </c>
      <c r="J33" s="233"/>
    </row>
    <row r="34" spans="8:8">
      <c r="A34" s="15" t="s">
        <v>41</v>
      </c>
      <c r="B34" s="16" t="s">
        <v>13</v>
      </c>
      <c r="C34" s="240">
        <v>8155793.0</v>
      </c>
      <c r="D34" s="240">
        <v>5596351.0</v>
      </c>
      <c r="E34" s="180">
        <v>851427.0</v>
      </c>
      <c r="F34" s="180">
        <v>1277136.0</v>
      </c>
      <c r="G34" s="360"/>
      <c r="H34" s="360">
        <v>1544400.0</v>
      </c>
      <c r="I34" s="43">
        <f t="shared" si="0"/>
        <v>1.7425107E7</v>
      </c>
      <c r="J34" s="233"/>
    </row>
    <row r="35" spans="8:8" s="49" ht="15.0" customFormat="1">
      <c r="A35" s="14" t="s">
        <v>418</v>
      </c>
      <c r="B35" s="16" t="s">
        <v>13</v>
      </c>
      <c r="C35" s="240">
        <v>8155793.0</v>
      </c>
      <c r="D35" s="240">
        <v>5596351.0</v>
      </c>
      <c r="E35" s="180">
        <v>851427.0</v>
      </c>
      <c r="F35" s="180">
        <v>1277136.0</v>
      </c>
      <c r="G35" s="360"/>
      <c r="H35" s="360">
        <v>1544400.0</v>
      </c>
      <c r="I35" s="43">
        <f t="shared" si="0"/>
        <v>1.7425107E7</v>
      </c>
      <c r="J35" s="233"/>
    </row>
    <row r="36" spans="8:8">
      <c r="A36" s="3" t="s">
        <v>43</v>
      </c>
      <c r="B36" s="4" t="s">
        <v>13</v>
      </c>
      <c r="C36" s="240">
        <v>8155793.0</v>
      </c>
      <c r="D36" s="240">
        <v>5596351.0</v>
      </c>
      <c r="E36" s="180">
        <v>851427.0</v>
      </c>
      <c r="F36" s="180">
        <v>1277136.0</v>
      </c>
      <c r="G36" s="360"/>
      <c r="H36" s="360">
        <v>1544400.0</v>
      </c>
      <c r="I36" s="43">
        <f t="shared" si="0"/>
        <v>1.7425107E7</v>
      </c>
      <c r="J36" s="233"/>
    </row>
    <row r="37" spans="8:8">
      <c r="A37" s="14" t="s">
        <v>419</v>
      </c>
      <c r="B37" s="4" t="s">
        <v>13</v>
      </c>
      <c r="C37" s="240">
        <v>8155793.0</v>
      </c>
      <c r="D37" s="240">
        <v>5596351.0</v>
      </c>
      <c r="E37" s="180">
        <v>851427.0</v>
      </c>
      <c r="F37" s="180">
        <v>1277136.0</v>
      </c>
      <c r="G37" s="360"/>
      <c r="H37" s="360">
        <v>1544400.0</v>
      </c>
      <c r="I37" s="43">
        <f t="shared" si="0"/>
        <v>1.7425107E7</v>
      </c>
      <c r="J37" s="233"/>
    </row>
    <row r="38" spans="8:8">
      <c r="A38" s="3" t="s">
        <v>45</v>
      </c>
      <c r="B38" s="4" t="s">
        <v>13</v>
      </c>
      <c r="C38" s="240">
        <v>1.8440752E7</v>
      </c>
      <c r="D38" s="240">
        <v>1.3324644E7</v>
      </c>
      <c r="E38" s="180">
        <v>851427.0</v>
      </c>
      <c r="F38" s="180">
        <v>1277136.0</v>
      </c>
      <c r="G38" s="360"/>
      <c r="H38" s="360">
        <v>1544400.0</v>
      </c>
      <c r="I38" s="43">
        <f t="shared" si="0"/>
        <v>3.5438359E7</v>
      </c>
      <c r="J38" s="233"/>
    </row>
    <row r="39" spans="8:8">
      <c r="A39" s="3" t="s">
        <v>46</v>
      </c>
      <c r="B39" s="4" t="s">
        <v>13</v>
      </c>
      <c r="C39" s="240">
        <v>1.8440752E7</v>
      </c>
      <c r="D39" s="240">
        <v>1.3324644E7</v>
      </c>
      <c r="E39" s="180">
        <v>851427.0</v>
      </c>
      <c r="F39" s="180">
        <v>1277136.0</v>
      </c>
      <c r="G39" s="360"/>
      <c r="H39" s="360">
        <v>1544400.0</v>
      </c>
      <c r="I39" s="43">
        <f t="shared" si="0"/>
        <v>3.5438359E7</v>
      </c>
      <c r="J39" s="233"/>
    </row>
    <row r="40" spans="8:8">
      <c r="A40" s="3" t="s">
        <v>47</v>
      </c>
      <c r="B40" s="4" t="s">
        <v>13</v>
      </c>
      <c r="C40" s="240">
        <v>2.5946968E7</v>
      </c>
      <c r="D40" s="240">
        <v>1.3324644E7</v>
      </c>
      <c r="E40" s="180">
        <v>851427.0</v>
      </c>
      <c r="F40" s="180">
        <v>1277136.0</v>
      </c>
      <c r="G40" s="360"/>
      <c r="H40" s="360">
        <v>1544400.0</v>
      </c>
      <c r="I40" s="43">
        <f t="shared" si="0"/>
        <v>4.2944575E7</v>
      </c>
      <c r="J40" s="233"/>
    </row>
    <row r="41" spans="8:8">
      <c r="A41" s="3" t="s">
        <v>48</v>
      </c>
      <c r="B41" s="4" t="s">
        <v>13</v>
      </c>
      <c r="C41" s="240">
        <v>8155793.0</v>
      </c>
      <c r="D41" s="240">
        <v>1.3324644E7</v>
      </c>
      <c r="E41" s="180">
        <v>851427.0</v>
      </c>
      <c r="F41" s="180">
        <v>1277136.0</v>
      </c>
      <c r="G41" s="360"/>
      <c r="H41" s="360">
        <v>1544400.0</v>
      </c>
      <c r="I41" s="43">
        <f t="shared" si="0"/>
        <v>2.51534E7</v>
      </c>
      <c r="J41" s="233"/>
    </row>
    <row r="42" spans="8:8">
      <c r="A42" s="3" t="s">
        <v>49</v>
      </c>
      <c r="B42" s="4" t="s">
        <v>13</v>
      </c>
      <c r="C42" s="240">
        <v>8155793.0</v>
      </c>
      <c r="D42" s="240">
        <v>5596351.0</v>
      </c>
      <c r="E42" s="180">
        <v>851427.0</v>
      </c>
      <c r="F42" s="180">
        <v>1277136.0</v>
      </c>
      <c r="G42" s="360"/>
      <c r="H42" s="360">
        <v>1544400.0</v>
      </c>
      <c r="I42" s="43">
        <f t="shared" si="0"/>
        <v>1.7425107E7</v>
      </c>
      <c r="J42" s="233"/>
    </row>
    <row r="43" spans="8:8">
      <c r="A43" s="18" t="s">
        <v>414</v>
      </c>
      <c r="B43" s="4" t="s">
        <v>13</v>
      </c>
      <c r="C43" s="240">
        <v>8155793.0</v>
      </c>
      <c r="D43" s="240">
        <v>5596351.0</v>
      </c>
      <c r="E43" s="180">
        <v>851427.0</v>
      </c>
      <c r="F43" s="180">
        <v>1277136.0</v>
      </c>
      <c r="G43" s="360"/>
      <c r="H43" s="360">
        <v>1544400.0</v>
      </c>
      <c r="I43" s="43">
        <f t="shared" si="0"/>
        <v>1.7425107E7</v>
      </c>
      <c r="J43" s="233"/>
    </row>
    <row r="44" spans="8:8" s="49" ht="15.0" customFormat="1">
      <c r="A44" s="3" t="s">
        <v>51</v>
      </c>
      <c r="B44" s="16" t="s">
        <v>13</v>
      </c>
      <c r="C44" s="240">
        <v>8155793.0</v>
      </c>
      <c r="D44" s="240">
        <v>5596351.0</v>
      </c>
      <c r="E44" s="180">
        <v>851427.0</v>
      </c>
      <c r="F44" s="180">
        <v>1277136.0</v>
      </c>
      <c r="G44" s="360"/>
      <c r="H44" s="360">
        <v>1544400.0</v>
      </c>
      <c r="I44" s="43">
        <f t="shared" si="0"/>
        <v>1.7425107E7</v>
      </c>
      <c r="J44" s="233"/>
    </row>
    <row r="45" spans="8:8">
      <c r="A45" s="3" t="s">
        <v>52</v>
      </c>
      <c r="B45" s="4" t="s">
        <v>13</v>
      </c>
      <c r="C45" s="240">
        <v>8155793.0</v>
      </c>
      <c r="D45" s="240">
        <v>5596351.0</v>
      </c>
      <c r="E45" s="180">
        <v>851427.0</v>
      </c>
      <c r="F45" s="180">
        <v>1277136.0</v>
      </c>
      <c r="G45" s="360"/>
      <c r="H45" s="360">
        <v>1544400.0</v>
      </c>
      <c r="I45" s="43">
        <f t="shared" si="0"/>
        <v>1.7425107E7</v>
      </c>
      <c r="J45" s="233"/>
    </row>
    <row r="46" spans="8:8">
      <c r="A46" s="3" t="s">
        <v>53</v>
      </c>
      <c r="B46" s="4" t="s">
        <v>13</v>
      </c>
      <c r="C46" s="240">
        <v>8155793.0</v>
      </c>
      <c r="D46" s="240">
        <v>5596351.0</v>
      </c>
      <c r="E46" s="180">
        <v>851427.0</v>
      </c>
      <c r="F46" s="180">
        <v>1277136.0</v>
      </c>
      <c r="G46" s="360"/>
      <c r="H46" s="360">
        <v>1544400.0</v>
      </c>
      <c r="I46" s="43">
        <f t="shared" si="0"/>
        <v>1.7425107E7</v>
      </c>
      <c r="J46" s="233"/>
    </row>
    <row r="47" spans="8:8">
      <c r="A47" s="3" t="s">
        <v>54</v>
      </c>
      <c r="B47" s="4" t="s">
        <v>13</v>
      </c>
      <c r="C47" s="240">
        <v>8155793.0</v>
      </c>
      <c r="D47" s="240">
        <v>5596351.0</v>
      </c>
      <c r="E47" s="180">
        <v>851427.0</v>
      </c>
      <c r="F47" s="180">
        <v>1277136.0</v>
      </c>
      <c r="G47" s="360"/>
      <c r="H47" s="360">
        <v>1544400.0</v>
      </c>
      <c r="I47" s="43">
        <f t="shared" si="0"/>
        <v>1.7425107E7</v>
      </c>
      <c r="J47" s="233"/>
    </row>
    <row r="48" spans="8:8">
      <c r="A48" s="15" t="s">
        <v>55</v>
      </c>
      <c r="B48" s="4" t="s">
        <v>13</v>
      </c>
      <c r="C48" s="240">
        <v>8155793.0</v>
      </c>
      <c r="D48" s="240">
        <v>5596351.0</v>
      </c>
      <c r="E48" s="180">
        <v>851427.0</v>
      </c>
      <c r="F48" s="180">
        <v>1277136.0</v>
      </c>
      <c r="G48" s="360"/>
      <c r="H48" s="360">
        <v>1544400.0</v>
      </c>
      <c r="I48" s="43">
        <f t="shared" si="0"/>
        <v>1.7425107E7</v>
      </c>
      <c r="J48" s="233"/>
    </row>
    <row r="49" spans="8:8" s="49" ht="15.0" customFormat="1">
      <c r="A49" s="14" t="s">
        <v>415</v>
      </c>
      <c r="B49" s="16" t="s">
        <v>13</v>
      </c>
      <c r="C49" s="240">
        <v>8155793.0</v>
      </c>
      <c r="D49" s="240">
        <v>1.4657109E7</v>
      </c>
      <c r="E49" s="180">
        <v>851427.0</v>
      </c>
      <c r="F49" s="180">
        <v>1277136.0</v>
      </c>
      <c r="G49" s="360"/>
      <c r="H49" s="360">
        <v>1544400.0</v>
      </c>
      <c r="I49" s="241">
        <f t="shared" si="0"/>
        <v>2.6485865E7</v>
      </c>
      <c r="J49" s="233"/>
    </row>
    <row r="50" spans="8:8">
      <c r="A50" s="3" t="s">
        <v>57</v>
      </c>
      <c r="B50" s="4" t="s">
        <v>60</v>
      </c>
      <c r="C50" s="240">
        <v>1.0</v>
      </c>
      <c r="D50" s="240">
        <v>2.5242311E7</v>
      </c>
      <c r="E50" s="180">
        <v>851427.0</v>
      </c>
      <c r="F50" s="180">
        <v>1277136.0</v>
      </c>
      <c r="G50" s="360"/>
      <c r="H50" s="360"/>
      <c r="I50" s="43">
        <f t="shared" si="0"/>
        <v>2.7370875E7</v>
      </c>
      <c r="J50" s="233"/>
    </row>
    <row r="51" spans="8:8">
      <c r="A51" s="3" t="s">
        <v>58</v>
      </c>
      <c r="B51" s="4" t="s">
        <v>60</v>
      </c>
      <c r="C51" s="240">
        <v>1.0</v>
      </c>
      <c r="D51" s="240">
        <v>2.5242311E7</v>
      </c>
      <c r="E51" s="180">
        <v>851427.0</v>
      </c>
      <c r="F51" s="180">
        <v>1277136.0</v>
      </c>
      <c r="G51" s="360"/>
      <c r="H51" s="360"/>
      <c r="I51" s="43">
        <f>SUM(C51:F51)</f>
        <v>2.7370875E7</v>
      </c>
      <c r="J51" s="233"/>
    </row>
    <row r="52" spans="8:8">
      <c r="A52" s="3" t="s">
        <v>59</v>
      </c>
      <c r="B52" s="4" t="s">
        <v>60</v>
      </c>
      <c r="C52" s="240">
        <v>1.0</v>
      </c>
      <c r="D52" s="240">
        <v>2.5242311E7</v>
      </c>
      <c r="E52" s="180">
        <v>851427.0</v>
      </c>
      <c r="F52" s="180">
        <v>1277136.0</v>
      </c>
      <c r="G52" s="360"/>
      <c r="H52" s="360"/>
      <c r="I52" s="43">
        <f>SUM(C52:F52)</f>
        <v>2.7370875E7</v>
      </c>
      <c r="J52" s="233"/>
    </row>
    <row r="53" spans="8:8">
      <c r="A53" s="3" t="s">
        <v>61</v>
      </c>
      <c r="B53" s="4" t="s">
        <v>60</v>
      </c>
      <c r="C53" s="240">
        <v>1.6860472E7</v>
      </c>
      <c r="D53" s="240">
        <v>1.8015299E7</v>
      </c>
      <c r="E53" s="180">
        <v>851427.0</v>
      </c>
      <c r="F53" s="180">
        <v>1277136.0</v>
      </c>
      <c r="G53" s="360"/>
      <c r="H53" s="360"/>
      <c r="I53" s="43">
        <f>SUM(C53:F53)</f>
        <v>3.7004334E7</v>
      </c>
      <c r="J53" s="233"/>
    </row>
    <row r="54" spans="8:8">
      <c r="A54" s="3" t="s">
        <v>62</v>
      </c>
      <c r="B54" s="4" t="s">
        <v>60</v>
      </c>
      <c r="C54" s="240">
        <v>1.0</v>
      </c>
      <c r="D54" s="240">
        <v>1.8015299E7</v>
      </c>
      <c r="E54" s="180">
        <v>851427.0</v>
      </c>
      <c r="F54" s="180">
        <v>1277136.0</v>
      </c>
      <c r="G54" s="360"/>
      <c r="H54" s="360"/>
      <c r="I54" s="43">
        <f>SUM(C54:F54)</f>
        <v>2.0143863E7</v>
      </c>
      <c r="J54" s="233"/>
    </row>
    <row r="55" spans="8:8">
      <c r="A55" s="3" t="s">
        <v>63</v>
      </c>
      <c r="B55" s="4" t="s">
        <v>60</v>
      </c>
      <c r="C55" s="240">
        <v>1.0</v>
      </c>
      <c r="D55" s="240">
        <v>9116862.0</v>
      </c>
      <c r="E55" s="180">
        <v>851427.0</v>
      </c>
      <c r="F55" s="180">
        <v>1277136.0</v>
      </c>
      <c r="G55" s="360"/>
      <c r="H55" s="360"/>
      <c r="I55" s="43">
        <f>SUM(C55:F55)</f>
        <v>1.1245426E7</v>
      </c>
      <c r="J55" s="233"/>
    </row>
    <row r="56" spans="8:8">
      <c r="A56" s="3" t="s">
        <v>64</v>
      </c>
      <c r="B56" s="4" t="s">
        <v>65</v>
      </c>
      <c r="C56" s="240">
        <v>1.0</v>
      </c>
      <c r="D56" s="240">
        <v>8948031.0</v>
      </c>
      <c r="E56" s="180">
        <v>851427.0</v>
      </c>
      <c r="F56" s="180">
        <v>1277136.0</v>
      </c>
      <c r="G56" s="360">
        <v>3334500.0</v>
      </c>
      <c r="H56" s="360"/>
      <c r="I56" s="43">
        <f t="shared" si="1" ref="I56:I61">SUM(C56:H56)</f>
        <v>1.4411095E7</v>
      </c>
      <c r="J56" s="233"/>
    </row>
    <row r="57" spans="8:8">
      <c r="A57" s="3" t="s">
        <v>66</v>
      </c>
      <c r="B57" s="4" t="s">
        <v>65</v>
      </c>
      <c r="C57" s="240">
        <v>1.0</v>
      </c>
      <c r="D57" s="240">
        <v>9522056.0</v>
      </c>
      <c r="E57" s="180">
        <v>851427.0</v>
      </c>
      <c r="F57" s="180">
        <v>1277136.0</v>
      </c>
      <c r="G57" s="360">
        <v>3334500.0</v>
      </c>
      <c r="H57" s="360"/>
      <c r="I57" s="43">
        <f t="shared" si="1"/>
        <v>1.498512E7</v>
      </c>
      <c r="J57" s="233"/>
    </row>
    <row r="58" spans="8:8">
      <c r="A58" s="3" t="s">
        <v>67</v>
      </c>
      <c r="B58" s="4" t="s">
        <v>65</v>
      </c>
      <c r="C58" s="240">
        <v>1.0</v>
      </c>
      <c r="D58" s="240">
        <v>8948031.0</v>
      </c>
      <c r="E58" s="180">
        <v>851427.0</v>
      </c>
      <c r="F58" s="180">
        <v>1277136.0</v>
      </c>
      <c r="G58" s="360">
        <v>3334500.0</v>
      </c>
      <c r="H58" s="360"/>
      <c r="I58" s="43">
        <f t="shared" si="1"/>
        <v>1.4411095E7</v>
      </c>
      <c r="J58" s="233"/>
    </row>
    <row r="59" spans="8:8">
      <c r="A59" s="3" t="s">
        <v>68</v>
      </c>
      <c r="B59" s="4" t="s">
        <v>65</v>
      </c>
      <c r="C59" s="240">
        <v>1.0</v>
      </c>
      <c r="D59" s="240">
        <v>9522056.0</v>
      </c>
      <c r="E59" s="180">
        <v>851427.0</v>
      </c>
      <c r="F59" s="180">
        <v>1277136.0</v>
      </c>
      <c r="G59" s="360">
        <v>3334500.0</v>
      </c>
      <c r="H59" s="360"/>
      <c r="I59" s="43">
        <f t="shared" si="1"/>
        <v>1.498512E7</v>
      </c>
      <c r="J59" s="233"/>
    </row>
    <row r="60" spans="8:8">
      <c r="A60" s="3" t="s">
        <v>69</v>
      </c>
      <c r="B60" s="4" t="s">
        <v>65</v>
      </c>
      <c r="C60" s="240">
        <v>1.0</v>
      </c>
      <c r="D60" s="240">
        <v>1.1615557E7</v>
      </c>
      <c r="E60" s="180">
        <v>851427.0</v>
      </c>
      <c r="F60" s="180">
        <v>1277136.0</v>
      </c>
      <c r="G60" s="360">
        <v>3334500.0</v>
      </c>
      <c r="H60" s="360"/>
      <c r="I60" s="43">
        <f t="shared" si="1"/>
        <v>1.7078621E7</v>
      </c>
      <c r="J60" s="233"/>
    </row>
    <row r="61" spans="8:8">
      <c r="A61" s="3" t="s">
        <v>70</v>
      </c>
      <c r="B61" s="4" t="s">
        <v>65</v>
      </c>
      <c r="C61" s="240">
        <v>1.0</v>
      </c>
      <c r="D61" s="240">
        <v>8948031.0</v>
      </c>
      <c r="E61" s="180">
        <v>851427.0</v>
      </c>
      <c r="F61" s="180">
        <v>1277136.0</v>
      </c>
      <c r="G61" s="360">
        <v>3334500.0</v>
      </c>
      <c r="H61" s="360"/>
      <c r="I61" s="43">
        <f t="shared" si="1"/>
        <v>1.4411095E7</v>
      </c>
      <c r="J61" s="233"/>
    </row>
    <row r="62" spans="8:8">
      <c r="A62" s="15" t="s">
        <v>71</v>
      </c>
      <c r="B62" s="16" t="s">
        <v>65</v>
      </c>
      <c r="C62" s="240">
        <v>1.0</v>
      </c>
      <c r="D62" s="240">
        <v>9522056.0</v>
      </c>
      <c r="E62" s="180">
        <v>851427.0</v>
      </c>
      <c r="F62" s="180">
        <v>1277136.0</v>
      </c>
      <c r="G62" s="360">
        <v>3334500.0</v>
      </c>
      <c r="H62" s="360"/>
      <c r="I62" s="43">
        <f t="shared" si="2" ref="I62:I74">SUM(C62:G62)</f>
        <v>1.498512E7</v>
      </c>
      <c r="J62" s="233"/>
    </row>
    <row r="63" spans="8:8">
      <c r="A63" s="15" t="s">
        <v>72</v>
      </c>
      <c r="B63" s="16" t="s">
        <v>65</v>
      </c>
      <c r="C63" s="240">
        <v>1.0</v>
      </c>
      <c r="D63" s="240">
        <v>1.0535041E7</v>
      </c>
      <c r="E63" s="180">
        <v>851427.0</v>
      </c>
      <c r="F63" s="180">
        <v>1277136.0</v>
      </c>
      <c r="G63" s="360">
        <v>3334500.0</v>
      </c>
      <c r="H63" s="360"/>
      <c r="I63" s="43">
        <f t="shared" si="2"/>
        <v>1.5998105E7</v>
      </c>
      <c r="J63" s="233"/>
    </row>
    <row r="64" spans="8:8">
      <c r="A64" s="3" t="s">
        <v>73</v>
      </c>
      <c r="B64" s="4" t="s">
        <v>65</v>
      </c>
      <c r="C64" s="240">
        <v>1.0</v>
      </c>
      <c r="D64" s="240">
        <v>8948031.0</v>
      </c>
      <c r="E64" s="180">
        <v>851427.0</v>
      </c>
      <c r="F64" s="180">
        <v>1277136.0</v>
      </c>
      <c r="G64" s="360">
        <v>3334500.0</v>
      </c>
      <c r="H64" s="360"/>
      <c r="I64" s="43">
        <f t="shared" si="2"/>
        <v>1.4411095E7</v>
      </c>
      <c r="J64" s="233"/>
    </row>
    <row r="65" spans="8:8">
      <c r="A65" s="3" t="s">
        <v>74</v>
      </c>
      <c r="B65" s="4" t="s">
        <v>65</v>
      </c>
      <c r="C65" s="240">
        <v>1.0</v>
      </c>
      <c r="D65" s="240">
        <v>9522056.0</v>
      </c>
      <c r="E65" s="180">
        <v>851427.0</v>
      </c>
      <c r="F65" s="180">
        <v>1277136.0</v>
      </c>
      <c r="G65" s="360">
        <v>3334500.0</v>
      </c>
      <c r="H65" s="360"/>
      <c r="I65" s="43">
        <f t="shared" si="2"/>
        <v>1.498512E7</v>
      </c>
      <c r="J65" s="233"/>
    </row>
    <row r="66" spans="8:8">
      <c r="A66" s="3" t="s">
        <v>75</v>
      </c>
      <c r="B66" s="4" t="s">
        <v>65</v>
      </c>
      <c r="C66" s="240">
        <v>1.0</v>
      </c>
      <c r="D66" s="240">
        <v>1.4688278E7</v>
      </c>
      <c r="E66" s="180">
        <v>851427.0</v>
      </c>
      <c r="F66" s="180">
        <v>1277136.0</v>
      </c>
      <c r="G66" s="360">
        <v>3334500.0</v>
      </c>
      <c r="H66" s="360"/>
      <c r="I66" s="43">
        <f t="shared" si="2"/>
        <v>2.0151342E7</v>
      </c>
      <c r="J66" s="233"/>
    </row>
    <row r="67" spans="8:8">
      <c r="A67" s="3" t="s">
        <v>76</v>
      </c>
      <c r="B67" s="4" t="s">
        <v>65</v>
      </c>
      <c r="C67" s="240">
        <v>1.0</v>
      </c>
      <c r="D67" s="240">
        <v>8948031.0</v>
      </c>
      <c r="E67" s="180">
        <v>851427.0</v>
      </c>
      <c r="F67" s="180">
        <v>1277136.0</v>
      </c>
      <c r="G67" s="360">
        <v>3334500.0</v>
      </c>
      <c r="H67" s="360"/>
      <c r="I67" s="43">
        <f t="shared" si="2"/>
        <v>1.4411095E7</v>
      </c>
      <c r="J67" s="233"/>
    </row>
    <row r="68" spans="8:8">
      <c r="A68" s="3" t="s">
        <v>77</v>
      </c>
      <c r="B68" s="4" t="s">
        <v>65</v>
      </c>
      <c r="C68" s="240">
        <v>1.0</v>
      </c>
      <c r="D68" s="240">
        <v>9522056.0</v>
      </c>
      <c r="E68" s="180">
        <v>851427.0</v>
      </c>
      <c r="F68" s="180">
        <v>1277136.0</v>
      </c>
      <c r="G68" s="360">
        <v>3334500.0</v>
      </c>
      <c r="H68" s="360"/>
      <c r="I68" s="43">
        <f t="shared" si="2"/>
        <v>1.498512E7</v>
      </c>
      <c r="J68" s="233"/>
    </row>
    <row r="69" spans="8:8">
      <c r="A69" s="3" t="s">
        <v>78</v>
      </c>
      <c r="B69" s="4" t="s">
        <v>65</v>
      </c>
      <c r="C69" s="240">
        <v>1.0</v>
      </c>
      <c r="D69" s="240">
        <v>1.0535041E7</v>
      </c>
      <c r="E69" s="180">
        <v>851427.0</v>
      </c>
      <c r="F69" s="180">
        <v>1277136.0</v>
      </c>
      <c r="G69" s="360">
        <v>3334500.0</v>
      </c>
      <c r="H69" s="360"/>
      <c r="I69" s="43">
        <f t="shared" si="2"/>
        <v>1.5998105E7</v>
      </c>
      <c r="J69" s="233"/>
    </row>
    <row r="70" spans="8:8">
      <c r="A70" s="3" t="s">
        <v>79</v>
      </c>
      <c r="B70" s="4" t="s">
        <v>65</v>
      </c>
      <c r="C70" s="240">
        <v>1.0</v>
      </c>
      <c r="D70" s="240">
        <v>1.1615557E7</v>
      </c>
      <c r="E70" s="180">
        <v>851427.0</v>
      </c>
      <c r="F70" s="180">
        <v>1277136.0</v>
      </c>
      <c r="G70" s="360">
        <v>3334500.0</v>
      </c>
      <c r="H70" s="360"/>
      <c r="I70" s="43">
        <f t="shared" si="2"/>
        <v>1.7078621E7</v>
      </c>
      <c r="J70" s="233"/>
    </row>
    <row r="71" spans="8:8">
      <c r="A71" s="3" t="s">
        <v>80</v>
      </c>
      <c r="B71" s="4" t="s">
        <v>65</v>
      </c>
      <c r="C71" s="240">
        <v>1.0</v>
      </c>
      <c r="D71" s="240">
        <v>8948031.0</v>
      </c>
      <c r="E71" s="180">
        <v>851427.0</v>
      </c>
      <c r="F71" s="180">
        <v>1277136.0</v>
      </c>
      <c r="G71" s="360">
        <v>3334500.0</v>
      </c>
      <c r="H71" s="360"/>
      <c r="I71" s="43">
        <f t="shared" si="2"/>
        <v>1.4411095E7</v>
      </c>
      <c r="J71" s="233"/>
    </row>
    <row r="72" spans="8:8">
      <c r="A72" s="3" t="s">
        <v>81</v>
      </c>
      <c r="B72" s="4" t="s">
        <v>65</v>
      </c>
      <c r="C72" s="240">
        <v>1.0</v>
      </c>
      <c r="D72" s="240">
        <v>9522056.0</v>
      </c>
      <c r="E72" s="180">
        <v>851427.0</v>
      </c>
      <c r="F72" s="180">
        <v>1277136.0</v>
      </c>
      <c r="G72" s="360">
        <v>3334500.0</v>
      </c>
      <c r="H72" s="360"/>
      <c r="I72" s="43">
        <f t="shared" si="2"/>
        <v>1.498512E7</v>
      </c>
      <c r="J72" s="233"/>
    </row>
    <row r="73" spans="8:8">
      <c r="A73" s="3" t="s">
        <v>82</v>
      </c>
      <c r="B73" s="4" t="s">
        <v>65</v>
      </c>
      <c r="C73" s="240">
        <v>1.0</v>
      </c>
      <c r="D73" s="240">
        <v>1.7896062E7</v>
      </c>
      <c r="E73" s="180">
        <v>851427.0</v>
      </c>
      <c r="F73" s="180">
        <v>1277136.0</v>
      </c>
      <c r="G73" s="360">
        <v>3334500.0</v>
      </c>
      <c r="H73" s="360"/>
      <c r="I73" s="43">
        <f t="shared" si="2"/>
        <v>2.3359126E7</v>
      </c>
      <c r="J73" s="233"/>
    </row>
    <row r="74" spans="8:8">
      <c r="A74" s="3" t="s">
        <v>83</v>
      </c>
      <c r="B74" s="4" t="s">
        <v>65</v>
      </c>
      <c r="C74" s="240">
        <v>1.0</v>
      </c>
      <c r="D74" s="240">
        <v>1.9044111E7</v>
      </c>
      <c r="E74" s="180">
        <v>851427.0</v>
      </c>
      <c r="F74" s="180">
        <v>1277136.0</v>
      </c>
      <c r="G74" s="360">
        <v>3334500.0</v>
      </c>
      <c r="H74" s="360"/>
      <c r="I74" s="43">
        <f t="shared" si="2"/>
        <v>2.4507175E7</v>
      </c>
      <c r="J74" s="233"/>
    </row>
    <row r="75" spans="8:8">
      <c r="A75" s="3" t="s">
        <v>84</v>
      </c>
      <c r="B75" s="4" t="s">
        <v>65</v>
      </c>
      <c r="C75" s="240">
        <v>1.0</v>
      </c>
      <c r="D75" s="240">
        <v>9522056.0</v>
      </c>
      <c r="E75" s="180">
        <v>851427.0</v>
      </c>
      <c r="F75" s="180">
        <v>1277136.0</v>
      </c>
      <c r="G75" s="360">
        <v>3334500.0</v>
      </c>
      <c r="H75" s="360"/>
      <c r="I75" s="43">
        <f>SUM(C75:H75)</f>
        <v>1.498512E7</v>
      </c>
      <c r="J75" s="233"/>
    </row>
    <row r="76" spans="8:8">
      <c r="A76" s="3" t="s">
        <v>85</v>
      </c>
      <c r="B76" s="4" t="s">
        <v>65</v>
      </c>
      <c r="C76" s="240">
        <v>1.0</v>
      </c>
      <c r="D76" s="240">
        <v>1.9044111E7</v>
      </c>
      <c r="E76" s="180">
        <v>851427.0</v>
      </c>
      <c r="F76" s="180">
        <v>1277136.0</v>
      </c>
      <c r="G76" s="360">
        <v>3334500.0</v>
      </c>
      <c r="H76" s="360"/>
      <c r="I76" s="43">
        <f>SUM(C76:H76)</f>
        <v>2.4507175E7</v>
      </c>
      <c r="J76" s="233"/>
    </row>
    <row r="77" spans="8:8">
      <c r="A77" s="15" t="s">
        <v>86</v>
      </c>
      <c r="B77" s="16" t="s">
        <v>65</v>
      </c>
      <c r="C77" s="240">
        <v>1.0</v>
      </c>
      <c r="D77" s="240">
        <v>9522056.0</v>
      </c>
      <c r="E77" s="180">
        <v>851427.0</v>
      </c>
      <c r="F77" s="180">
        <v>1277136.0</v>
      </c>
      <c r="G77" s="360">
        <v>3334500.0</v>
      </c>
      <c r="H77" s="360"/>
      <c r="I77" s="43">
        <f t="shared" si="3" ref="I77:I114">SUM(C77:G77)</f>
        <v>1.498512E7</v>
      </c>
      <c r="J77" s="233"/>
    </row>
    <row r="78" spans="8:8" s="49" ht="15.0" customFormat="1">
      <c r="A78" s="15" t="s">
        <v>87</v>
      </c>
      <c r="B78" s="16" t="s">
        <v>65</v>
      </c>
      <c r="C78" s="240">
        <v>1.0</v>
      </c>
      <c r="D78" s="240">
        <v>1.0535041E7</v>
      </c>
      <c r="E78" s="180">
        <v>851427.0</v>
      </c>
      <c r="F78" s="180">
        <v>1277136.0</v>
      </c>
      <c r="G78" s="360">
        <v>3334500.0</v>
      </c>
      <c r="H78" s="360"/>
      <c r="I78" s="241">
        <f t="shared" si="3"/>
        <v>1.5998105E7</v>
      </c>
      <c r="J78" s="233"/>
    </row>
    <row r="79" spans="8:8">
      <c r="A79" s="15" t="s">
        <v>88</v>
      </c>
      <c r="B79" s="16" t="s">
        <v>65</v>
      </c>
      <c r="C79" s="240">
        <v>1.0</v>
      </c>
      <c r="D79" s="240">
        <v>1.1615557E7</v>
      </c>
      <c r="E79" s="180">
        <v>851427.0</v>
      </c>
      <c r="F79" s="180">
        <v>1277136.0</v>
      </c>
      <c r="G79" s="360">
        <v>3334500.0</v>
      </c>
      <c r="H79" s="360"/>
      <c r="I79" s="43">
        <f t="shared" si="3"/>
        <v>1.7078621E7</v>
      </c>
      <c r="J79" s="233"/>
    </row>
    <row r="80" spans="8:8">
      <c r="A80" s="15" t="s">
        <v>89</v>
      </c>
      <c r="B80" s="16" t="s">
        <v>65</v>
      </c>
      <c r="C80" s="240">
        <v>1.0</v>
      </c>
      <c r="D80" s="240">
        <v>1.3168801E7</v>
      </c>
      <c r="E80" s="180">
        <v>851427.0</v>
      </c>
      <c r="F80" s="180">
        <v>1277136.0</v>
      </c>
      <c r="G80" s="360">
        <v>3334500.0</v>
      </c>
      <c r="H80" s="360"/>
      <c r="I80" s="43">
        <f t="shared" si="3"/>
        <v>1.8631865E7</v>
      </c>
      <c r="J80" s="233"/>
    </row>
    <row r="81" spans="8:8">
      <c r="A81" s="15" t="s">
        <v>90</v>
      </c>
      <c r="B81" s="16" t="s">
        <v>65</v>
      </c>
      <c r="C81" s="240">
        <v>1.0</v>
      </c>
      <c r="D81" s="240">
        <v>1.4148019E7</v>
      </c>
      <c r="E81" s="180">
        <v>851427.0</v>
      </c>
      <c r="F81" s="180">
        <v>1277136.0</v>
      </c>
      <c r="G81" s="360">
        <v>3334500.0</v>
      </c>
      <c r="H81" s="360"/>
      <c r="I81" s="43">
        <f t="shared" si="3"/>
        <v>1.9611083E7</v>
      </c>
      <c r="J81" s="233"/>
    </row>
    <row r="82" spans="8:8">
      <c r="A82" s="15" t="s">
        <v>91</v>
      </c>
      <c r="B82" s="16" t="s">
        <v>65</v>
      </c>
      <c r="C82" s="240">
        <v>1.0</v>
      </c>
      <c r="D82" s="240">
        <v>1.4992173E7</v>
      </c>
      <c r="E82" s="180">
        <v>851427.0</v>
      </c>
      <c r="F82" s="180">
        <v>1277136.0</v>
      </c>
      <c r="G82" s="360">
        <v>3334500.0</v>
      </c>
      <c r="H82" s="360"/>
      <c r="I82" s="43">
        <f t="shared" si="3"/>
        <v>2.0455237E7</v>
      </c>
      <c r="J82" s="233"/>
    </row>
    <row r="83" spans="8:8">
      <c r="A83" s="15" t="s">
        <v>92</v>
      </c>
      <c r="B83" s="16" t="s">
        <v>65</v>
      </c>
      <c r="C83" s="240">
        <v>1.0</v>
      </c>
      <c r="D83" s="240">
        <v>8948031.0</v>
      </c>
      <c r="E83" s="180">
        <v>851427.0</v>
      </c>
      <c r="F83" s="180">
        <v>1277136.0</v>
      </c>
      <c r="G83" s="360">
        <v>3334500.0</v>
      </c>
      <c r="H83" s="360"/>
      <c r="I83" s="43">
        <f t="shared" si="3"/>
        <v>1.4411095E7</v>
      </c>
      <c r="J83" s="233"/>
    </row>
    <row r="84" spans="8:8">
      <c r="A84" s="15" t="s">
        <v>93</v>
      </c>
      <c r="B84" s="16" t="s">
        <v>65</v>
      </c>
      <c r="C84" s="240">
        <v>1.0</v>
      </c>
      <c r="D84" s="240">
        <v>9522056.0</v>
      </c>
      <c r="E84" s="180">
        <v>851427.0</v>
      </c>
      <c r="F84" s="180">
        <v>1277136.0</v>
      </c>
      <c r="G84" s="360">
        <v>3334500.0</v>
      </c>
      <c r="H84" s="360"/>
      <c r="I84" s="43">
        <f t="shared" si="3"/>
        <v>1.498512E7</v>
      </c>
      <c r="J84" s="233"/>
    </row>
    <row r="85" spans="8:8">
      <c r="A85" s="15" t="s">
        <v>94</v>
      </c>
      <c r="B85" s="16" t="s">
        <v>65</v>
      </c>
      <c r="C85" s="240">
        <v>1.0</v>
      </c>
      <c r="D85" s="240">
        <v>1.1615557E7</v>
      </c>
      <c r="E85" s="180">
        <v>851427.0</v>
      </c>
      <c r="F85" s="180">
        <v>1277136.0</v>
      </c>
      <c r="G85" s="360">
        <v>3334500.0</v>
      </c>
      <c r="H85" s="360"/>
      <c r="I85" s="43">
        <f t="shared" si="3"/>
        <v>1.7078621E7</v>
      </c>
      <c r="J85" s="233"/>
    </row>
    <row r="86" spans="8:8">
      <c r="A86" s="15" t="s">
        <v>95</v>
      </c>
      <c r="B86" s="16" t="s">
        <v>65</v>
      </c>
      <c r="C86" s="240">
        <v>1.0</v>
      </c>
      <c r="D86" s="240">
        <v>9522056.0</v>
      </c>
      <c r="E86" s="180">
        <v>851427.0</v>
      </c>
      <c r="F86" s="180">
        <v>1277136.0</v>
      </c>
      <c r="G86" s="360">
        <v>3334500.0</v>
      </c>
      <c r="H86" s="360"/>
      <c r="I86" s="43">
        <f t="shared" si="3"/>
        <v>1.498512E7</v>
      </c>
      <c r="J86" s="233"/>
    </row>
    <row r="87" spans="8:8">
      <c r="A87" s="15" t="s">
        <v>96</v>
      </c>
      <c r="B87" s="16" t="s">
        <v>65</v>
      </c>
      <c r="C87" s="240">
        <v>1.0</v>
      </c>
      <c r="D87" s="240">
        <v>1.1615557E7</v>
      </c>
      <c r="E87" s="180">
        <v>851427.0</v>
      </c>
      <c r="F87" s="180">
        <v>1277136.0</v>
      </c>
      <c r="G87" s="360">
        <v>3334500.0</v>
      </c>
      <c r="H87" s="360"/>
      <c r="I87" s="43">
        <f t="shared" si="3"/>
        <v>1.7078621E7</v>
      </c>
      <c r="J87" s="233"/>
    </row>
    <row r="88" spans="8:8">
      <c r="A88" s="15" t="s">
        <v>97</v>
      </c>
      <c r="B88" s="16" t="s">
        <v>65</v>
      </c>
      <c r="C88" s="240">
        <v>1.0</v>
      </c>
      <c r="D88" s="240">
        <v>8948031.0</v>
      </c>
      <c r="E88" s="180">
        <v>851427.0</v>
      </c>
      <c r="F88" s="180">
        <v>1277136.0</v>
      </c>
      <c r="G88" s="360">
        <v>3334500.0</v>
      </c>
      <c r="H88" s="360"/>
      <c r="I88" s="43">
        <f t="shared" si="3"/>
        <v>1.4411095E7</v>
      </c>
      <c r="J88" s="233"/>
    </row>
    <row r="89" spans="8:8">
      <c r="A89" s="15" t="s">
        <v>98</v>
      </c>
      <c r="B89" s="16" t="s">
        <v>65</v>
      </c>
      <c r="C89" s="240">
        <v>1.0</v>
      </c>
      <c r="D89" s="240">
        <v>9522056.0</v>
      </c>
      <c r="E89" s="180">
        <v>851427.0</v>
      </c>
      <c r="F89" s="180">
        <v>1277136.0</v>
      </c>
      <c r="G89" s="360">
        <v>3334500.0</v>
      </c>
      <c r="H89" s="360"/>
      <c r="I89" s="43">
        <f t="shared" si="3"/>
        <v>1.498512E7</v>
      </c>
      <c r="J89" s="233"/>
    </row>
    <row r="90" spans="8:8" s="49" ht="15.0" customFormat="1">
      <c r="A90" s="15" t="s">
        <v>99</v>
      </c>
      <c r="B90" s="16" t="s">
        <v>65</v>
      </c>
      <c r="C90" s="240">
        <v>1.0</v>
      </c>
      <c r="D90" s="240">
        <v>1.1615557E7</v>
      </c>
      <c r="E90" s="180">
        <v>851427.0</v>
      </c>
      <c r="F90" s="180">
        <v>1277136.0</v>
      </c>
      <c r="G90" s="360">
        <v>3334500.0</v>
      </c>
      <c r="H90" s="360"/>
      <c r="I90" s="43">
        <f t="shared" si="3"/>
        <v>1.7078621E7</v>
      </c>
      <c r="J90" s="233"/>
    </row>
    <row r="91" spans="8:8">
      <c r="A91" s="15" t="s">
        <v>100</v>
      </c>
      <c r="B91" s="16" t="s">
        <v>65</v>
      </c>
      <c r="C91" s="240">
        <v>1.0</v>
      </c>
      <c r="D91" s="240">
        <v>1.4148019E7</v>
      </c>
      <c r="E91" s="180">
        <v>851427.0</v>
      </c>
      <c r="F91" s="180">
        <v>1277136.0</v>
      </c>
      <c r="G91" s="360">
        <v>3334500.0</v>
      </c>
      <c r="H91" s="360"/>
      <c r="I91" s="43">
        <f t="shared" si="3"/>
        <v>1.9611083E7</v>
      </c>
      <c r="J91" s="233"/>
    </row>
    <row r="92" spans="8:8">
      <c r="A92" s="15" t="s">
        <v>101</v>
      </c>
      <c r="B92" s="16" t="s">
        <v>65</v>
      </c>
      <c r="C92" s="240">
        <v>1.0</v>
      </c>
      <c r="D92" s="240">
        <v>1.4992173E7</v>
      </c>
      <c r="E92" s="180">
        <v>851427.0</v>
      </c>
      <c r="F92" s="180">
        <v>1277136.0</v>
      </c>
      <c r="G92" s="360">
        <v>3334500.0</v>
      </c>
      <c r="H92" s="360"/>
      <c r="I92" s="43">
        <f t="shared" si="3"/>
        <v>2.0455237E7</v>
      </c>
      <c r="J92" s="233"/>
    </row>
    <row r="93" spans="8:8">
      <c r="A93" s="15" t="s">
        <v>102</v>
      </c>
      <c r="B93" s="16" t="s">
        <v>65</v>
      </c>
      <c r="C93" s="240">
        <v>1.0</v>
      </c>
      <c r="D93" s="240">
        <v>9420757.0</v>
      </c>
      <c r="E93" s="180">
        <v>851427.0</v>
      </c>
      <c r="F93" s="180">
        <v>1277136.0</v>
      </c>
      <c r="G93" s="360">
        <v>3334500.0</v>
      </c>
      <c r="H93" s="360"/>
      <c r="I93" s="43">
        <f t="shared" si="3"/>
        <v>1.4883821E7</v>
      </c>
      <c r="J93" s="233"/>
    </row>
    <row r="94" spans="8:8">
      <c r="A94" s="15" t="s">
        <v>103</v>
      </c>
      <c r="B94" s="16" t="s">
        <v>65</v>
      </c>
      <c r="C94" s="240">
        <v>1.0</v>
      </c>
      <c r="D94" s="240">
        <v>8948031.0</v>
      </c>
      <c r="E94" s="180">
        <v>851427.0</v>
      </c>
      <c r="F94" s="180">
        <v>1277136.0</v>
      </c>
      <c r="G94" s="360">
        <v>3334500.0</v>
      </c>
      <c r="H94" s="360"/>
      <c r="I94" s="43">
        <f t="shared" si="3"/>
        <v>1.4411095E7</v>
      </c>
      <c r="J94" s="233"/>
    </row>
    <row r="95" spans="8:8">
      <c r="A95" s="15" t="s">
        <v>104</v>
      </c>
      <c r="B95" s="16" t="s">
        <v>65</v>
      </c>
      <c r="C95" s="240">
        <v>1.0</v>
      </c>
      <c r="D95" s="240">
        <v>9522056.0</v>
      </c>
      <c r="E95" s="180">
        <v>851427.0</v>
      </c>
      <c r="F95" s="180">
        <v>1277136.0</v>
      </c>
      <c r="G95" s="360">
        <v>3334500.0</v>
      </c>
      <c r="H95" s="360"/>
      <c r="I95" s="43">
        <f t="shared" si="3"/>
        <v>1.498512E7</v>
      </c>
      <c r="J95" s="233"/>
    </row>
    <row r="96" spans="8:8" s="49" ht="15.0" customFormat="1">
      <c r="A96" s="3" t="s">
        <v>105</v>
      </c>
      <c r="B96" s="4" t="s">
        <v>65</v>
      </c>
      <c r="C96" s="240">
        <v>1.0</v>
      </c>
      <c r="D96" s="240">
        <v>1.0535041E7</v>
      </c>
      <c r="E96" s="180">
        <v>851427.0</v>
      </c>
      <c r="F96" s="180">
        <v>1277136.0</v>
      </c>
      <c r="G96" s="360">
        <v>3334500.0</v>
      </c>
      <c r="H96" s="360"/>
      <c r="I96" s="241">
        <f t="shared" si="3"/>
        <v>1.5998105E7</v>
      </c>
      <c r="J96" s="233"/>
    </row>
    <row r="97" spans="8:8">
      <c r="A97" s="3" t="s">
        <v>108</v>
      </c>
      <c r="B97" s="4" t="s">
        <v>65</v>
      </c>
      <c r="C97" s="240">
        <v>1.0</v>
      </c>
      <c r="D97" s="240">
        <v>9522056.0</v>
      </c>
      <c r="E97" s="180">
        <v>851427.0</v>
      </c>
      <c r="F97" s="180">
        <v>1277136.0</v>
      </c>
      <c r="G97" s="360">
        <v>3334500.0</v>
      </c>
      <c r="H97" s="360"/>
      <c r="I97" s="43">
        <f t="shared" si="3"/>
        <v>1.498512E7</v>
      </c>
      <c r="J97" s="233"/>
    </row>
    <row r="98" spans="8:8">
      <c r="A98" s="3" t="s">
        <v>109</v>
      </c>
      <c r="B98" s="4" t="s">
        <v>65</v>
      </c>
      <c r="C98" s="240">
        <v>1.0</v>
      </c>
      <c r="D98" s="240">
        <v>1.0535041E7</v>
      </c>
      <c r="E98" s="180">
        <v>851427.0</v>
      </c>
      <c r="F98" s="180">
        <v>1277136.0</v>
      </c>
      <c r="G98" s="360">
        <v>3334500.0</v>
      </c>
      <c r="H98" s="360"/>
      <c r="I98" s="43">
        <f t="shared" si="3"/>
        <v>1.5998105E7</v>
      </c>
      <c r="J98" s="233"/>
    </row>
    <row r="99" spans="8:8">
      <c r="A99" s="3" t="s">
        <v>110</v>
      </c>
      <c r="B99" s="4" t="s">
        <v>65</v>
      </c>
      <c r="C99" s="240">
        <v>3.1102929E7</v>
      </c>
      <c r="D99" s="240">
        <v>8745434.0</v>
      </c>
      <c r="E99" s="180">
        <v>851427.0</v>
      </c>
      <c r="F99" s="180">
        <v>1277136.0</v>
      </c>
      <c r="G99" s="360">
        <v>3334500.0</v>
      </c>
      <c r="H99" s="360"/>
      <c r="I99" s="43">
        <f t="shared" si="3"/>
        <v>4.5311426E7</v>
      </c>
      <c r="J99" s="233"/>
    </row>
    <row r="100" spans="8:8">
      <c r="A100" s="3" t="s">
        <v>111</v>
      </c>
      <c r="B100" s="4" t="s">
        <v>65</v>
      </c>
      <c r="C100" s="240">
        <v>1.0</v>
      </c>
      <c r="D100" s="240">
        <v>8948031.0</v>
      </c>
      <c r="E100" s="180">
        <v>851427.0</v>
      </c>
      <c r="F100" s="180">
        <v>1277136.0</v>
      </c>
      <c r="G100" s="360">
        <v>3334500.0</v>
      </c>
      <c r="H100" s="360"/>
      <c r="I100" s="43">
        <f t="shared" si="3"/>
        <v>1.4411095E7</v>
      </c>
      <c r="J100" s="233"/>
    </row>
    <row r="101" spans="8:8">
      <c r="A101" s="3" t="s">
        <v>112</v>
      </c>
      <c r="B101" s="4" t="s">
        <v>65</v>
      </c>
      <c r="C101" s="240">
        <v>1.0</v>
      </c>
      <c r="D101" s="240">
        <v>9522056.0</v>
      </c>
      <c r="E101" s="180">
        <v>851427.0</v>
      </c>
      <c r="F101" s="180">
        <v>1277136.0</v>
      </c>
      <c r="G101" s="360">
        <v>3334500.0</v>
      </c>
      <c r="H101" s="360"/>
      <c r="I101" s="43">
        <f t="shared" si="3"/>
        <v>1.498512E7</v>
      </c>
      <c r="J101" s="233"/>
    </row>
    <row r="102" spans="8:8">
      <c r="A102" s="3" t="s">
        <v>113</v>
      </c>
      <c r="B102" s="4" t="s">
        <v>65</v>
      </c>
      <c r="C102" s="240">
        <v>1.0</v>
      </c>
      <c r="D102" s="240">
        <v>1.0535041E7</v>
      </c>
      <c r="E102" s="180">
        <v>851427.0</v>
      </c>
      <c r="F102" s="180">
        <v>1277136.0</v>
      </c>
      <c r="G102" s="360">
        <v>3334500.0</v>
      </c>
      <c r="H102" s="360"/>
      <c r="I102" s="43">
        <f t="shared" si="3"/>
        <v>1.5998105E7</v>
      </c>
      <c r="J102" s="233"/>
    </row>
    <row r="103" spans="8:8">
      <c r="A103" s="3" t="s">
        <v>114</v>
      </c>
      <c r="B103" s="4" t="s">
        <v>65</v>
      </c>
      <c r="C103" s="240">
        <v>1.0</v>
      </c>
      <c r="D103" s="240">
        <v>8948031.0</v>
      </c>
      <c r="E103" s="180">
        <v>851427.0</v>
      </c>
      <c r="F103" s="180">
        <v>1277136.0</v>
      </c>
      <c r="G103" s="360">
        <v>3334500.0</v>
      </c>
      <c r="H103" s="360"/>
      <c r="I103" s="43">
        <f t="shared" si="3"/>
        <v>1.4411095E7</v>
      </c>
      <c r="J103" s="233"/>
    </row>
    <row r="104" spans="8:8">
      <c r="A104" s="3" t="s">
        <v>115</v>
      </c>
      <c r="B104" s="4" t="s">
        <v>65</v>
      </c>
      <c r="C104" s="240">
        <v>1.0</v>
      </c>
      <c r="D104" s="240">
        <v>9522056.0</v>
      </c>
      <c r="E104" s="180">
        <v>851427.0</v>
      </c>
      <c r="F104" s="180">
        <v>1277136.0</v>
      </c>
      <c r="G104" s="360">
        <v>3334500.0</v>
      </c>
      <c r="H104" s="360"/>
      <c r="I104" s="43">
        <f t="shared" si="3"/>
        <v>1.498512E7</v>
      </c>
      <c r="J104" s="233"/>
    </row>
    <row r="105" spans="8:8">
      <c r="A105" s="3" t="s">
        <v>116</v>
      </c>
      <c r="B105" s="4" t="s">
        <v>65</v>
      </c>
      <c r="C105" s="240">
        <v>1.0</v>
      </c>
      <c r="D105" s="240">
        <v>1.0535041E7</v>
      </c>
      <c r="E105" s="180">
        <v>851427.0</v>
      </c>
      <c r="F105" s="180">
        <v>1277136.0</v>
      </c>
      <c r="G105" s="360">
        <v>3334500.0</v>
      </c>
      <c r="H105" s="360"/>
      <c r="I105" s="43">
        <f t="shared" si="3"/>
        <v>1.5998105E7</v>
      </c>
      <c r="J105" s="233"/>
    </row>
    <row r="106" spans="8:8">
      <c r="A106" s="3" t="s">
        <v>117</v>
      </c>
      <c r="B106" s="4" t="s">
        <v>65</v>
      </c>
      <c r="C106" s="240">
        <v>1.0</v>
      </c>
      <c r="D106" s="240">
        <v>9522056.0</v>
      </c>
      <c r="E106" s="180">
        <v>851427.0</v>
      </c>
      <c r="F106" s="180">
        <v>1277136.0</v>
      </c>
      <c r="G106" s="360">
        <v>3334500.0</v>
      </c>
      <c r="H106" s="360"/>
      <c r="I106" s="43">
        <f t="shared" si="3"/>
        <v>1.498512E7</v>
      </c>
      <c r="J106" s="233"/>
    </row>
    <row r="107" spans="8:8">
      <c r="A107" s="3" t="s">
        <v>118</v>
      </c>
      <c r="B107" s="4" t="s">
        <v>65</v>
      </c>
      <c r="C107" s="240">
        <v>1.0</v>
      </c>
      <c r="D107" s="240">
        <v>8948031.0</v>
      </c>
      <c r="E107" s="180">
        <v>851427.0</v>
      </c>
      <c r="F107" s="180">
        <v>1277136.0</v>
      </c>
      <c r="G107" s="360">
        <v>3334500.0</v>
      </c>
      <c r="H107" s="360"/>
      <c r="I107" s="43">
        <f t="shared" si="3"/>
        <v>1.4411095E7</v>
      </c>
      <c r="J107" s="233"/>
    </row>
    <row r="108" spans="8:8">
      <c r="A108" s="3" t="s">
        <v>119</v>
      </c>
      <c r="B108" s="4" t="s">
        <v>65</v>
      </c>
      <c r="C108" s="240">
        <v>1.0</v>
      </c>
      <c r="D108" s="240">
        <v>9522056.0</v>
      </c>
      <c r="E108" s="180">
        <v>851427.0</v>
      </c>
      <c r="F108" s="180">
        <v>1277136.0</v>
      </c>
      <c r="G108" s="360">
        <v>3334500.0</v>
      </c>
      <c r="H108" s="360"/>
      <c r="I108" s="43">
        <f t="shared" si="3"/>
        <v>1.498512E7</v>
      </c>
      <c r="J108" s="233"/>
    </row>
    <row r="109" spans="8:8">
      <c r="A109" s="3" t="s">
        <v>120</v>
      </c>
      <c r="B109" s="4" t="s">
        <v>65</v>
      </c>
      <c r="C109" s="240">
        <v>1.0</v>
      </c>
      <c r="D109" s="240">
        <v>1.7896062E7</v>
      </c>
      <c r="E109" s="180">
        <v>851427.0</v>
      </c>
      <c r="F109" s="180">
        <v>1277136.0</v>
      </c>
      <c r="G109" s="360">
        <v>3334500.0</v>
      </c>
      <c r="H109" s="360"/>
      <c r="I109" s="43">
        <f t="shared" si="3"/>
        <v>2.3359126E7</v>
      </c>
      <c r="J109" s="233"/>
    </row>
    <row r="110" spans="8:8">
      <c r="A110" s="3" t="s">
        <v>121</v>
      </c>
      <c r="B110" s="4" t="s">
        <v>65</v>
      </c>
      <c r="C110" s="240">
        <v>1.0</v>
      </c>
      <c r="D110" s="240">
        <v>1.9044111E7</v>
      </c>
      <c r="E110" s="180">
        <v>851427.0</v>
      </c>
      <c r="F110" s="180">
        <v>1277136.0</v>
      </c>
      <c r="G110" s="360">
        <v>3334500.0</v>
      </c>
      <c r="H110" s="360"/>
      <c r="I110" s="43">
        <f t="shared" si="3"/>
        <v>2.4507175E7</v>
      </c>
      <c r="J110" s="233"/>
    </row>
    <row r="111" spans="8:8">
      <c r="A111" s="3" t="s">
        <v>122</v>
      </c>
      <c r="B111" s="4" t="s">
        <v>65</v>
      </c>
      <c r="C111" s="240">
        <v>1.0</v>
      </c>
      <c r="D111" s="240">
        <v>8948031.0</v>
      </c>
      <c r="E111" s="180">
        <v>851427.0</v>
      </c>
      <c r="F111" s="180">
        <v>1277136.0</v>
      </c>
      <c r="G111" s="360">
        <v>3334500.0</v>
      </c>
      <c r="H111" s="360"/>
      <c r="I111" s="43">
        <f t="shared" si="3"/>
        <v>1.4411095E7</v>
      </c>
      <c r="J111" s="233"/>
    </row>
    <row r="112" spans="8:8">
      <c r="A112" s="3" t="s">
        <v>123</v>
      </c>
      <c r="B112" s="4" t="s">
        <v>65</v>
      </c>
      <c r="C112" s="240">
        <v>1.0</v>
      </c>
      <c r="D112" s="240">
        <v>9522056.0</v>
      </c>
      <c r="E112" s="180">
        <v>851427.0</v>
      </c>
      <c r="F112" s="180">
        <v>1277136.0</v>
      </c>
      <c r="G112" s="360">
        <v>3334500.0</v>
      </c>
      <c r="H112" s="360"/>
      <c r="I112" s="43">
        <f t="shared" si="3"/>
        <v>1.498512E7</v>
      </c>
      <c r="J112" s="233"/>
    </row>
    <row r="113" spans="8:8">
      <c r="A113" s="3" t="s">
        <v>124</v>
      </c>
      <c r="B113" s="4" t="s">
        <v>65</v>
      </c>
      <c r="C113" s="240">
        <v>1.0</v>
      </c>
      <c r="D113" s="240">
        <v>1.0535041E7</v>
      </c>
      <c r="E113" s="180">
        <v>851427.0</v>
      </c>
      <c r="F113" s="180">
        <v>1277136.0</v>
      </c>
      <c r="G113" s="360">
        <v>3334500.0</v>
      </c>
      <c r="H113" s="360"/>
      <c r="I113" s="43">
        <f t="shared" si="3"/>
        <v>1.5998105E7</v>
      </c>
      <c r="J113" s="233"/>
    </row>
    <row r="114" spans="8:8">
      <c r="A114" s="3" t="s">
        <v>125</v>
      </c>
      <c r="B114" s="4" t="s">
        <v>65</v>
      </c>
      <c r="C114" s="240">
        <v>1.0</v>
      </c>
      <c r="D114" s="240">
        <v>1.1615557E7</v>
      </c>
      <c r="E114" s="180">
        <v>851427.0</v>
      </c>
      <c r="F114" s="180">
        <v>1277136.0</v>
      </c>
      <c r="G114" s="360">
        <v>3334500.0</v>
      </c>
      <c r="H114" s="360"/>
      <c r="I114" s="43">
        <f t="shared" si="3"/>
        <v>1.7078621E7</v>
      </c>
      <c r="J114" s="233"/>
    </row>
    <row r="115" spans="8:8">
      <c r="A115" s="3" t="s">
        <v>126</v>
      </c>
      <c r="B115" s="4" t="s">
        <v>65</v>
      </c>
      <c r="C115" s="240">
        <v>1.0</v>
      </c>
      <c r="D115" s="240">
        <v>1.3168801E7</v>
      </c>
      <c r="E115" s="180">
        <v>851427.0</v>
      </c>
      <c r="F115" s="180">
        <v>1277136.0</v>
      </c>
      <c r="G115" s="360">
        <v>3334500.0</v>
      </c>
      <c r="H115" s="360"/>
      <c r="I115" s="43">
        <f t="shared" si="4" ref="I115:I178">SUM(C115:H115)</f>
        <v>1.8631865E7</v>
      </c>
      <c r="J115" s="233"/>
    </row>
    <row r="116" spans="8:8">
      <c r="A116" s="3" t="s">
        <v>127</v>
      </c>
      <c r="B116" s="4" t="s">
        <v>65</v>
      </c>
      <c r="C116" s="240">
        <v>1.0</v>
      </c>
      <c r="D116" s="240">
        <v>1.7896062E7</v>
      </c>
      <c r="E116" s="180">
        <v>851427.0</v>
      </c>
      <c r="F116" s="180">
        <v>1277136.0</v>
      </c>
      <c r="G116" s="360">
        <v>3334500.0</v>
      </c>
      <c r="H116" s="360"/>
      <c r="I116" s="43">
        <f t="shared" si="4"/>
        <v>2.3359126E7</v>
      </c>
      <c r="J116" s="233"/>
    </row>
    <row r="117" spans="8:8">
      <c r="A117" s="3" t="s">
        <v>128</v>
      </c>
      <c r="B117" s="4" t="s">
        <v>65</v>
      </c>
      <c r="C117" s="240">
        <v>1.0</v>
      </c>
      <c r="D117" s="240">
        <v>1.9044111E7</v>
      </c>
      <c r="E117" s="180">
        <v>851427.0</v>
      </c>
      <c r="F117" s="180">
        <v>1277136.0</v>
      </c>
      <c r="G117" s="360">
        <v>3334500.0</v>
      </c>
      <c r="H117" s="360"/>
      <c r="I117" s="43">
        <f t="shared" si="4"/>
        <v>2.4507175E7</v>
      </c>
      <c r="J117" s="233"/>
    </row>
    <row r="118" spans="8:8">
      <c r="A118" s="3" t="s">
        <v>129</v>
      </c>
      <c r="B118" s="4" t="s">
        <v>65</v>
      </c>
      <c r="C118" s="240">
        <v>1.0</v>
      </c>
      <c r="D118" s="240">
        <v>2.1070081E7</v>
      </c>
      <c r="E118" s="180">
        <v>851427.0</v>
      </c>
      <c r="F118" s="180">
        <v>1277136.0</v>
      </c>
      <c r="G118" s="360">
        <v>3334500.0</v>
      </c>
      <c r="H118" s="360"/>
      <c r="I118" s="43">
        <f t="shared" si="4"/>
        <v>2.6533145E7</v>
      </c>
      <c r="J118" s="233"/>
    </row>
    <row r="119" spans="8:8">
      <c r="A119" s="3" t="s">
        <v>130</v>
      </c>
      <c r="B119" s="4" t="s">
        <v>65</v>
      </c>
      <c r="C119" s="240">
        <v>1.0</v>
      </c>
      <c r="D119" s="240">
        <v>2.3231114E7</v>
      </c>
      <c r="E119" s="180">
        <v>851427.0</v>
      </c>
      <c r="F119" s="180">
        <v>1277136.0</v>
      </c>
      <c r="G119" s="360">
        <v>3334500.0</v>
      </c>
      <c r="H119" s="360"/>
      <c r="I119" s="43">
        <f t="shared" si="4"/>
        <v>2.8694178E7</v>
      </c>
      <c r="J119" s="233"/>
    </row>
    <row r="120" spans="8:8">
      <c r="A120" s="3" t="s">
        <v>131</v>
      </c>
      <c r="B120" s="4" t="s">
        <v>65</v>
      </c>
      <c r="C120" s="240">
        <v>1.0</v>
      </c>
      <c r="D120" s="240">
        <v>2.6337601E7</v>
      </c>
      <c r="E120" s="180">
        <v>851427.0</v>
      </c>
      <c r="F120" s="180">
        <v>1277136.0</v>
      </c>
      <c r="G120" s="360">
        <v>3334500.0</v>
      </c>
      <c r="H120" s="360"/>
      <c r="I120" s="43">
        <f t="shared" si="4"/>
        <v>3.1800665E7</v>
      </c>
      <c r="J120" s="233"/>
    </row>
    <row r="121" spans="8:8">
      <c r="A121" s="3" t="s">
        <v>132</v>
      </c>
      <c r="B121" s="4" t="s">
        <v>65</v>
      </c>
      <c r="C121" s="240">
        <v>1.0</v>
      </c>
      <c r="D121" s="240">
        <v>8948031.0</v>
      </c>
      <c r="E121" s="180">
        <v>851427.0</v>
      </c>
      <c r="F121" s="180">
        <v>1277136.0</v>
      </c>
      <c r="G121" s="360">
        <v>3334500.0</v>
      </c>
      <c r="H121" s="360"/>
      <c r="I121" s="43">
        <f t="shared" si="4"/>
        <v>1.4411095E7</v>
      </c>
      <c r="J121" s="233"/>
    </row>
    <row r="122" spans="8:8">
      <c r="A122" s="3" t="s">
        <v>133</v>
      </c>
      <c r="B122" s="4" t="s">
        <v>65</v>
      </c>
      <c r="C122" s="240">
        <v>1.0</v>
      </c>
      <c r="D122" s="240">
        <v>9522056.0</v>
      </c>
      <c r="E122" s="180">
        <v>851427.0</v>
      </c>
      <c r="F122" s="180">
        <v>1277136.0</v>
      </c>
      <c r="G122" s="360">
        <v>3334500.0</v>
      </c>
      <c r="H122" s="360"/>
      <c r="I122" s="43">
        <f t="shared" si="4"/>
        <v>1.498512E7</v>
      </c>
      <c r="J122" s="233"/>
    </row>
    <row r="123" spans="8:8">
      <c r="A123" s="3" t="s">
        <v>134</v>
      </c>
      <c r="B123" s="4" t="s">
        <v>65</v>
      </c>
      <c r="C123" s="240">
        <v>1.0</v>
      </c>
      <c r="D123" s="240">
        <v>1.0535041E7</v>
      </c>
      <c r="E123" s="180">
        <v>851427.0</v>
      </c>
      <c r="F123" s="180">
        <v>1277136.0</v>
      </c>
      <c r="G123" s="360">
        <v>3334500.0</v>
      </c>
      <c r="H123" s="360"/>
      <c r="I123" s="43">
        <f t="shared" si="4"/>
        <v>1.5998105E7</v>
      </c>
      <c r="J123" s="233"/>
    </row>
    <row r="124" spans="8:8">
      <c r="A124" s="3" t="s">
        <v>135</v>
      </c>
      <c r="B124" s="4" t="s">
        <v>65</v>
      </c>
      <c r="C124" s="240">
        <v>1.0</v>
      </c>
      <c r="D124" s="240">
        <v>8948031.0</v>
      </c>
      <c r="E124" s="180">
        <v>851427.0</v>
      </c>
      <c r="F124" s="180">
        <v>1277136.0</v>
      </c>
      <c r="G124" s="360">
        <v>3334500.0</v>
      </c>
      <c r="H124" s="360"/>
      <c r="I124" s="43">
        <f t="shared" si="4"/>
        <v>1.4411095E7</v>
      </c>
      <c r="J124" s="233"/>
    </row>
    <row r="125" spans="8:8">
      <c r="A125" s="3" t="s">
        <v>136</v>
      </c>
      <c r="B125" s="4" t="s">
        <v>65</v>
      </c>
      <c r="C125" s="240">
        <v>1.0</v>
      </c>
      <c r="D125" s="240">
        <v>9522056.0</v>
      </c>
      <c r="E125" s="180">
        <v>851427.0</v>
      </c>
      <c r="F125" s="180">
        <v>1277136.0</v>
      </c>
      <c r="G125" s="360">
        <v>3334500.0</v>
      </c>
      <c r="H125" s="360"/>
      <c r="I125" s="43">
        <f t="shared" si="4"/>
        <v>1.498512E7</v>
      </c>
      <c r="J125" s="233"/>
    </row>
    <row r="126" spans="8:8">
      <c r="A126" s="3" t="s">
        <v>137</v>
      </c>
      <c r="B126" s="4" t="s">
        <v>65</v>
      </c>
      <c r="C126" s="240">
        <v>1.0</v>
      </c>
      <c r="D126" s="240">
        <v>1.7896062E7</v>
      </c>
      <c r="E126" s="180">
        <v>851427.0</v>
      </c>
      <c r="F126" s="180">
        <v>1277136.0</v>
      </c>
      <c r="G126" s="360">
        <v>3334500.0</v>
      </c>
      <c r="H126" s="360"/>
      <c r="I126" s="43">
        <f t="shared" si="4"/>
        <v>2.3359126E7</v>
      </c>
      <c r="J126" s="233"/>
    </row>
    <row r="127" spans="8:8">
      <c r="A127" s="3" t="s">
        <v>138</v>
      </c>
      <c r="B127" s="4" t="s">
        <v>65</v>
      </c>
      <c r="C127" s="240">
        <v>1.0</v>
      </c>
      <c r="D127" s="240">
        <v>1.9044111E7</v>
      </c>
      <c r="E127" s="180">
        <v>851427.0</v>
      </c>
      <c r="F127" s="180">
        <v>1277136.0</v>
      </c>
      <c r="G127" s="360">
        <v>3334500.0</v>
      </c>
      <c r="H127" s="360"/>
      <c r="I127" s="43">
        <f t="shared" si="4"/>
        <v>2.4507175E7</v>
      </c>
      <c r="J127" s="233"/>
    </row>
    <row r="128" spans="8:8">
      <c r="A128" s="3" t="s">
        <v>139</v>
      </c>
      <c r="B128" s="4" t="s">
        <v>65</v>
      </c>
      <c r="C128" s="240">
        <v>1.0</v>
      </c>
      <c r="D128" s="240">
        <v>8948031.0</v>
      </c>
      <c r="E128" s="180">
        <v>851427.0</v>
      </c>
      <c r="F128" s="180">
        <v>1277136.0</v>
      </c>
      <c r="G128" s="360">
        <v>3334500.0</v>
      </c>
      <c r="H128" s="360"/>
      <c r="I128" s="43">
        <f t="shared" si="4"/>
        <v>1.4411095E7</v>
      </c>
      <c r="J128" s="233"/>
    </row>
    <row r="129" spans="8:8">
      <c r="A129" s="3" t="s">
        <v>140</v>
      </c>
      <c r="B129" s="4" t="s">
        <v>65</v>
      </c>
      <c r="C129" s="240">
        <v>1.0</v>
      </c>
      <c r="D129" s="240">
        <v>9522056.0</v>
      </c>
      <c r="E129" s="180">
        <v>851427.0</v>
      </c>
      <c r="F129" s="180">
        <v>1277136.0</v>
      </c>
      <c r="G129" s="360">
        <v>3334500.0</v>
      </c>
      <c r="H129" s="360"/>
      <c r="I129" s="43">
        <f t="shared" si="4"/>
        <v>1.498512E7</v>
      </c>
      <c r="J129" s="233"/>
    </row>
    <row r="130" spans="8:8">
      <c r="A130" s="3" t="s">
        <v>141</v>
      </c>
      <c r="B130" s="4" t="s">
        <v>65</v>
      </c>
      <c r="C130" s="240">
        <v>1.0</v>
      </c>
      <c r="D130" s="240">
        <v>1.0535041E7</v>
      </c>
      <c r="E130" s="180">
        <v>851427.0</v>
      </c>
      <c r="F130" s="180">
        <v>1277136.0</v>
      </c>
      <c r="G130" s="360">
        <v>3334500.0</v>
      </c>
      <c r="H130" s="360"/>
      <c r="I130" s="43">
        <f t="shared" si="4"/>
        <v>1.5998105E7</v>
      </c>
      <c r="J130" s="233"/>
    </row>
    <row r="131" spans="8:8">
      <c r="A131" s="3" t="s">
        <v>142</v>
      </c>
      <c r="B131" s="4" t="s">
        <v>65</v>
      </c>
      <c r="C131" s="240">
        <v>1.0</v>
      </c>
      <c r="D131" s="240">
        <v>1.7896062E7</v>
      </c>
      <c r="E131" s="180">
        <v>851427.0</v>
      </c>
      <c r="F131" s="180">
        <v>1277136.0</v>
      </c>
      <c r="G131" s="360">
        <v>3334500.0</v>
      </c>
      <c r="H131" s="360"/>
      <c r="I131" s="43">
        <f t="shared" si="4"/>
        <v>2.3359126E7</v>
      </c>
      <c r="J131" s="233"/>
    </row>
    <row r="132" spans="8:8">
      <c r="A132" s="3" t="s">
        <v>143</v>
      </c>
      <c r="B132" s="4" t="s">
        <v>65</v>
      </c>
      <c r="C132" s="240">
        <v>1.0</v>
      </c>
      <c r="D132" s="240">
        <v>1.9044111E7</v>
      </c>
      <c r="E132" s="180">
        <v>851427.0</v>
      </c>
      <c r="F132" s="180">
        <v>1277136.0</v>
      </c>
      <c r="G132" s="360">
        <v>3334500.0</v>
      </c>
      <c r="H132" s="360"/>
      <c r="I132" s="43">
        <f t="shared" si="4"/>
        <v>2.4507175E7</v>
      </c>
      <c r="J132" s="233"/>
    </row>
    <row r="133" spans="8:8">
      <c r="A133" s="3" t="s">
        <v>144</v>
      </c>
      <c r="B133" s="4" t="s">
        <v>65</v>
      </c>
      <c r="C133" s="240">
        <v>1.0</v>
      </c>
      <c r="D133" s="240">
        <v>2.1070081E7</v>
      </c>
      <c r="E133" s="180">
        <v>851427.0</v>
      </c>
      <c r="F133" s="180">
        <v>1277136.0</v>
      </c>
      <c r="G133" s="360">
        <v>3334500.0</v>
      </c>
      <c r="H133" s="360"/>
      <c r="I133" s="43">
        <f t="shared" si="4"/>
        <v>2.6533145E7</v>
      </c>
      <c r="J133" s="233"/>
    </row>
    <row r="134" spans="8:8">
      <c r="A134" s="3" t="s">
        <v>145</v>
      </c>
      <c r="B134" s="4" t="s">
        <v>65</v>
      </c>
      <c r="C134" s="240">
        <v>1.0</v>
      </c>
      <c r="D134" s="240">
        <v>8948031.0</v>
      </c>
      <c r="E134" s="180">
        <v>851427.0</v>
      </c>
      <c r="F134" s="180">
        <v>1277136.0</v>
      </c>
      <c r="G134" s="360">
        <v>3334500.0</v>
      </c>
      <c r="H134" s="360"/>
      <c r="I134" s="43">
        <f t="shared" si="4"/>
        <v>1.4411095E7</v>
      </c>
      <c r="J134" s="233"/>
    </row>
    <row r="135" spans="8:8">
      <c r="A135" s="3" t="s">
        <v>146</v>
      </c>
      <c r="B135" s="4" t="s">
        <v>65</v>
      </c>
      <c r="C135" s="240">
        <v>1.0</v>
      </c>
      <c r="D135" s="240">
        <v>9522056.0</v>
      </c>
      <c r="E135" s="180">
        <v>851427.0</v>
      </c>
      <c r="F135" s="180">
        <v>1277136.0</v>
      </c>
      <c r="G135" s="360">
        <v>3334500.0</v>
      </c>
      <c r="H135" s="360"/>
      <c r="I135" s="43">
        <f t="shared" si="4"/>
        <v>1.498512E7</v>
      </c>
      <c r="J135" s="233"/>
    </row>
    <row r="136" spans="8:8">
      <c r="A136" s="3" t="s">
        <v>147</v>
      </c>
      <c r="B136" s="4" t="s">
        <v>65</v>
      </c>
      <c r="C136" s="240">
        <v>1.0</v>
      </c>
      <c r="D136" s="240">
        <v>1.0535041E7</v>
      </c>
      <c r="E136" s="180">
        <v>851427.0</v>
      </c>
      <c r="F136" s="180">
        <v>1277136.0</v>
      </c>
      <c r="G136" s="360">
        <v>3334500.0</v>
      </c>
      <c r="H136" s="360"/>
      <c r="I136" s="43">
        <f t="shared" si="4"/>
        <v>1.5998105E7</v>
      </c>
      <c r="J136" s="233"/>
    </row>
    <row r="137" spans="8:8">
      <c r="A137" s="3" t="s">
        <v>148</v>
      </c>
      <c r="B137" s="4" t="s">
        <v>65</v>
      </c>
      <c r="C137" s="240">
        <v>1.0</v>
      </c>
      <c r="D137" s="240">
        <v>9522056.0</v>
      </c>
      <c r="E137" s="180">
        <v>851427.0</v>
      </c>
      <c r="F137" s="180">
        <v>1277136.0</v>
      </c>
      <c r="G137" s="360">
        <v>3334500.0</v>
      </c>
      <c r="H137" s="360"/>
      <c r="I137" s="43">
        <f t="shared" si="4"/>
        <v>1.498512E7</v>
      </c>
      <c r="J137" s="233"/>
    </row>
    <row r="138" spans="8:8">
      <c r="A138" s="3" t="s">
        <v>149</v>
      </c>
      <c r="B138" s="4" t="s">
        <v>65</v>
      </c>
      <c r="C138" s="240">
        <v>1.0</v>
      </c>
      <c r="D138" s="240">
        <v>1.0535041E7</v>
      </c>
      <c r="E138" s="180">
        <v>851427.0</v>
      </c>
      <c r="F138" s="180">
        <v>1277136.0</v>
      </c>
      <c r="G138" s="360">
        <v>3334500.0</v>
      </c>
      <c r="H138" s="360"/>
      <c r="I138" s="43">
        <f t="shared" si="4"/>
        <v>1.5998105E7</v>
      </c>
      <c r="J138" s="233"/>
    </row>
    <row r="139" spans="8:8">
      <c r="A139" s="3" t="s">
        <v>150</v>
      </c>
      <c r="B139" s="4" t="s">
        <v>65</v>
      </c>
      <c r="C139" s="240">
        <v>1.0</v>
      </c>
      <c r="D139" s="240">
        <v>1.4148019E7</v>
      </c>
      <c r="E139" s="180">
        <v>851427.0</v>
      </c>
      <c r="F139" s="180">
        <v>1277136.0</v>
      </c>
      <c r="G139" s="360">
        <v>3334500.0</v>
      </c>
      <c r="H139" s="360"/>
      <c r="I139" s="43">
        <f t="shared" si="4"/>
        <v>1.9611083E7</v>
      </c>
      <c r="J139" s="233"/>
    </row>
    <row r="140" spans="8:8">
      <c r="A140" s="3" t="s">
        <v>151</v>
      </c>
      <c r="B140" s="4" t="s">
        <v>65</v>
      </c>
      <c r="C140" s="240">
        <v>1.0</v>
      </c>
      <c r="D140" s="240">
        <v>1.9044111E7</v>
      </c>
      <c r="E140" s="180">
        <v>851427.0</v>
      </c>
      <c r="F140" s="180">
        <v>1277136.0</v>
      </c>
      <c r="G140" s="360">
        <v>3334500.0</v>
      </c>
      <c r="H140" s="360"/>
      <c r="I140" s="43">
        <f t="shared" si="4"/>
        <v>2.4507175E7</v>
      </c>
      <c r="J140" s="233"/>
    </row>
    <row r="141" spans="8:8">
      <c r="A141" s="3" t="s">
        <v>152</v>
      </c>
      <c r="B141" s="4" t="s">
        <v>65</v>
      </c>
      <c r="C141" s="240">
        <v>1.0</v>
      </c>
      <c r="D141" s="240">
        <v>2.1070081E7</v>
      </c>
      <c r="E141" s="180">
        <v>851427.0</v>
      </c>
      <c r="F141" s="180">
        <v>1277136.0</v>
      </c>
      <c r="G141" s="360">
        <v>3334500.0</v>
      </c>
      <c r="H141" s="360"/>
      <c r="I141" s="43">
        <f t="shared" si="4"/>
        <v>2.6533145E7</v>
      </c>
      <c r="J141" s="233"/>
    </row>
    <row r="142" spans="8:8">
      <c r="A142" s="3" t="s">
        <v>153</v>
      </c>
      <c r="B142" s="4" t="s">
        <v>65</v>
      </c>
      <c r="C142" s="240">
        <v>1.0</v>
      </c>
      <c r="D142" s="240">
        <v>4.3896001E7</v>
      </c>
      <c r="E142" s="180">
        <v>851427.0</v>
      </c>
      <c r="F142" s="180">
        <v>1277136.0</v>
      </c>
      <c r="G142" s="360">
        <v>3334500.0</v>
      </c>
      <c r="H142" s="360"/>
      <c r="I142" s="43">
        <f t="shared" si="4"/>
        <v>4.9359065E7</v>
      </c>
      <c r="J142" s="233"/>
    </row>
    <row r="143" spans="8:8">
      <c r="A143" s="3" t="s">
        <v>154</v>
      </c>
      <c r="B143" s="4" t="s">
        <v>65</v>
      </c>
      <c r="C143" s="240">
        <v>1.0</v>
      </c>
      <c r="D143" s="240">
        <v>8441539.0</v>
      </c>
      <c r="E143" s="180">
        <v>851427.0</v>
      </c>
      <c r="F143" s="180">
        <v>1277136.0</v>
      </c>
      <c r="G143" s="360">
        <v>3334500.0</v>
      </c>
      <c r="H143" s="360"/>
      <c r="I143" s="43">
        <f t="shared" si="4"/>
        <v>1.3904603E7</v>
      </c>
      <c r="J143" s="233"/>
    </row>
    <row r="144" spans="8:8">
      <c r="A144" s="3" t="s">
        <v>155</v>
      </c>
      <c r="B144" s="4" t="s">
        <v>65</v>
      </c>
      <c r="C144" s="240">
        <v>1.0</v>
      </c>
      <c r="D144" s="240">
        <v>8948031.0</v>
      </c>
      <c r="E144" s="180">
        <v>851427.0</v>
      </c>
      <c r="F144" s="180">
        <v>1277136.0</v>
      </c>
      <c r="G144" s="360">
        <v>3334500.0</v>
      </c>
      <c r="H144" s="360"/>
      <c r="I144" s="43">
        <f t="shared" si="4"/>
        <v>1.4411095E7</v>
      </c>
      <c r="J144" s="233"/>
    </row>
    <row r="145" spans="8:8">
      <c r="A145" s="3" t="s">
        <v>156</v>
      </c>
      <c r="B145" s="4" t="s">
        <v>65</v>
      </c>
      <c r="C145" s="240">
        <v>1.0</v>
      </c>
      <c r="D145" s="240">
        <v>9522056.0</v>
      </c>
      <c r="E145" s="180">
        <v>851427.0</v>
      </c>
      <c r="F145" s="180">
        <v>1277136.0</v>
      </c>
      <c r="G145" s="360">
        <v>3334500.0</v>
      </c>
      <c r="H145" s="360"/>
      <c r="I145" s="43">
        <f t="shared" si="4"/>
        <v>1.498512E7</v>
      </c>
      <c r="J145" s="233"/>
    </row>
    <row r="146" spans="8:8">
      <c r="A146" s="3" t="s">
        <v>157</v>
      </c>
      <c r="B146" s="4" t="s">
        <v>65</v>
      </c>
      <c r="C146" s="240">
        <v>1.0</v>
      </c>
      <c r="D146" s="240">
        <v>8948031.0</v>
      </c>
      <c r="E146" s="180">
        <v>851427.0</v>
      </c>
      <c r="F146" s="180">
        <v>1277136.0</v>
      </c>
      <c r="G146" s="360">
        <v>3334500.0</v>
      </c>
      <c r="H146" s="360"/>
      <c r="I146" s="43">
        <f t="shared" si="4"/>
        <v>1.4411095E7</v>
      </c>
      <c r="J146" s="233"/>
    </row>
    <row r="147" spans="8:8">
      <c r="A147" s="3" t="s">
        <v>158</v>
      </c>
      <c r="B147" s="4" t="s">
        <v>65</v>
      </c>
      <c r="C147" s="240">
        <v>1.0</v>
      </c>
      <c r="D147" s="240">
        <v>9522056.0</v>
      </c>
      <c r="E147" s="180">
        <v>851427.0</v>
      </c>
      <c r="F147" s="180">
        <v>1277136.0</v>
      </c>
      <c r="G147" s="360">
        <v>3334500.0</v>
      </c>
      <c r="H147" s="360"/>
      <c r="I147" s="43">
        <f t="shared" si="4"/>
        <v>1.498512E7</v>
      </c>
      <c r="J147" s="233"/>
    </row>
    <row r="148" spans="8:8">
      <c r="A148" s="3" t="s">
        <v>159</v>
      </c>
      <c r="B148" s="4" t="s">
        <v>65</v>
      </c>
      <c r="C148" s="240">
        <v>1.0</v>
      </c>
      <c r="D148" s="240">
        <v>1.0535041E7</v>
      </c>
      <c r="E148" s="180">
        <v>851427.0</v>
      </c>
      <c r="F148" s="180">
        <v>1277136.0</v>
      </c>
      <c r="G148" s="360">
        <v>3334500.0</v>
      </c>
      <c r="H148" s="360"/>
      <c r="I148" s="43">
        <f t="shared" si="4"/>
        <v>1.5998105E7</v>
      </c>
      <c r="J148" s="233"/>
    </row>
    <row r="149" spans="8:8">
      <c r="A149" s="3" t="s">
        <v>160</v>
      </c>
      <c r="B149" s="4" t="s">
        <v>65</v>
      </c>
      <c r="C149" s="240">
        <v>1.0</v>
      </c>
      <c r="D149" s="240">
        <v>9522056.0</v>
      </c>
      <c r="E149" s="180">
        <v>851427.0</v>
      </c>
      <c r="F149" s="180">
        <v>1277136.0</v>
      </c>
      <c r="G149" s="360">
        <v>3334500.0</v>
      </c>
      <c r="H149" s="360"/>
      <c r="I149" s="43">
        <f t="shared" si="4"/>
        <v>1.498512E7</v>
      </c>
      <c r="J149" s="233"/>
    </row>
    <row r="150" spans="8:8">
      <c r="A150" s="15" t="s">
        <v>161</v>
      </c>
      <c r="B150" s="16" t="s">
        <v>65</v>
      </c>
      <c r="C150" s="240">
        <v>1.0</v>
      </c>
      <c r="D150" s="240">
        <v>1.0535041E7</v>
      </c>
      <c r="E150" s="180">
        <v>851427.0</v>
      </c>
      <c r="F150" s="180">
        <v>1277136.0</v>
      </c>
      <c r="G150" s="360">
        <v>3334500.0</v>
      </c>
      <c r="H150" s="360"/>
      <c r="I150" s="43">
        <f t="shared" si="4"/>
        <v>1.5998105E7</v>
      </c>
      <c r="J150" s="233"/>
    </row>
    <row r="151" spans="8:8">
      <c r="A151" s="15" t="s">
        <v>162</v>
      </c>
      <c r="B151" s="16" t="s">
        <v>65</v>
      </c>
      <c r="C151" s="240">
        <v>1.0</v>
      </c>
      <c r="D151" s="240">
        <v>1.9044111E7</v>
      </c>
      <c r="E151" s="180">
        <v>851427.0</v>
      </c>
      <c r="F151" s="180">
        <v>1277136.0</v>
      </c>
      <c r="G151" s="360">
        <v>3334500.0</v>
      </c>
      <c r="H151" s="360"/>
      <c r="I151" s="43">
        <f t="shared" si="4"/>
        <v>2.4507175E7</v>
      </c>
      <c r="J151" s="233"/>
    </row>
    <row r="152" spans="8:8">
      <c r="A152" s="15" t="s">
        <v>163</v>
      </c>
      <c r="B152" s="16" t="s">
        <v>65</v>
      </c>
      <c r="C152" s="240">
        <v>1.0</v>
      </c>
      <c r="D152" s="240">
        <v>2.1070081E7</v>
      </c>
      <c r="E152" s="180">
        <v>851427.0</v>
      </c>
      <c r="F152" s="180">
        <v>1277136.0</v>
      </c>
      <c r="G152" s="360">
        <v>3334500.0</v>
      </c>
      <c r="H152" s="360"/>
      <c r="I152" s="43">
        <f t="shared" si="4"/>
        <v>2.6533145E7</v>
      </c>
      <c r="J152" s="233"/>
    </row>
    <row r="153" spans="8:8">
      <c r="A153" s="3" t="s">
        <v>164</v>
      </c>
      <c r="B153" s="4" t="s">
        <v>65</v>
      </c>
      <c r="C153" s="240">
        <v>1.0</v>
      </c>
      <c r="D153" s="240">
        <v>8238942.0</v>
      </c>
      <c r="E153" s="180">
        <v>851427.0</v>
      </c>
      <c r="F153" s="180">
        <v>1277136.0</v>
      </c>
      <c r="G153" s="360">
        <v>3334500.0</v>
      </c>
      <c r="H153" s="360"/>
      <c r="I153" s="43">
        <f t="shared" si="4"/>
        <v>1.3702006E7</v>
      </c>
      <c r="J153" s="233"/>
    </row>
    <row r="154" spans="8:8">
      <c r="A154" s="3" t="s">
        <v>165</v>
      </c>
      <c r="B154" s="4" t="s">
        <v>65</v>
      </c>
      <c r="C154" s="240">
        <v>1.0</v>
      </c>
      <c r="D154" s="240">
        <v>9251927.0</v>
      </c>
      <c r="E154" s="180">
        <v>851427.0</v>
      </c>
      <c r="F154" s="180">
        <v>1277136.0</v>
      </c>
      <c r="G154" s="360">
        <v>3334500.0</v>
      </c>
      <c r="H154" s="360"/>
      <c r="I154" s="43">
        <f t="shared" si="4"/>
        <v>1.4714991E7</v>
      </c>
      <c r="J154" s="233"/>
    </row>
    <row r="155" spans="8:8">
      <c r="A155" s="3" t="s">
        <v>166</v>
      </c>
      <c r="B155" s="4" t="s">
        <v>65</v>
      </c>
      <c r="C155" s="240">
        <v>1.0</v>
      </c>
      <c r="D155" s="240">
        <v>8948031.0</v>
      </c>
      <c r="E155" s="180">
        <v>851427.0</v>
      </c>
      <c r="F155" s="180">
        <v>1277136.0</v>
      </c>
      <c r="G155" s="360">
        <v>3334500.0</v>
      </c>
      <c r="H155" s="360"/>
      <c r="I155" s="43">
        <f t="shared" si="4"/>
        <v>1.4411095E7</v>
      </c>
      <c r="J155" s="233"/>
    </row>
    <row r="156" spans="8:8">
      <c r="A156" s="3" t="s">
        <v>167</v>
      </c>
      <c r="B156" s="4" t="s">
        <v>65</v>
      </c>
      <c r="C156" s="240">
        <v>1.0</v>
      </c>
      <c r="D156" s="240">
        <v>9522056.0</v>
      </c>
      <c r="E156" s="180">
        <v>851427.0</v>
      </c>
      <c r="F156" s="180">
        <v>1277136.0</v>
      </c>
      <c r="G156" s="360">
        <v>3334500.0</v>
      </c>
      <c r="H156" s="360"/>
      <c r="I156" s="43">
        <f t="shared" si="4"/>
        <v>1.498512E7</v>
      </c>
      <c r="J156" s="233"/>
    </row>
    <row r="157" spans="8:8">
      <c r="A157" s="3" t="s">
        <v>168</v>
      </c>
      <c r="B157" s="4" t="s">
        <v>65</v>
      </c>
      <c r="C157" s="240">
        <v>1.0</v>
      </c>
      <c r="D157" s="240">
        <v>1.7896062E7</v>
      </c>
      <c r="E157" s="180">
        <v>851427.0</v>
      </c>
      <c r="F157" s="180">
        <v>1277136.0</v>
      </c>
      <c r="G157" s="360">
        <v>3334500.0</v>
      </c>
      <c r="H157" s="360"/>
      <c r="I157" s="43">
        <f t="shared" si="4"/>
        <v>2.3359126E7</v>
      </c>
      <c r="J157" s="233"/>
    </row>
    <row r="158" spans="8:8">
      <c r="A158" s="3" t="s">
        <v>169</v>
      </c>
      <c r="B158" s="4" t="s">
        <v>65</v>
      </c>
      <c r="C158" s="240">
        <v>1.0</v>
      </c>
      <c r="D158" s="240">
        <v>1.9044111E7</v>
      </c>
      <c r="E158" s="180">
        <v>851427.0</v>
      </c>
      <c r="F158" s="180">
        <v>1277136.0</v>
      </c>
      <c r="G158" s="360">
        <v>3334500.0</v>
      </c>
      <c r="H158" s="360"/>
      <c r="I158" s="43">
        <f t="shared" si="4"/>
        <v>2.4507175E7</v>
      </c>
      <c r="J158" s="233"/>
    </row>
    <row r="159" spans="8:8">
      <c r="A159" s="3" t="s">
        <v>170</v>
      </c>
      <c r="B159" s="4" t="s">
        <v>65</v>
      </c>
      <c r="C159" s="240">
        <v>1.0</v>
      </c>
      <c r="D159" s="240">
        <v>8948031.0</v>
      </c>
      <c r="E159" s="180">
        <v>851427.0</v>
      </c>
      <c r="F159" s="180">
        <v>1277136.0</v>
      </c>
      <c r="G159" s="360">
        <v>3334500.0</v>
      </c>
      <c r="H159" s="360"/>
      <c r="I159" s="43">
        <f t="shared" si="4"/>
        <v>1.4411095E7</v>
      </c>
      <c r="J159" s="233"/>
    </row>
    <row r="160" spans="8:8">
      <c r="A160" s="3" t="s">
        <v>171</v>
      </c>
      <c r="B160" s="4" t="s">
        <v>65</v>
      </c>
      <c r="C160" s="240">
        <v>1.0</v>
      </c>
      <c r="D160" s="240">
        <v>9522056.0</v>
      </c>
      <c r="E160" s="180">
        <v>851427.0</v>
      </c>
      <c r="F160" s="180">
        <v>1277136.0</v>
      </c>
      <c r="G160" s="360">
        <v>3334500.0</v>
      </c>
      <c r="H160" s="360"/>
      <c r="I160" s="43">
        <f t="shared" si="4"/>
        <v>1.498512E7</v>
      </c>
      <c r="J160" s="233"/>
    </row>
    <row r="161" spans="8:8">
      <c r="A161" s="3" t="s">
        <v>172</v>
      </c>
      <c r="B161" s="4" t="s">
        <v>65</v>
      </c>
      <c r="C161" s="240">
        <v>1.0</v>
      </c>
      <c r="D161" s="240">
        <v>1.0535041E7</v>
      </c>
      <c r="E161" s="180">
        <v>851427.0</v>
      </c>
      <c r="F161" s="180">
        <v>1277136.0</v>
      </c>
      <c r="G161" s="360">
        <v>3334500.0</v>
      </c>
      <c r="H161" s="360"/>
      <c r="I161" s="43">
        <f t="shared" si="4"/>
        <v>1.5998105E7</v>
      </c>
      <c r="J161" s="233"/>
    </row>
    <row r="162" spans="8:8">
      <c r="A162" s="3" t="s">
        <v>173</v>
      </c>
      <c r="B162" s="4" t="s">
        <v>65</v>
      </c>
      <c r="C162" s="240">
        <v>1.0</v>
      </c>
      <c r="D162" s="240">
        <v>1.7896062E7</v>
      </c>
      <c r="E162" s="180">
        <v>851427.0</v>
      </c>
      <c r="F162" s="180">
        <v>1277136.0</v>
      </c>
      <c r="G162" s="360">
        <v>3334500.0</v>
      </c>
      <c r="H162" s="360"/>
      <c r="I162" s="43">
        <f t="shared" si="4"/>
        <v>2.3359126E7</v>
      </c>
      <c r="J162" s="233"/>
    </row>
    <row r="163" spans="8:8">
      <c r="A163" s="3" t="s">
        <v>174</v>
      </c>
      <c r="B163" s="4" t="s">
        <v>65</v>
      </c>
      <c r="C163" s="240">
        <v>1.0</v>
      </c>
      <c r="D163" s="240">
        <v>1.9044111E7</v>
      </c>
      <c r="E163" s="180">
        <v>851427.0</v>
      </c>
      <c r="F163" s="180">
        <v>1277136.0</v>
      </c>
      <c r="G163" s="360">
        <v>3334500.0</v>
      </c>
      <c r="H163" s="360"/>
      <c r="I163" s="43">
        <f t="shared" si="4"/>
        <v>2.4507175E7</v>
      </c>
      <c r="J163" s="233"/>
    </row>
    <row r="164" spans="8:8">
      <c r="A164" s="3" t="s">
        <v>175</v>
      </c>
      <c r="B164" s="4" t="s">
        <v>65</v>
      </c>
      <c r="C164" s="240">
        <v>1.0</v>
      </c>
      <c r="D164" s="240">
        <v>2.1070081E7</v>
      </c>
      <c r="E164" s="180">
        <v>851427.0</v>
      </c>
      <c r="F164" s="180">
        <v>1277136.0</v>
      </c>
      <c r="G164" s="360">
        <v>3334500.0</v>
      </c>
      <c r="H164" s="360"/>
      <c r="I164" s="43">
        <f t="shared" si="4"/>
        <v>2.6533145E7</v>
      </c>
      <c r="J164" s="233"/>
    </row>
    <row r="165" spans="8:8">
      <c r="A165" s="3" t="s">
        <v>176</v>
      </c>
      <c r="B165" s="4" t="s">
        <v>65</v>
      </c>
      <c r="C165" s="240">
        <v>1.0</v>
      </c>
      <c r="D165" s="240">
        <v>8340241.0</v>
      </c>
      <c r="E165" s="180">
        <v>851427.0</v>
      </c>
      <c r="F165" s="180">
        <v>1277136.0</v>
      </c>
      <c r="G165" s="360">
        <v>3334500.0</v>
      </c>
      <c r="H165" s="360"/>
      <c r="I165" s="43">
        <f t="shared" si="4"/>
        <v>1.3803305E7</v>
      </c>
      <c r="J165" s="233"/>
    </row>
    <row r="166" spans="8:8">
      <c r="A166" s="3" t="s">
        <v>177</v>
      </c>
      <c r="B166" s="4" t="s">
        <v>65</v>
      </c>
      <c r="C166" s="240">
        <v>1.0</v>
      </c>
      <c r="D166" s="240">
        <v>1.0535041E7</v>
      </c>
      <c r="E166" s="180">
        <v>851427.0</v>
      </c>
      <c r="F166" s="180">
        <v>1277136.0</v>
      </c>
      <c r="G166" s="360">
        <v>3334500.0</v>
      </c>
      <c r="H166" s="360"/>
      <c r="I166" s="43">
        <f t="shared" si="4"/>
        <v>1.5998105E7</v>
      </c>
      <c r="J166" s="233"/>
    </row>
    <row r="167" spans="8:8">
      <c r="A167" s="3" t="s">
        <v>178</v>
      </c>
      <c r="B167" s="4" t="s">
        <v>65</v>
      </c>
      <c r="C167" s="240">
        <v>3.1102929E7</v>
      </c>
      <c r="D167" s="240">
        <v>1.58261965E8</v>
      </c>
      <c r="E167" s="180">
        <v>851427.0</v>
      </c>
      <c r="F167" s="180">
        <v>1277136.0</v>
      </c>
      <c r="G167" s="360">
        <v>3334500.0</v>
      </c>
      <c r="H167" s="360"/>
      <c r="I167" s="43">
        <f t="shared" si="4"/>
        <v>1.94827957E8</v>
      </c>
      <c r="J167" s="233"/>
    </row>
    <row r="168" spans="8:8">
      <c r="A168" s="3" t="s">
        <v>179</v>
      </c>
      <c r="B168" s="4" t="s">
        <v>65</v>
      </c>
      <c r="C168" s="240">
        <v>1.0</v>
      </c>
      <c r="D168" s="240">
        <v>2.0293459E7</v>
      </c>
      <c r="E168" s="180">
        <v>851427.0</v>
      </c>
      <c r="F168" s="180">
        <v>1277136.0</v>
      </c>
      <c r="G168" s="360">
        <v>3334500.0</v>
      </c>
      <c r="H168" s="360"/>
      <c r="I168" s="43">
        <f t="shared" si="4"/>
        <v>2.5756523E7</v>
      </c>
      <c r="J168" s="233"/>
    </row>
    <row r="169" spans="8:8">
      <c r="A169" s="3" t="s">
        <v>180</v>
      </c>
      <c r="B169" s="4" t="s">
        <v>65</v>
      </c>
      <c r="C169" s="240">
        <v>1.0</v>
      </c>
      <c r="D169" s="240">
        <v>9522056.0</v>
      </c>
      <c r="E169" s="180">
        <v>851427.0</v>
      </c>
      <c r="F169" s="180">
        <v>1277136.0</v>
      </c>
      <c r="G169" s="360">
        <v>3334500.0</v>
      </c>
      <c r="H169" s="360"/>
      <c r="I169" s="43">
        <f t="shared" si="4"/>
        <v>1.498512E7</v>
      </c>
      <c r="J169" s="233"/>
    </row>
    <row r="170" spans="8:8">
      <c r="A170" s="3" t="s">
        <v>181</v>
      </c>
      <c r="B170" s="4" t="s">
        <v>65</v>
      </c>
      <c r="C170" s="240">
        <v>1.0</v>
      </c>
      <c r="D170" s="240">
        <v>1.9044111E7</v>
      </c>
      <c r="E170" s="180">
        <v>851427.0</v>
      </c>
      <c r="F170" s="180">
        <v>1277136.0</v>
      </c>
      <c r="G170" s="360">
        <v>3334500.0</v>
      </c>
      <c r="H170" s="360"/>
      <c r="I170" s="43">
        <f t="shared" si="4"/>
        <v>2.4507175E7</v>
      </c>
      <c r="J170" s="233"/>
    </row>
    <row r="171" spans="8:8">
      <c r="A171" s="3" t="s">
        <v>182</v>
      </c>
      <c r="B171" s="4" t="s">
        <v>65</v>
      </c>
      <c r="C171" s="240">
        <v>1.0</v>
      </c>
      <c r="D171" s="240">
        <v>8948031.0</v>
      </c>
      <c r="E171" s="180">
        <v>851427.0</v>
      </c>
      <c r="F171" s="180">
        <v>1277136.0</v>
      </c>
      <c r="G171" s="360">
        <v>3334500.0</v>
      </c>
      <c r="H171" s="360"/>
      <c r="I171" s="43">
        <f t="shared" si="4"/>
        <v>1.4411095E7</v>
      </c>
      <c r="J171" s="233"/>
    </row>
    <row r="172" spans="8:8">
      <c r="A172" s="3" t="s">
        <v>183</v>
      </c>
      <c r="B172" s="4" t="s">
        <v>65</v>
      </c>
      <c r="C172" s="240">
        <v>1.0</v>
      </c>
      <c r="D172" s="240">
        <v>9522056.0</v>
      </c>
      <c r="E172" s="180">
        <v>851427.0</v>
      </c>
      <c r="F172" s="180">
        <v>1277136.0</v>
      </c>
      <c r="G172" s="360">
        <v>3334500.0</v>
      </c>
      <c r="H172" s="360"/>
      <c r="I172" s="43">
        <f t="shared" si="4"/>
        <v>1.498512E7</v>
      </c>
      <c r="J172" s="233"/>
    </row>
    <row r="173" spans="8:8">
      <c r="A173" s="3" t="s">
        <v>184</v>
      </c>
      <c r="B173" s="4" t="s">
        <v>65</v>
      </c>
      <c r="C173" s="240">
        <v>1.0</v>
      </c>
      <c r="D173" s="240">
        <v>1.0535041E7</v>
      </c>
      <c r="E173" s="180">
        <v>851427.0</v>
      </c>
      <c r="F173" s="180">
        <v>1277136.0</v>
      </c>
      <c r="G173" s="360">
        <v>3334500.0</v>
      </c>
      <c r="H173" s="360"/>
      <c r="I173" s="43">
        <f t="shared" si="4"/>
        <v>1.5998105E7</v>
      </c>
      <c r="J173" s="233"/>
    </row>
    <row r="174" spans="8:8">
      <c r="A174" s="3" t="s">
        <v>185</v>
      </c>
      <c r="B174" s="4" t="s">
        <v>65</v>
      </c>
      <c r="C174" s="240">
        <v>1.0</v>
      </c>
      <c r="D174" s="240">
        <v>1.7896062E7</v>
      </c>
      <c r="E174" s="180">
        <v>851427.0</v>
      </c>
      <c r="F174" s="180">
        <v>1277136.0</v>
      </c>
      <c r="G174" s="360">
        <v>3334500.0</v>
      </c>
      <c r="H174" s="360"/>
      <c r="I174" s="43">
        <f t="shared" si="4"/>
        <v>2.3359126E7</v>
      </c>
      <c r="J174" s="233"/>
    </row>
    <row r="175" spans="8:8">
      <c r="A175" s="3" t="s">
        <v>186</v>
      </c>
      <c r="B175" s="4" t="s">
        <v>65</v>
      </c>
      <c r="C175" s="240">
        <v>1.0</v>
      </c>
      <c r="D175" s="240">
        <v>1.9044111E7</v>
      </c>
      <c r="E175" s="180">
        <v>851427.0</v>
      </c>
      <c r="F175" s="180">
        <v>1277136.0</v>
      </c>
      <c r="G175" s="360">
        <v>3334500.0</v>
      </c>
      <c r="H175" s="360"/>
      <c r="I175" s="43">
        <f t="shared" si="4"/>
        <v>2.4507175E7</v>
      </c>
      <c r="J175" s="233"/>
    </row>
    <row r="176" spans="8:8">
      <c r="A176" s="3" t="s">
        <v>187</v>
      </c>
      <c r="B176" s="4" t="s">
        <v>65</v>
      </c>
      <c r="C176" s="240">
        <v>1.0</v>
      </c>
      <c r="D176" s="240">
        <v>2.1070081E7</v>
      </c>
      <c r="E176" s="180">
        <v>851427.0</v>
      </c>
      <c r="F176" s="180">
        <v>1277136.0</v>
      </c>
      <c r="G176" s="360">
        <v>3334500.0</v>
      </c>
      <c r="H176" s="360"/>
      <c r="I176" s="43">
        <f t="shared" si="4"/>
        <v>2.6533145E7</v>
      </c>
      <c r="J176" s="233"/>
    </row>
    <row r="177" spans="8:8">
      <c r="A177" s="15" t="s">
        <v>188</v>
      </c>
      <c r="B177" s="16" t="s">
        <v>65</v>
      </c>
      <c r="C177" s="240">
        <v>1.0</v>
      </c>
      <c r="D177" s="240">
        <v>8948031.0</v>
      </c>
      <c r="E177" s="180">
        <v>851427.0</v>
      </c>
      <c r="F177" s="180">
        <v>1277136.0</v>
      </c>
      <c r="G177" s="360">
        <v>3334500.0</v>
      </c>
      <c r="H177" s="360"/>
      <c r="I177" s="43">
        <f t="shared" si="4"/>
        <v>1.4411095E7</v>
      </c>
      <c r="J177" s="233"/>
    </row>
    <row r="178" spans="8:8">
      <c r="A178" s="3" t="s">
        <v>189</v>
      </c>
      <c r="B178" s="4" t="s">
        <v>65</v>
      </c>
      <c r="C178" s="240">
        <v>1.0</v>
      </c>
      <c r="D178" s="240">
        <v>9522056.0</v>
      </c>
      <c r="E178" s="180">
        <v>851427.0</v>
      </c>
      <c r="F178" s="180">
        <v>1277136.0</v>
      </c>
      <c r="G178" s="360">
        <v>3334500.0</v>
      </c>
      <c r="H178" s="360"/>
      <c r="I178" s="43">
        <f t="shared" si="4"/>
        <v>1.498512E7</v>
      </c>
      <c r="J178" s="233"/>
    </row>
    <row r="179" spans="8:8">
      <c r="A179" s="3" t="s">
        <v>190</v>
      </c>
      <c r="B179" s="16" t="s">
        <v>65</v>
      </c>
      <c r="C179" s="240">
        <v>1.0</v>
      </c>
      <c r="D179" s="240">
        <v>8948031.0</v>
      </c>
      <c r="E179" s="180">
        <v>851427.0</v>
      </c>
      <c r="F179" s="180">
        <v>1277136.0</v>
      </c>
      <c r="G179" s="360">
        <v>3334500.0</v>
      </c>
      <c r="H179" s="360"/>
      <c r="I179" s="43">
        <f t="shared" si="5" ref="I179:I183">SUM(C179:H179)</f>
        <v>1.4411095E7</v>
      </c>
      <c r="J179" s="233"/>
    </row>
    <row r="180" spans="8:8" s="49" ht="15.0" customFormat="1">
      <c r="A180" s="3" t="s">
        <v>191</v>
      </c>
      <c r="B180" s="4" t="s">
        <v>65</v>
      </c>
      <c r="C180" s="240">
        <v>1.0</v>
      </c>
      <c r="D180" s="240">
        <v>9522056.0</v>
      </c>
      <c r="E180" s="180">
        <v>851427.0</v>
      </c>
      <c r="F180" s="180">
        <v>1277136.0</v>
      </c>
      <c r="G180" s="360">
        <v>3334500.0</v>
      </c>
      <c r="H180" s="360"/>
      <c r="I180" s="241">
        <f t="shared" si="5"/>
        <v>1.498512E7</v>
      </c>
      <c r="J180" s="233"/>
    </row>
    <row r="181" spans="8:8">
      <c r="A181" s="3" t="s">
        <v>192</v>
      </c>
      <c r="B181" s="4" t="s">
        <v>65</v>
      </c>
      <c r="C181" s="240">
        <v>1.0</v>
      </c>
      <c r="D181" s="240">
        <v>1.0535041E7</v>
      </c>
      <c r="E181" s="180">
        <v>851427.0</v>
      </c>
      <c r="F181" s="180">
        <v>1277136.0</v>
      </c>
      <c r="G181" s="360">
        <v>3334500.0</v>
      </c>
      <c r="H181" s="360"/>
      <c r="I181" s="43">
        <f t="shared" si="5"/>
        <v>1.5998105E7</v>
      </c>
      <c r="J181" s="233"/>
    </row>
    <row r="182" spans="8:8">
      <c r="A182" s="3" t="s">
        <v>193</v>
      </c>
      <c r="B182" s="4" t="s">
        <v>65</v>
      </c>
      <c r="C182" s="240">
        <v>1.0</v>
      </c>
      <c r="D182" s="240">
        <v>8948031.0</v>
      </c>
      <c r="E182" s="180">
        <v>851427.0</v>
      </c>
      <c r="F182" s="180">
        <v>1277136.0</v>
      </c>
      <c r="G182" s="360">
        <v>3334500.0</v>
      </c>
      <c r="H182" s="360"/>
      <c r="I182" s="43">
        <f t="shared" si="5"/>
        <v>1.4411095E7</v>
      </c>
      <c r="J182" s="233"/>
    </row>
    <row r="183" spans="8:8">
      <c r="A183" s="3" t="s">
        <v>194</v>
      </c>
      <c r="B183" s="4" t="s">
        <v>65</v>
      </c>
      <c r="C183" s="240">
        <v>1.0</v>
      </c>
      <c r="D183" s="240">
        <v>9522056.0</v>
      </c>
      <c r="E183" s="180">
        <v>851427.0</v>
      </c>
      <c r="F183" s="180">
        <v>1277136.0</v>
      </c>
      <c r="G183" s="360">
        <v>3334500.0</v>
      </c>
      <c r="H183" s="360"/>
      <c r="I183" s="43">
        <f t="shared" si="5"/>
        <v>1.498512E7</v>
      </c>
      <c r="J183" s="233"/>
    </row>
    <row r="184" spans="8:8">
      <c r="A184" s="3" t="s">
        <v>197</v>
      </c>
      <c r="B184" s="4" t="s">
        <v>196</v>
      </c>
      <c r="C184" s="240">
        <v>1.0</v>
      </c>
      <c r="D184" s="240">
        <v>2.2169089E7</v>
      </c>
      <c r="E184" s="180">
        <v>851427.0</v>
      </c>
      <c r="F184" s="180">
        <v>1277136.0</v>
      </c>
      <c r="G184" s="360"/>
      <c r="H184" s="360"/>
      <c r="I184" s="43">
        <f t="shared" si="6" ref="I184:I240">SUM(C184:F184)</f>
        <v>2.4297653E7</v>
      </c>
      <c r="J184" s="233"/>
    </row>
    <row r="185" spans="8:8">
      <c r="A185" s="3" t="s">
        <v>198</v>
      </c>
      <c r="B185" s="4" t="s">
        <v>196</v>
      </c>
      <c r="C185" s="240">
        <v>1.0</v>
      </c>
      <c r="D185" s="240">
        <v>1.65559675E8</v>
      </c>
      <c r="E185" s="180">
        <v>851427.0</v>
      </c>
      <c r="F185" s="180">
        <v>1277136.0</v>
      </c>
      <c r="G185" s="360"/>
      <c r="H185" s="360"/>
      <c r="I185" s="43">
        <f t="shared" si="6"/>
        <v>1.67688239E8</v>
      </c>
      <c r="J185" s="233"/>
    </row>
    <row r="186" spans="8:8">
      <c r="A186" s="3" t="s">
        <v>199</v>
      </c>
      <c r="B186" s="4" t="s">
        <v>196</v>
      </c>
      <c r="C186" s="240">
        <v>1.0</v>
      </c>
      <c r="D186" s="240">
        <v>4.7419051E7</v>
      </c>
      <c r="E186" s="180">
        <v>851427.0</v>
      </c>
      <c r="F186" s="180">
        <v>1277136.0</v>
      </c>
      <c r="G186" s="360"/>
      <c r="H186" s="360"/>
      <c r="I186" s="43">
        <f t="shared" si="6"/>
        <v>4.9547615E7</v>
      </c>
      <c r="J186" s="233"/>
      <c r="L186" s="238"/>
    </row>
    <row r="187" spans="8:8">
      <c r="A187" s="3" t="s">
        <v>201</v>
      </c>
      <c r="B187" s="4" t="s">
        <v>196</v>
      </c>
      <c r="C187" s="240">
        <v>1.0</v>
      </c>
      <c r="D187" s="240">
        <v>4.7419051E7</v>
      </c>
      <c r="E187" s="180">
        <v>851427.0</v>
      </c>
      <c r="F187" s="180">
        <v>1277136.0</v>
      </c>
      <c r="G187" s="360"/>
      <c r="H187" s="360"/>
      <c r="I187" s="43">
        <f t="shared" si="6"/>
        <v>4.9547615E7</v>
      </c>
      <c r="J187" s="233"/>
    </row>
    <row r="188" spans="8:8">
      <c r="A188" s="3" t="s">
        <v>202</v>
      </c>
      <c r="B188" s="16" t="s">
        <v>196</v>
      </c>
      <c r="C188" s="240">
        <v>1.0</v>
      </c>
      <c r="D188" s="240">
        <v>4.7419051E7</v>
      </c>
      <c r="E188" s="180">
        <v>851427.0</v>
      </c>
      <c r="F188" s="180">
        <v>1277136.0</v>
      </c>
      <c r="G188" s="360"/>
      <c r="H188" s="360"/>
      <c r="I188" s="43">
        <f t="shared" si="6"/>
        <v>4.9547615E7</v>
      </c>
      <c r="J188" s="233"/>
    </row>
    <row r="189" spans="8:8">
      <c r="A189" s="3" t="s">
        <v>203</v>
      </c>
      <c r="B189" s="4" t="s">
        <v>196</v>
      </c>
      <c r="C189" s="240">
        <v>1.0</v>
      </c>
      <c r="D189" s="240">
        <v>4.7419051E7</v>
      </c>
      <c r="E189" s="180">
        <v>851427.0</v>
      </c>
      <c r="F189" s="180">
        <v>1277136.0</v>
      </c>
      <c r="G189" s="360"/>
      <c r="H189" s="360"/>
      <c r="I189" s="43">
        <f t="shared" si="6"/>
        <v>4.9547615E7</v>
      </c>
      <c r="J189" s="233"/>
    </row>
    <row r="190" spans="8:8">
      <c r="A190" s="3" t="s">
        <v>204</v>
      </c>
      <c r="B190" s="4" t="s">
        <v>196</v>
      </c>
      <c r="C190" s="240">
        <v>1.0</v>
      </c>
      <c r="D190" s="240">
        <v>4.7419051E7</v>
      </c>
      <c r="E190" s="180">
        <v>851427.0</v>
      </c>
      <c r="F190" s="180">
        <v>1277136.0</v>
      </c>
      <c r="G190" s="360"/>
      <c r="H190" s="360"/>
      <c r="I190" s="43">
        <f t="shared" si="6"/>
        <v>4.9547615E7</v>
      </c>
      <c r="J190" s="233"/>
      <c r="N190" s="233"/>
    </row>
    <row r="191" spans="8:8">
      <c r="A191" s="3" t="s">
        <v>206</v>
      </c>
      <c r="B191" s="4" t="s">
        <v>196</v>
      </c>
      <c r="C191" s="240">
        <v>1.0</v>
      </c>
      <c r="D191" s="240">
        <v>4.7419051E7</v>
      </c>
      <c r="E191" s="180">
        <v>851427.0</v>
      </c>
      <c r="F191" s="180">
        <v>1277136.0</v>
      </c>
      <c r="G191" s="360"/>
      <c r="H191" s="360"/>
      <c r="I191" s="43">
        <f t="shared" si="6"/>
        <v>4.9547615E7</v>
      </c>
      <c r="J191" s="233"/>
    </row>
    <row r="192" spans="8:8">
      <c r="A192" s="3" t="s">
        <v>207</v>
      </c>
      <c r="B192" s="4" t="s">
        <v>196</v>
      </c>
      <c r="C192" s="240">
        <v>1.0</v>
      </c>
      <c r="D192" s="240">
        <v>4.7419051E7</v>
      </c>
      <c r="E192" s="180">
        <v>851427.0</v>
      </c>
      <c r="F192" s="180">
        <v>1277136.0</v>
      </c>
      <c r="G192" s="360"/>
      <c r="H192" s="360"/>
      <c r="I192" s="43">
        <f t="shared" si="6"/>
        <v>4.9547615E7</v>
      </c>
      <c r="J192" s="233"/>
      <c r="L192" s="233"/>
      <c r="M192" s="76"/>
    </row>
    <row r="193" spans="8:8">
      <c r="A193" s="3" t="s">
        <v>208</v>
      </c>
      <c r="B193" s="4" t="s">
        <v>196</v>
      </c>
      <c r="C193" s="240">
        <v>1.0</v>
      </c>
      <c r="D193" s="240">
        <v>4.7419051E7</v>
      </c>
      <c r="E193" s="180">
        <v>851427.0</v>
      </c>
      <c r="F193" s="180">
        <v>1277136.0</v>
      </c>
      <c r="G193" s="360"/>
      <c r="H193" s="360"/>
      <c r="I193" s="43">
        <f t="shared" si="6"/>
        <v>4.9547615E7</v>
      </c>
      <c r="J193" s="233"/>
    </row>
    <row r="194" spans="8:8">
      <c r="A194" s="3" t="s">
        <v>209</v>
      </c>
      <c r="B194" s="4" t="s">
        <v>196</v>
      </c>
      <c r="C194" s="240">
        <v>1.0</v>
      </c>
      <c r="D194" s="240">
        <v>4.7419051E7</v>
      </c>
      <c r="E194" s="180">
        <v>851427.0</v>
      </c>
      <c r="F194" s="180">
        <v>1277136.0</v>
      </c>
      <c r="G194" s="360"/>
      <c r="H194" s="360"/>
      <c r="I194" s="43">
        <f t="shared" si="6"/>
        <v>4.9547615E7</v>
      </c>
      <c r="J194" s="233"/>
    </row>
    <row r="195" spans="8:8">
      <c r="A195" s="3" t="s">
        <v>210</v>
      </c>
      <c r="B195" s="4" t="s">
        <v>196</v>
      </c>
      <c r="C195" s="240">
        <v>1.0</v>
      </c>
      <c r="D195" s="240">
        <v>4.7419051E7</v>
      </c>
      <c r="E195" s="180">
        <v>851427.0</v>
      </c>
      <c r="F195" s="180">
        <v>1277136.0</v>
      </c>
      <c r="G195" s="360"/>
      <c r="H195" s="360"/>
      <c r="I195" s="43">
        <f t="shared" si="6"/>
        <v>4.9547615E7</v>
      </c>
      <c r="J195" s="233"/>
    </row>
    <row r="196" spans="8:8">
      <c r="A196" s="3" t="s">
        <v>211</v>
      </c>
      <c r="B196" s="4" t="s">
        <v>196</v>
      </c>
      <c r="C196" s="240">
        <v>1.0</v>
      </c>
      <c r="D196" s="240">
        <v>4.7419051E7</v>
      </c>
      <c r="E196" s="180">
        <v>851427.0</v>
      </c>
      <c r="F196" s="180">
        <v>1277136.0</v>
      </c>
      <c r="G196" s="360"/>
      <c r="H196" s="360"/>
      <c r="I196" s="43">
        <f t="shared" si="6"/>
        <v>4.9547615E7</v>
      </c>
      <c r="J196" s="233"/>
    </row>
    <row r="197" spans="8:8">
      <c r="A197" s="3" t="s">
        <v>212</v>
      </c>
      <c r="B197" s="4" t="s">
        <v>196</v>
      </c>
      <c r="C197" s="240">
        <v>1.0</v>
      </c>
      <c r="D197" s="240">
        <v>4.7419051E7</v>
      </c>
      <c r="E197" s="180">
        <v>851427.0</v>
      </c>
      <c r="F197" s="180">
        <v>1277136.0</v>
      </c>
      <c r="G197" s="360"/>
      <c r="H197" s="360"/>
      <c r="I197" s="43">
        <f t="shared" si="6"/>
        <v>4.9547615E7</v>
      </c>
      <c r="J197" s="233"/>
    </row>
    <row r="198" spans="8:8">
      <c r="A198" s="3" t="s">
        <v>214</v>
      </c>
      <c r="B198" s="4" t="s">
        <v>196</v>
      </c>
      <c r="C198" s="240">
        <v>1.0</v>
      </c>
      <c r="D198" s="240">
        <v>4.7419051E7</v>
      </c>
      <c r="E198" s="180">
        <v>851427.0</v>
      </c>
      <c r="F198" s="180">
        <v>1277136.0</v>
      </c>
      <c r="G198" s="360"/>
      <c r="H198" s="360"/>
      <c r="I198" s="43">
        <f t="shared" si="6"/>
        <v>4.9547615E7</v>
      </c>
      <c r="J198" s="233"/>
    </row>
    <row r="199" spans="8:8">
      <c r="A199" s="3" t="s">
        <v>215</v>
      </c>
      <c r="B199" s="4" t="s">
        <v>196</v>
      </c>
      <c r="C199" s="240">
        <v>1.0</v>
      </c>
      <c r="D199" s="240">
        <v>4.7419051E7</v>
      </c>
      <c r="E199" s="180">
        <v>851427.0</v>
      </c>
      <c r="F199" s="180">
        <v>1277136.0</v>
      </c>
      <c r="G199" s="360"/>
      <c r="H199" s="360"/>
      <c r="I199" s="43">
        <f t="shared" si="6"/>
        <v>4.9547615E7</v>
      </c>
      <c r="J199" s="233"/>
    </row>
    <row r="200" spans="8:8">
      <c r="A200" s="3" t="s">
        <v>216</v>
      </c>
      <c r="B200" s="4" t="s">
        <v>196</v>
      </c>
      <c r="C200" s="240">
        <v>1.0</v>
      </c>
      <c r="D200" s="240">
        <v>4.7419051E7</v>
      </c>
      <c r="E200" s="180">
        <v>851427.0</v>
      </c>
      <c r="F200" s="180">
        <v>1277136.0</v>
      </c>
      <c r="G200" s="360"/>
      <c r="H200" s="360"/>
      <c r="I200" s="43">
        <f t="shared" si="6"/>
        <v>4.9547615E7</v>
      </c>
      <c r="J200" s="233"/>
    </row>
    <row r="201" spans="8:8">
      <c r="A201" s="3" t="s">
        <v>217</v>
      </c>
      <c r="B201" s="4" t="s">
        <v>196</v>
      </c>
      <c r="C201" s="240">
        <v>1.0</v>
      </c>
      <c r="D201" s="240">
        <v>4.7419051E7</v>
      </c>
      <c r="E201" s="180">
        <v>851427.0</v>
      </c>
      <c r="F201" s="180">
        <v>1277136.0</v>
      </c>
      <c r="G201" s="360"/>
      <c r="H201" s="360"/>
      <c r="I201" s="43">
        <f t="shared" si="6"/>
        <v>4.9547615E7</v>
      </c>
      <c r="J201" s="233"/>
    </row>
    <row r="202" spans="8:8">
      <c r="A202" s="3" t="s">
        <v>218</v>
      </c>
      <c r="B202" s="4" t="s">
        <v>196</v>
      </c>
      <c r="C202" s="240">
        <v>1.0</v>
      </c>
      <c r="D202" s="240">
        <v>4.7419051E7</v>
      </c>
      <c r="E202" s="180">
        <v>851427.0</v>
      </c>
      <c r="F202" s="180">
        <v>1277136.0</v>
      </c>
      <c r="G202" s="360"/>
      <c r="H202" s="360"/>
      <c r="I202" s="43">
        <f t="shared" si="6"/>
        <v>4.9547615E7</v>
      </c>
      <c r="J202" s="233"/>
    </row>
    <row r="203" spans="8:8">
      <c r="A203" s="3" t="s">
        <v>219</v>
      </c>
      <c r="B203" s="4" t="s">
        <v>196</v>
      </c>
      <c r="C203" s="240">
        <v>1.0</v>
      </c>
      <c r="D203" s="240">
        <v>4.7419051E7</v>
      </c>
      <c r="E203" s="180">
        <v>851427.0</v>
      </c>
      <c r="F203" s="180">
        <v>1277136.0</v>
      </c>
      <c r="G203" s="360"/>
      <c r="H203" s="360"/>
      <c r="I203" s="43">
        <f t="shared" si="6"/>
        <v>4.9547615E7</v>
      </c>
      <c r="J203" s="233"/>
    </row>
    <row r="204" spans="8:8">
      <c r="A204" s="3" t="s">
        <v>220</v>
      </c>
      <c r="B204" s="4" t="s">
        <v>196</v>
      </c>
      <c r="C204" s="240">
        <v>1.0</v>
      </c>
      <c r="D204" s="240">
        <v>4.7419051E7</v>
      </c>
      <c r="E204" s="180">
        <v>851427.0</v>
      </c>
      <c r="F204" s="180">
        <v>1277136.0</v>
      </c>
      <c r="G204" s="360"/>
      <c r="H204" s="360"/>
      <c r="I204" s="43">
        <f t="shared" si="6"/>
        <v>4.9547615E7</v>
      </c>
      <c r="J204" s="233"/>
    </row>
    <row r="205" spans="8:8">
      <c r="A205" s="15" t="s">
        <v>221</v>
      </c>
      <c r="B205" s="4" t="s">
        <v>196</v>
      </c>
      <c r="C205" s="240">
        <v>1.0</v>
      </c>
      <c r="D205" s="240">
        <v>4.7419051E7</v>
      </c>
      <c r="E205" s="180">
        <v>851427.0</v>
      </c>
      <c r="F205" s="180">
        <v>1277136.0</v>
      </c>
      <c r="G205" s="360"/>
      <c r="H205" s="360"/>
      <c r="I205" s="43">
        <f t="shared" si="6"/>
        <v>4.9547615E7</v>
      </c>
      <c r="J205" s="233"/>
    </row>
    <row r="206" spans="8:8">
      <c r="A206" s="3" t="s">
        <v>222</v>
      </c>
      <c r="B206" s="4" t="s">
        <v>196</v>
      </c>
      <c r="C206" s="240">
        <v>1.0</v>
      </c>
      <c r="D206" s="240">
        <v>9.4838102E7</v>
      </c>
      <c r="E206" s="180">
        <v>851427.0</v>
      </c>
      <c r="F206" s="180">
        <v>1277136.0</v>
      </c>
      <c r="G206" s="360"/>
      <c r="H206" s="360"/>
      <c r="I206" s="43">
        <f t="shared" si="6"/>
        <v>9.6966666E7</v>
      </c>
      <c r="J206" s="233"/>
    </row>
    <row r="207" spans="8:8">
      <c r="A207" s="3" t="s">
        <v>223</v>
      </c>
      <c r="B207" s="4" t="s">
        <v>196</v>
      </c>
      <c r="C207" s="240">
        <v>1.0</v>
      </c>
      <c r="D207" s="240">
        <v>4.7419051E7</v>
      </c>
      <c r="E207" s="180">
        <v>851427.0</v>
      </c>
      <c r="F207" s="180">
        <v>1277136.0</v>
      </c>
      <c r="G207" s="360"/>
      <c r="H207" s="360"/>
      <c r="I207" s="43">
        <f t="shared" si="6"/>
        <v>4.9547615E7</v>
      </c>
      <c r="J207" s="233"/>
    </row>
    <row r="208" spans="8:8">
      <c r="A208" s="3" t="s">
        <v>224</v>
      </c>
      <c r="B208" s="4" t="s">
        <v>196</v>
      </c>
      <c r="C208" s="240">
        <v>1.0</v>
      </c>
      <c r="D208" s="240">
        <v>4.7419051E7</v>
      </c>
      <c r="E208" s="180">
        <v>851427.0</v>
      </c>
      <c r="F208" s="180">
        <v>1277136.0</v>
      </c>
      <c r="G208" s="360"/>
      <c r="H208" s="360"/>
      <c r="I208" s="43">
        <f t="shared" si="6"/>
        <v>4.9547615E7</v>
      </c>
      <c r="J208" s="233"/>
    </row>
    <row r="209" spans="8:8">
      <c r="A209" s="3" t="s">
        <v>225</v>
      </c>
      <c r="B209" s="4" t="s">
        <v>196</v>
      </c>
      <c r="C209" s="240">
        <v>1.0</v>
      </c>
      <c r="D209" s="240">
        <v>4.7419051E7</v>
      </c>
      <c r="E209" s="180">
        <v>851427.0</v>
      </c>
      <c r="F209" s="180">
        <v>1277136.0</v>
      </c>
      <c r="G209" s="360"/>
      <c r="H209" s="360"/>
      <c r="I209" s="43">
        <f t="shared" si="6"/>
        <v>4.9547615E7</v>
      </c>
      <c r="J209" s="233"/>
    </row>
    <row r="210" spans="8:8">
      <c r="A210" s="3" t="s">
        <v>226</v>
      </c>
      <c r="B210" s="4" t="s">
        <v>196</v>
      </c>
      <c r="C210" s="240">
        <v>1.0</v>
      </c>
      <c r="D210" s="240">
        <v>6.2320951E7</v>
      </c>
      <c r="E210" s="180">
        <v>851427.0</v>
      </c>
      <c r="F210" s="180">
        <v>1277136.0</v>
      </c>
      <c r="G210" s="360"/>
      <c r="H210" s="360"/>
      <c r="I210" s="43">
        <f t="shared" si="6"/>
        <v>6.4449515E7</v>
      </c>
      <c r="J210" s="233"/>
    </row>
    <row r="211" spans="8:8">
      <c r="A211" s="3" t="s">
        <v>228</v>
      </c>
      <c r="B211" s="4" t="s">
        <v>196</v>
      </c>
      <c r="C211" s="240">
        <v>1.0</v>
      </c>
      <c r="D211" s="240">
        <v>4.7419051E7</v>
      </c>
      <c r="E211" s="180">
        <v>851427.0</v>
      </c>
      <c r="F211" s="180">
        <v>1277136.0</v>
      </c>
      <c r="G211" s="360"/>
      <c r="H211" s="360"/>
      <c r="I211" s="43">
        <f t="shared" si="6"/>
        <v>4.9547615E7</v>
      </c>
      <c r="J211" s="233"/>
    </row>
    <row r="212" spans="8:8">
      <c r="A212" s="3" t="s">
        <v>229</v>
      </c>
      <c r="B212" s="4" t="s">
        <v>196</v>
      </c>
      <c r="C212" s="240">
        <v>1.0</v>
      </c>
      <c r="D212" s="240">
        <v>4.7419051E7</v>
      </c>
      <c r="E212" s="180">
        <v>851427.0</v>
      </c>
      <c r="F212" s="180">
        <v>1277136.0</v>
      </c>
      <c r="G212" s="360"/>
      <c r="H212" s="360"/>
      <c r="I212" s="43">
        <f t="shared" si="6"/>
        <v>4.9547615E7</v>
      </c>
      <c r="J212" s="233"/>
    </row>
    <row r="213" spans="8:8">
      <c r="A213" s="3" t="s">
        <v>230</v>
      </c>
      <c r="B213" s="4" t="s">
        <v>196</v>
      </c>
      <c r="C213" s="240">
        <v>1.0</v>
      </c>
      <c r="D213" s="240">
        <v>4.7419051E7</v>
      </c>
      <c r="E213" s="180">
        <v>851427.0</v>
      </c>
      <c r="F213" s="180">
        <v>1277136.0</v>
      </c>
      <c r="G213" s="360"/>
      <c r="H213" s="360"/>
      <c r="I213" s="43">
        <f t="shared" si="6"/>
        <v>4.9547615E7</v>
      </c>
      <c r="J213" s="233"/>
    </row>
    <row r="214" spans="8:8">
      <c r="A214" s="3" t="s">
        <v>231</v>
      </c>
      <c r="B214" s="4" t="s">
        <v>196</v>
      </c>
      <c r="C214" s="240">
        <v>1.0</v>
      </c>
      <c r="D214" s="240">
        <v>4.7419051E7</v>
      </c>
      <c r="E214" s="180">
        <v>851427.0</v>
      </c>
      <c r="F214" s="180">
        <v>1277136.0</v>
      </c>
      <c r="G214" s="360"/>
      <c r="H214" s="360"/>
      <c r="I214" s="43">
        <f t="shared" si="6"/>
        <v>4.9547615E7</v>
      </c>
      <c r="J214" s="233"/>
    </row>
    <row r="215" spans="8:8">
      <c r="A215" s="3" t="s">
        <v>232</v>
      </c>
      <c r="B215" s="4" t="s">
        <v>196</v>
      </c>
      <c r="C215" s="240">
        <v>1.0</v>
      </c>
      <c r="D215" s="240">
        <v>4.7419051E7</v>
      </c>
      <c r="E215" s="180">
        <v>851427.0</v>
      </c>
      <c r="F215" s="180">
        <v>1277136.0</v>
      </c>
      <c r="G215" s="360"/>
      <c r="H215" s="360"/>
      <c r="I215" s="43">
        <f t="shared" si="6"/>
        <v>4.9547615E7</v>
      </c>
      <c r="J215" s="233"/>
    </row>
    <row r="216" spans="8:8">
      <c r="A216" s="3" t="s">
        <v>233</v>
      </c>
      <c r="B216" s="4" t="s">
        <v>196</v>
      </c>
      <c r="C216" s="240">
        <v>1.0</v>
      </c>
      <c r="D216" s="240">
        <v>4.7419051E7</v>
      </c>
      <c r="E216" s="180">
        <v>851427.0</v>
      </c>
      <c r="F216" s="180">
        <v>1277136.0</v>
      </c>
      <c r="G216" s="360"/>
      <c r="H216" s="360"/>
      <c r="I216" s="43">
        <f t="shared" si="6"/>
        <v>4.9547615E7</v>
      </c>
      <c r="J216" s="233"/>
    </row>
    <row r="217" spans="8:8">
      <c r="A217" s="3" t="s">
        <v>234</v>
      </c>
      <c r="B217" s="4" t="s">
        <v>196</v>
      </c>
      <c r="C217" s="240">
        <v>1.0</v>
      </c>
      <c r="D217" s="240">
        <v>4.7419051E7</v>
      </c>
      <c r="E217" s="180">
        <v>851427.0</v>
      </c>
      <c r="F217" s="180">
        <v>1277136.0</v>
      </c>
      <c r="G217" s="360"/>
      <c r="H217" s="360"/>
      <c r="I217" s="43">
        <f t="shared" si="6"/>
        <v>4.9547615E7</v>
      </c>
      <c r="J217" s="233"/>
    </row>
    <row r="218" spans="8:8">
      <c r="A218" s="3" t="s">
        <v>235</v>
      </c>
      <c r="B218" s="4" t="s">
        <v>196</v>
      </c>
      <c r="C218" s="240">
        <v>1.0</v>
      </c>
      <c r="D218" s="240">
        <v>4.7419051E7</v>
      </c>
      <c r="E218" s="180">
        <v>851427.0</v>
      </c>
      <c r="F218" s="180">
        <v>1277136.0</v>
      </c>
      <c r="G218" s="360"/>
      <c r="H218" s="360"/>
      <c r="I218" s="43">
        <f t="shared" si="6"/>
        <v>4.9547615E7</v>
      </c>
      <c r="J218" s="233"/>
    </row>
    <row r="219" spans="8:8">
      <c r="A219" s="3" t="s">
        <v>236</v>
      </c>
      <c r="B219" s="4" t="s">
        <v>196</v>
      </c>
      <c r="C219" s="240">
        <v>1.0</v>
      </c>
      <c r="D219" s="240">
        <v>4.7419051E7</v>
      </c>
      <c r="E219" s="180">
        <v>851427.0</v>
      </c>
      <c r="F219" s="180">
        <v>1277136.0</v>
      </c>
      <c r="G219" s="360"/>
      <c r="H219" s="360"/>
      <c r="I219" s="43">
        <f t="shared" si="6"/>
        <v>4.9547615E7</v>
      </c>
      <c r="J219" s="233"/>
    </row>
    <row r="220" spans="8:8">
      <c r="A220" s="3" t="s">
        <v>237</v>
      </c>
      <c r="B220" s="4" t="s">
        <v>196</v>
      </c>
      <c r="C220" s="240">
        <v>1.0</v>
      </c>
      <c r="D220" s="240">
        <v>4.7419051E7</v>
      </c>
      <c r="E220" s="180">
        <v>851427.0</v>
      </c>
      <c r="F220" s="180">
        <v>1277136.0</v>
      </c>
      <c r="G220" s="360"/>
      <c r="H220" s="360"/>
      <c r="I220" s="43">
        <f t="shared" si="6"/>
        <v>4.9547615E7</v>
      </c>
      <c r="J220" s="233"/>
    </row>
    <row r="221" spans="8:8">
      <c r="A221" s="3" t="s">
        <v>238</v>
      </c>
      <c r="B221" s="4" t="s">
        <v>196</v>
      </c>
      <c r="C221" s="240">
        <v>1.0</v>
      </c>
      <c r="D221" s="240">
        <v>4.7419051E7</v>
      </c>
      <c r="E221" s="180">
        <v>851427.0</v>
      </c>
      <c r="F221" s="180">
        <v>1277136.0</v>
      </c>
      <c r="G221" s="360"/>
      <c r="H221" s="360"/>
      <c r="I221" s="43">
        <f t="shared" si="6"/>
        <v>4.9547615E7</v>
      </c>
      <c r="J221" s="233"/>
    </row>
    <row r="222" spans="8:8">
      <c r="A222" s="3" t="s">
        <v>239</v>
      </c>
      <c r="B222" s="4" t="s">
        <v>196</v>
      </c>
      <c r="C222" s="240">
        <v>1.0</v>
      </c>
      <c r="D222" s="240">
        <v>4.7419051E7</v>
      </c>
      <c r="E222" s="180">
        <v>851427.0</v>
      </c>
      <c r="F222" s="180">
        <v>1277136.0</v>
      </c>
      <c r="G222" s="360"/>
      <c r="H222" s="360"/>
      <c r="I222" s="43">
        <f t="shared" si="6"/>
        <v>4.9547615E7</v>
      </c>
      <c r="J222" s="233"/>
    </row>
    <row r="223" spans="8:8">
      <c r="A223" s="3" t="s">
        <v>240</v>
      </c>
      <c r="B223" s="4" t="s">
        <v>196</v>
      </c>
      <c r="C223" s="240">
        <v>1.0</v>
      </c>
      <c r="D223" s="240">
        <v>4.7419051E7</v>
      </c>
      <c r="E223" s="180">
        <v>851427.0</v>
      </c>
      <c r="F223" s="180">
        <v>1277136.0</v>
      </c>
      <c r="G223" s="360"/>
      <c r="H223" s="360"/>
      <c r="I223" s="43">
        <f t="shared" si="6"/>
        <v>4.9547615E7</v>
      </c>
      <c r="J223" s="233"/>
    </row>
    <row r="224" spans="8:8">
      <c r="A224" s="3" t="s">
        <v>241</v>
      </c>
      <c r="B224" s="16" t="s">
        <v>196</v>
      </c>
      <c r="C224" s="240">
        <v>1.0</v>
      </c>
      <c r="D224" s="240">
        <v>4.7419051E7</v>
      </c>
      <c r="E224" s="180">
        <v>851427.0</v>
      </c>
      <c r="F224" s="180">
        <v>1277136.0</v>
      </c>
      <c r="G224" s="360"/>
      <c r="H224" s="360"/>
      <c r="I224" s="43">
        <f t="shared" si="6"/>
        <v>4.9547615E7</v>
      </c>
      <c r="J224" s="233"/>
    </row>
    <row r="225" spans="8:8">
      <c r="A225" s="3" t="s">
        <v>242</v>
      </c>
      <c r="B225" s="4" t="s">
        <v>196</v>
      </c>
      <c r="C225" s="240">
        <v>1.0</v>
      </c>
      <c r="D225" s="240">
        <v>4.7419051E7</v>
      </c>
      <c r="E225" s="180">
        <v>851427.0</v>
      </c>
      <c r="F225" s="180">
        <v>1277136.0</v>
      </c>
      <c r="G225" s="360"/>
      <c r="H225" s="360"/>
      <c r="I225" s="43">
        <f t="shared" si="6"/>
        <v>4.9547615E7</v>
      </c>
      <c r="J225" s="233"/>
    </row>
    <row r="226" spans="8:8">
      <c r="A226" s="3" t="s">
        <v>243</v>
      </c>
      <c r="B226" s="4" t="s">
        <v>196</v>
      </c>
      <c r="C226" s="240">
        <v>1.0</v>
      </c>
      <c r="D226" s="240">
        <v>4.7419051E7</v>
      </c>
      <c r="E226" s="180">
        <v>851427.0</v>
      </c>
      <c r="F226" s="180">
        <v>1277136.0</v>
      </c>
      <c r="G226" s="360"/>
      <c r="H226" s="360"/>
      <c r="I226" s="43">
        <f t="shared" si="6"/>
        <v>4.9547615E7</v>
      </c>
      <c r="J226" s="233"/>
    </row>
    <row r="227" spans="8:8" s="49" ht="15.0" customFormat="1">
      <c r="A227" s="3" t="s">
        <v>244</v>
      </c>
      <c r="B227" s="4" t="s">
        <v>196</v>
      </c>
      <c r="C227" s="240">
        <v>1.0</v>
      </c>
      <c r="D227" s="240">
        <v>4.7419051E7</v>
      </c>
      <c r="E227" s="180">
        <v>851427.0</v>
      </c>
      <c r="F227" s="180">
        <v>1277136.0</v>
      </c>
      <c r="G227" s="360"/>
      <c r="H227" s="360"/>
      <c r="I227" s="241">
        <f t="shared" si="6"/>
        <v>4.9547615E7</v>
      </c>
      <c r="J227" s="233"/>
    </row>
    <row r="228" spans="8:8">
      <c r="A228" s="3" t="s">
        <v>246</v>
      </c>
      <c r="B228" s="4" t="s">
        <v>196</v>
      </c>
      <c r="C228" s="240">
        <v>1.0</v>
      </c>
      <c r="D228" s="240">
        <v>4.7419051E7</v>
      </c>
      <c r="E228" s="180">
        <v>851427.0</v>
      </c>
      <c r="F228" s="180">
        <v>1277136.0</v>
      </c>
      <c r="G228" s="360"/>
      <c r="H228" s="360"/>
      <c r="I228" s="43">
        <f t="shared" si="6"/>
        <v>4.9547615E7</v>
      </c>
      <c r="J228" s="233"/>
    </row>
    <row r="229" spans="8:8">
      <c r="A229" s="3" t="s">
        <v>247</v>
      </c>
      <c r="B229" s="4" t="s">
        <v>196</v>
      </c>
      <c r="C229" s="240">
        <v>1.0</v>
      </c>
      <c r="D229" s="240">
        <v>4.7419051E7</v>
      </c>
      <c r="E229" s="180">
        <v>851427.0</v>
      </c>
      <c r="F229" s="180">
        <v>1277136.0</v>
      </c>
      <c r="G229" s="360"/>
      <c r="H229" s="360"/>
      <c r="I229" s="43">
        <f t="shared" si="6"/>
        <v>4.9547615E7</v>
      </c>
      <c r="J229" s="233"/>
    </row>
    <row r="230" spans="8:8">
      <c r="A230" s="3" t="s">
        <v>248</v>
      </c>
      <c r="B230" s="4" t="s">
        <v>196</v>
      </c>
      <c r="C230" s="240">
        <v>1.0</v>
      </c>
      <c r="D230" s="240">
        <v>4.7419051E7</v>
      </c>
      <c r="E230" s="180">
        <v>851427.0</v>
      </c>
      <c r="F230" s="180">
        <v>1277136.0</v>
      </c>
      <c r="G230" s="360"/>
      <c r="H230" s="360"/>
      <c r="I230" s="43">
        <f t="shared" si="6"/>
        <v>4.9547615E7</v>
      </c>
      <c r="J230" s="233"/>
    </row>
    <row r="231" spans="8:8">
      <c r="A231" s="3" t="s">
        <v>249</v>
      </c>
      <c r="B231" s="4" t="s">
        <v>196</v>
      </c>
      <c r="C231" s="240">
        <v>1.0</v>
      </c>
      <c r="D231" s="240">
        <v>4.7419051E7</v>
      </c>
      <c r="E231" s="180">
        <v>851427.0</v>
      </c>
      <c r="F231" s="180">
        <v>1277136.0</v>
      </c>
      <c r="G231" s="360"/>
      <c r="H231" s="360"/>
      <c r="I231" s="43">
        <f t="shared" si="6"/>
        <v>4.9547615E7</v>
      </c>
      <c r="J231" s="233"/>
    </row>
    <row r="232" spans="8:8">
      <c r="A232" s="3" t="s">
        <v>250</v>
      </c>
      <c r="B232" s="4" t="s">
        <v>196</v>
      </c>
      <c r="C232" s="240">
        <v>1.0</v>
      </c>
      <c r="D232" s="240">
        <v>4.7419051E7</v>
      </c>
      <c r="E232" s="180">
        <v>851427.0</v>
      </c>
      <c r="F232" s="180">
        <v>1277136.0</v>
      </c>
      <c r="G232" s="360"/>
      <c r="H232" s="360"/>
      <c r="I232" s="43">
        <f t="shared" si="6"/>
        <v>4.9547615E7</v>
      </c>
      <c r="J232" s="233"/>
    </row>
    <row r="233" spans="8:8">
      <c r="A233" s="3" t="s">
        <v>251</v>
      </c>
      <c r="B233" s="4" t="s">
        <v>196</v>
      </c>
      <c r="C233" s="240">
        <v>1.0</v>
      </c>
      <c r="D233" s="240">
        <v>4.7419051E7</v>
      </c>
      <c r="E233" s="180">
        <v>851427.0</v>
      </c>
      <c r="F233" s="180">
        <v>1277136.0</v>
      </c>
      <c r="G233" s="360"/>
      <c r="H233" s="360"/>
      <c r="I233" s="43">
        <f t="shared" si="6"/>
        <v>4.9547615E7</v>
      </c>
      <c r="J233" s="233"/>
    </row>
    <row r="234" spans="8:8">
      <c r="A234" s="3" t="s">
        <v>252</v>
      </c>
      <c r="B234" s="4" t="s">
        <v>196</v>
      </c>
      <c r="C234" s="240">
        <v>1.0</v>
      </c>
      <c r="D234" s="240">
        <v>4.7419051E7</v>
      </c>
      <c r="E234" s="180">
        <v>851427.0</v>
      </c>
      <c r="F234" s="180">
        <v>1277136.0</v>
      </c>
      <c r="G234" s="360"/>
      <c r="H234" s="360"/>
      <c r="I234" s="43">
        <f t="shared" si="6"/>
        <v>4.9547615E7</v>
      </c>
      <c r="J234" s="233"/>
    </row>
    <row r="235" spans="8:8">
      <c r="A235" s="3" t="s">
        <v>253</v>
      </c>
      <c r="B235" s="4" t="s">
        <v>196</v>
      </c>
      <c r="C235" s="240">
        <v>1.0</v>
      </c>
      <c r="D235" s="240">
        <v>4.7419051E7</v>
      </c>
      <c r="E235" s="180">
        <v>851427.0</v>
      </c>
      <c r="F235" s="180">
        <v>1277136.0</v>
      </c>
      <c r="G235" s="360"/>
      <c r="H235" s="360"/>
      <c r="I235" s="43">
        <f t="shared" si="6"/>
        <v>4.9547615E7</v>
      </c>
      <c r="J235" s="233"/>
    </row>
    <row r="236" spans="8:8">
      <c r="A236" s="3" t="s">
        <v>254</v>
      </c>
      <c r="B236" s="4" t="s">
        <v>196</v>
      </c>
      <c r="C236" s="240">
        <v>1.0</v>
      </c>
      <c r="D236" s="240">
        <v>4.7419051E7</v>
      </c>
      <c r="E236" s="180">
        <v>851427.0</v>
      </c>
      <c r="F236" s="180">
        <v>1277136.0</v>
      </c>
      <c r="G236" s="360"/>
      <c r="H236" s="360"/>
      <c r="I236" s="43">
        <f t="shared" si="6"/>
        <v>4.9547615E7</v>
      </c>
      <c r="J236" s="233"/>
    </row>
    <row r="237" spans="8:8">
      <c r="A237" s="3" t="s">
        <v>255</v>
      </c>
      <c r="B237" s="4" t="s">
        <v>196</v>
      </c>
      <c r="C237" s="240">
        <v>1.0</v>
      </c>
      <c r="D237" s="240">
        <v>4.7419051E7</v>
      </c>
      <c r="E237" s="180">
        <v>851427.0</v>
      </c>
      <c r="F237" s="180">
        <v>1277136.0</v>
      </c>
      <c r="G237" s="360"/>
      <c r="H237" s="360"/>
      <c r="I237" s="43">
        <f t="shared" si="6"/>
        <v>4.9547615E7</v>
      </c>
      <c r="J237" s="233"/>
    </row>
    <row r="238" spans="8:8">
      <c r="A238" s="3" t="s">
        <v>256</v>
      </c>
      <c r="B238" s="4" t="s">
        <v>196</v>
      </c>
      <c r="C238" s="240">
        <v>1.0</v>
      </c>
      <c r="D238" s="240">
        <v>4.7419051E7</v>
      </c>
      <c r="E238" s="180">
        <v>851427.0</v>
      </c>
      <c r="F238" s="180">
        <v>1277136.0</v>
      </c>
      <c r="G238" s="360"/>
      <c r="H238" s="360"/>
      <c r="I238" s="43">
        <f t="shared" si="6"/>
        <v>4.9547615E7</v>
      </c>
      <c r="J238" s="233"/>
    </row>
    <row r="239" spans="8:8">
      <c r="A239" s="3" t="s">
        <v>257</v>
      </c>
      <c r="B239" s="4" t="s">
        <v>196</v>
      </c>
      <c r="C239" s="240">
        <v>1.0</v>
      </c>
      <c r="D239" s="240">
        <v>4.7419051E7</v>
      </c>
      <c r="E239" s="180">
        <v>851427.0</v>
      </c>
      <c r="F239" s="180">
        <v>1277136.0</v>
      </c>
      <c r="G239" s="360"/>
      <c r="H239" s="360"/>
      <c r="I239" s="43">
        <f t="shared" si="6"/>
        <v>4.9547615E7</v>
      </c>
      <c r="J239" s="233"/>
    </row>
    <row r="240" spans="8:8">
      <c r="A240" s="3" t="s">
        <v>258</v>
      </c>
      <c r="B240" s="4" t="s">
        <v>196</v>
      </c>
      <c r="C240" s="240">
        <v>1.0</v>
      </c>
      <c r="D240" s="240">
        <v>4.7419051E7</v>
      </c>
      <c r="E240" s="180">
        <v>851427.0</v>
      </c>
      <c r="F240" s="180">
        <v>1277136.0</v>
      </c>
      <c r="G240" s="360"/>
      <c r="H240" s="360"/>
      <c r="I240" s="43">
        <f t="shared" si="6"/>
        <v>4.9547615E7</v>
      </c>
      <c r="J240" s="233"/>
    </row>
    <row r="241" spans="8:8">
      <c r="A241" s="3" t="s">
        <v>259</v>
      </c>
      <c r="B241" s="4" t="s">
        <v>196</v>
      </c>
      <c r="C241" s="240">
        <v>1.0</v>
      </c>
      <c r="D241" s="240">
        <v>4.7419051E7</v>
      </c>
      <c r="E241" s="180">
        <v>851427.0</v>
      </c>
      <c r="F241" s="180">
        <v>1277136.0</v>
      </c>
      <c r="G241" s="360"/>
      <c r="H241" s="360"/>
      <c r="I241" s="43">
        <f>SUM(C241:H241)</f>
        <v>4.9547615E7</v>
      </c>
      <c r="J241" s="233"/>
    </row>
    <row r="242" spans="8:8">
      <c r="A242" s="3" t="s">
        <v>260</v>
      </c>
      <c r="B242" s="4" t="s">
        <v>196</v>
      </c>
      <c r="C242" s="240">
        <v>1.9682654E7</v>
      </c>
      <c r="D242" s="240">
        <v>5.6954544E7</v>
      </c>
      <c r="E242" s="180">
        <v>851427.0</v>
      </c>
      <c r="F242" s="180">
        <v>1277136.0</v>
      </c>
      <c r="G242" s="360"/>
      <c r="H242" s="360"/>
      <c r="I242" s="43">
        <f>SUM(C242:H242)</f>
        <v>7.8765761E7</v>
      </c>
      <c r="J242" s="233"/>
    </row>
    <row r="243" spans="8:8">
      <c r="A243" s="3" t="s">
        <v>262</v>
      </c>
      <c r="B243" s="4" t="s">
        <v>196</v>
      </c>
      <c r="C243" s="240">
        <v>1.0</v>
      </c>
      <c r="D243" s="240">
        <v>5.6902861E7</v>
      </c>
      <c r="E243" s="180">
        <v>851427.0</v>
      </c>
      <c r="F243" s="180">
        <v>1277136.0</v>
      </c>
      <c r="G243" s="360"/>
      <c r="H243" s="360"/>
      <c r="I243" s="43">
        <f t="shared" si="7" ref="I243:I255">SUM(C243:F243)</f>
        <v>5.9031425E7</v>
      </c>
      <c r="J243" s="233"/>
    </row>
    <row r="244" spans="8:8">
      <c r="A244" s="3" t="s">
        <v>265</v>
      </c>
      <c r="B244" s="4" t="s">
        <v>196</v>
      </c>
      <c r="C244" s="240">
        <v>1.0</v>
      </c>
      <c r="D244" s="240">
        <v>4.7419051E7</v>
      </c>
      <c r="E244" s="180">
        <v>851427.0</v>
      </c>
      <c r="F244" s="180">
        <v>1277136.0</v>
      </c>
      <c r="G244" s="360"/>
      <c r="H244" s="360"/>
      <c r="I244" s="43">
        <f t="shared" si="7"/>
        <v>4.9547615E7</v>
      </c>
      <c r="J244" s="233"/>
    </row>
    <row r="245" spans="8:8">
      <c r="A245" s="3" t="s">
        <v>266</v>
      </c>
      <c r="B245" s="4" t="s">
        <v>196</v>
      </c>
      <c r="C245" s="240">
        <v>1.0</v>
      </c>
      <c r="D245" s="240">
        <v>4.7419051E7</v>
      </c>
      <c r="E245" s="180">
        <v>851427.0</v>
      </c>
      <c r="F245" s="180">
        <v>1277136.0</v>
      </c>
      <c r="G245" s="360"/>
      <c r="H245" s="360"/>
      <c r="I245" s="43">
        <f t="shared" si="7"/>
        <v>4.9547615E7</v>
      </c>
      <c r="J245" s="233"/>
    </row>
    <row r="246" spans="8:8">
      <c r="A246" s="3" t="s">
        <v>267</v>
      </c>
      <c r="B246" s="4" t="s">
        <v>196</v>
      </c>
      <c r="C246" s="240">
        <v>1.0</v>
      </c>
      <c r="D246" s="240">
        <v>4.7419051E7</v>
      </c>
      <c r="E246" s="180">
        <v>851427.0</v>
      </c>
      <c r="F246" s="180">
        <v>1277136.0</v>
      </c>
      <c r="G246" s="360"/>
      <c r="H246" s="360"/>
      <c r="I246" s="43">
        <f t="shared" si="7"/>
        <v>4.9547615E7</v>
      </c>
      <c r="J246" s="233"/>
    </row>
    <row r="247" spans="8:8">
      <c r="A247" s="3" t="s">
        <v>268</v>
      </c>
      <c r="B247" s="4" t="s">
        <v>196</v>
      </c>
      <c r="C247" s="240">
        <v>1.0</v>
      </c>
      <c r="D247" s="240">
        <v>4.7419051E7</v>
      </c>
      <c r="E247" s="180">
        <v>851427.0</v>
      </c>
      <c r="F247" s="180">
        <v>1277136.0</v>
      </c>
      <c r="G247" s="360"/>
      <c r="H247" s="360"/>
      <c r="I247" s="43">
        <f t="shared" si="7"/>
        <v>4.9547615E7</v>
      </c>
      <c r="J247" s="233"/>
    </row>
    <row r="248" spans="8:8">
      <c r="A248" s="3" t="s">
        <v>269</v>
      </c>
      <c r="B248" s="4" t="s">
        <v>196</v>
      </c>
      <c r="C248" s="240">
        <v>1.0</v>
      </c>
      <c r="D248" s="240">
        <v>4.7419051E7</v>
      </c>
      <c r="E248" s="180">
        <v>851427.0</v>
      </c>
      <c r="F248" s="180">
        <v>1277136.0</v>
      </c>
      <c r="G248" s="360"/>
      <c r="H248" s="360"/>
      <c r="I248" s="43">
        <f t="shared" si="7"/>
        <v>4.9547615E7</v>
      </c>
      <c r="J248" s="233"/>
    </row>
    <row r="249" spans="8:8">
      <c r="A249" s="3" t="s">
        <v>270</v>
      </c>
      <c r="B249" s="4" t="s">
        <v>196</v>
      </c>
      <c r="C249" s="240">
        <v>1.0</v>
      </c>
      <c r="D249" s="240">
        <v>4.7419051E7</v>
      </c>
      <c r="E249" s="180">
        <v>851427.0</v>
      </c>
      <c r="F249" s="180">
        <v>1277136.0</v>
      </c>
      <c r="G249" s="360"/>
      <c r="H249" s="360"/>
      <c r="I249" s="43">
        <f t="shared" si="7"/>
        <v>4.9547615E7</v>
      </c>
      <c r="J249" s="233"/>
    </row>
    <row r="250" spans="8:8">
      <c r="A250" s="3" t="s">
        <v>271</v>
      </c>
      <c r="B250" s="4" t="s">
        <v>196</v>
      </c>
      <c r="C250" s="240">
        <v>1.0</v>
      </c>
      <c r="D250" s="240">
        <v>4.7419051E7</v>
      </c>
      <c r="E250" s="180">
        <v>851427.0</v>
      </c>
      <c r="F250" s="180">
        <v>1277136.0</v>
      </c>
      <c r="G250" s="360"/>
      <c r="H250" s="360"/>
      <c r="I250" s="43">
        <f t="shared" si="7"/>
        <v>4.9547615E7</v>
      </c>
      <c r="J250" s="233"/>
    </row>
    <row r="251" spans="8:8">
      <c r="A251" s="3" t="s">
        <v>272</v>
      </c>
      <c r="B251" s="4" t="s">
        <v>196</v>
      </c>
      <c r="C251" s="240">
        <v>1.0</v>
      </c>
      <c r="D251" s="240">
        <v>4.7419051E7</v>
      </c>
      <c r="E251" s="180">
        <v>851427.0</v>
      </c>
      <c r="F251" s="180">
        <v>1277136.0</v>
      </c>
      <c r="G251" s="360"/>
      <c r="H251" s="360"/>
      <c r="I251" s="43">
        <f t="shared" si="7"/>
        <v>4.9547615E7</v>
      </c>
      <c r="J251" s="233"/>
    </row>
    <row r="252" spans="8:8">
      <c r="A252" s="3" t="s">
        <v>273</v>
      </c>
      <c r="B252" s="4" t="s">
        <v>196</v>
      </c>
      <c r="C252" s="240">
        <v>1.0</v>
      </c>
      <c r="D252" s="240">
        <v>4.7419051E7</v>
      </c>
      <c r="E252" s="180">
        <v>851427.0</v>
      </c>
      <c r="F252" s="180">
        <v>1277136.0</v>
      </c>
      <c r="G252" s="360"/>
      <c r="H252" s="360"/>
      <c r="I252" s="43">
        <f t="shared" si="7"/>
        <v>4.9547615E7</v>
      </c>
      <c r="J252" s="233"/>
    </row>
    <row r="253" spans="8:8">
      <c r="A253" s="3" t="s">
        <v>274</v>
      </c>
      <c r="B253" s="4" t="s">
        <v>196</v>
      </c>
      <c r="C253" s="240">
        <v>1.0</v>
      </c>
      <c r="D253" s="240">
        <v>4.7419051E7</v>
      </c>
      <c r="E253" s="180">
        <v>851427.0</v>
      </c>
      <c r="F253" s="180">
        <v>1277136.0</v>
      </c>
      <c r="G253" s="360"/>
      <c r="H253" s="360"/>
      <c r="I253" s="43">
        <f t="shared" si="7"/>
        <v>4.9547615E7</v>
      </c>
      <c r="J253" s="233"/>
    </row>
    <row r="254" spans="8:8">
      <c r="A254" s="3" t="s">
        <v>275</v>
      </c>
      <c r="B254" s="4" t="s">
        <v>196</v>
      </c>
      <c r="C254" s="240">
        <v>1.0</v>
      </c>
      <c r="D254" s="240">
        <v>4.7419051E7</v>
      </c>
      <c r="E254" s="180">
        <v>851427.0</v>
      </c>
      <c r="F254" s="180">
        <v>1277136.0</v>
      </c>
      <c r="G254" s="360"/>
      <c r="H254" s="360"/>
      <c r="I254" s="43">
        <f t="shared" si="7"/>
        <v>4.9547615E7</v>
      </c>
      <c r="J254" s="233"/>
    </row>
    <row r="255" spans="8:8">
      <c r="A255" s="3" t="s">
        <v>276</v>
      </c>
      <c r="B255" s="4" t="s">
        <v>196</v>
      </c>
      <c r="C255" s="240">
        <v>1.0</v>
      </c>
      <c r="D255" s="240">
        <v>4.7419051E7</v>
      </c>
      <c r="E255" s="180">
        <v>851427.0</v>
      </c>
      <c r="F255" s="180">
        <v>1277136.0</v>
      </c>
      <c r="G255" s="360"/>
      <c r="H255" s="360"/>
      <c r="I255" s="43">
        <f t="shared" si="7"/>
        <v>4.9547615E7</v>
      </c>
      <c r="J255" s="233"/>
    </row>
    <row r="256" spans="8:8">
      <c r="A256" s="334" t="s">
        <v>407</v>
      </c>
      <c r="B256" s="4" t="s">
        <v>196</v>
      </c>
      <c r="C256" s="240">
        <v>1.0</v>
      </c>
      <c r="D256" s="240">
        <v>9.4838102E7</v>
      </c>
      <c r="E256" s="180">
        <v>851427.0</v>
      </c>
      <c r="F256" s="180">
        <v>1277136.0</v>
      </c>
      <c r="G256" s="360"/>
      <c r="H256" s="360"/>
      <c r="I256" s="43">
        <f t="shared" si="8" ref="I256:I270">SUM(C256:H256)</f>
        <v>9.6966666E7</v>
      </c>
      <c r="J256" s="233"/>
    </row>
    <row r="257" spans="8:8">
      <c r="A257" s="334" t="s">
        <v>408</v>
      </c>
      <c r="B257" s="4" t="s">
        <v>196</v>
      </c>
      <c r="C257" s="240">
        <v>1.0</v>
      </c>
      <c r="D257" s="240">
        <v>9.4838102E7</v>
      </c>
      <c r="E257" s="180">
        <v>851427.0</v>
      </c>
      <c r="F257" s="180">
        <v>1277136.0</v>
      </c>
      <c r="G257" s="360"/>
      <c r="H257" s="360"/>
      <c r="I257" s="43">
        <f t="shared" si="8"/>
        <v>9.6966666E7</v>
      </c>
      <c r="J257" s="233"/>
    </row>
    <row r="258" spans="8:8">
      <c r="A258" s="15" t="s">
        <v>277</v>
      </c>
      <c r="B258" s="4" t="s">
        <v>196</v>
      </c>
      <c r="C258" s="240">
        <v>1.0</v>
      </c>
      <c r="D258" s="240">
        <v>4.7419051E7</v>
      </c>
      <c r="E258" s="180">
        <v>851427.0</v>
      </c>
      <c r="F258" s="180">
        <v>1277136.0</v>
      </c>
      <c r="G258" s="360"/>
      <c r="H258" s="360"/>
      <c r="I258" s="43">
        <f t="shared" si="8"/>
        <v>4.9547615E7</v>
      </c>
      <c r="J258" s="233"/>
    </row>
    <row r="259" spans="8:8">
      <c r="A259" s="3" t="s">
        <v>280</v>
      </c>
      <c r="B259" s="4" t="s">
        <v>196</v>
      </c>
      <c r="C259" s="240">
        <v>1.9682653E7</v>
      </c>
      <c r="D259" s="240">
        <v>5.6954544E7</v>
      </c>
      <c r="E259" s="180">
        <v>851427.0</v>
      </c>
      <c r="F259" s="180">
        <v>1277136.0</v>
      </c>
      <c r="G259" s="360"/>
      <c r="H259" s="360"/>
      <c r="I259" s="43">
        <f t="shared" si="8"/>
        <v>7.876576E7</v>
      </c>
      <c r="J259" s="233"/>
    </row>
    <row r="260" spans="8:8">
      <c r="A260" s="207" t="s">
        <v>281</v>
      </c>
      <c r="B260" s="208" t="s">
        <v>282</v>
      </c>
      <c r="C260" s="356">
        <v>3.0E7</v>
      </c>
      <c r="D260" s="64"/>
      <c r="E260" s="180"/>
      <c r="F260" s="180"/>
      <c r="G260" s="360"/>
      <c r="H260" s="360"/>
      <c r="I260" s="210">
        <f t="shared" si="8"/>
        <v>3.0E7</v>
      </c>
    </row>
    <row r="261" spans="8:8">
      <c r="A261" s="207" t="s">
        <v>283</v>
      </c>
      <c r="B261" s="208" t="s">
        <v>282</v>
      </c>
      <c r="C261" s="356">
        <v>3.0E7</v>
      </c>
      <c r="D261" s="64"/>
      <c r="E261" s="180"/>
      <c r="F261" s="180"/>
      <c r="G261" s="360"/>
      <c r="H261" s="360"/>
      <c r="I261" s="210">
        <f t="shared" si="8"/>
        <v>3.0E7</v>
      </c>
    </row>
    <row r="262" spans="8:8">
      <c r="A262" s="207" t="s">
        <v>284</v>
      </c>
      <c r="B262" s="208" t="s">
        <v>285</v>
      </c>
      <c r="C262" s="180">
        <v>243360.0</v>
      </c>
      <c r="D262" s="64"/>
      <c r="E262" s="180"/>
      <c r="F262" s="180"/>
      <c r="G262" s="360"/>
      <c r="H262" s="360"/>
      <c r="I262" s="210">
        <f t="shared" si="8"/>
        <v>243360.0</v>
      </c>
    </row>
    <row r="263" spans="8:8">
      <c r="A263" s="207" t="s">
        <v>286</v>
      </c>
      <c r="B263" s="208" t="s">
        <v>285</v>
      </c>
      <c r="C263" s="180">
        <v>367457.0</v>
      </c>
      <c r="D263" s="64"/>
      <c r="E263" s="180"/>
      <c r="F263" s="180"/>
      <c r="G263" s="360"/>
      <c r="H263" s="360"/>
      <c r="I263" s="210">
        <f t="shared" si="8"/>
        <v>367457.0</v>
      </c>
    </row>
    <row r="264" spans="8:8">
      <c r="A264" s="15" t="s">
        <v>4</v>
      </c>
      <c r="B264" s="16" t="s">
        <v>285</v>
      </c>
      <c r="C264" s="180">
        <v>851427.0</v>
      </c>
      <c r="D264" s="64"/>
      <c r="E264" s="180"/>
      <c r="F264" s="180"/>
      <c r="G264" s="360"/>
      <c r="H264" s="360"/>
      <c r="I264" s="210">
        <f t="shared" si="8"/>
        <v>851427.0</v>
      </c>
    </row>
    <row r="265" spans="8:8">
      <c r="A265" s="15" t="s">
        <v>406</v>
      </c>
      <c r="B265" s="16" t="s">
        <v>285</v>
      </c>
      <c r="C265" s="180">
        <v>3334500.0</v>
      </c>
      <c r="D265" s="64"/>
      <c r="E265" s="180"/>
      <c r="F265" s="180"/>
      <c r="G265" s="360"/>
      <c r="H265" s="360"/>
      <c r="I265" s="210">
        <f t="shared" si="8"/>
        <v>3334500.0</v>
      </c>
    </row>
    <row r="266" spans="8:8">
      <c r="A266" s="207" t="s">
        <v>287</v>
      </c>
      <c r="B266" s="16" t="s">
        <v>285</v>
      </c>
      <c r="C266" s="180">
        <v>2554272.0</v>
      </c>
      <c r="D266" s="64"/>
      <c r="E266" s="180"/>
      <c r="F266" s="180"/>
      <c r="G266" s="360"/>
      <c r="H266" s="360"/>
      <c r="I266" s="210">
        <f t="shared" si="8"/>
        <v>2554272.0</v>
      </c>
    </row>
    <row r="267" spans="8:8">
      <c r="A267" s="15" t="s">
        <v>319</v>
      </c>
      <c r="B267" s="16" t="s">
        <v>285</v>
      </c>
      <c r="C267" s="180">
        <v>1544400.0</v>
      </c>
      <c r="D267" s="64"/>
      <c r="E267" s="180"/>
      <c r="F267" s="180"/>
      <c r="G267" s="360"/>
      <c r="H267" s="360"/>
      <c r="I267" s="210">
        <f t="shared" si="8"/>
        <v>1544400.0</v>
      </c>
    </row>
    <row r="268" spans="8:8">
      <c r="A268" s="15" t="s">
        <v>5</v>
      </c>
      <c r="B268" s="16" t="s">
        <v>285</v>
      </c>
      <c r="C268" s="180">
        <v>1277136.0</v>
      </c>
      <c r="D268" s="64"/>
      <c r="E268" s="180"/>
      <c r="F268" s="180"/>
      <c r="G268" s="360"/>
      <c r="H268" s="360"/>
      <c r="I268" s="210">
        <f t="shared" si="8"/>
        <v>1277136.0</v>
      </c>
    </row>
    <row r="269" spans="8:8">
      <c r="A269" s="15" t="s">
        <v>288</v>
      </c>
      <c r="B269" s="16" t="s">
        <v>285</v>
      </c>
      <c r="C269" s="180">
        <v>4263849.0</v>
      </c>
      <c r="D269" s="64"/>
      <c r="E269" s="180"/>
      <c r="F269" s="180"/>
      <c r="G269" s="360"/>
      <c r="H269" s="360"/>
      <c r="I269" s="210">
        <f t="shared" si="8"/>
        <v>4263849.0</v>
      </c>
    </row>
    <row r="270" spans="8:8">
      <c r="A270" s="207" t="s">
        <v>291</v>
      </c>
      <c r="B270" s="208" t="s">
        <v>290</v>
      </c>
      <c r="C270" s="180">
        <v>1.5641116E7</v>
      </c>
      <c r="D270" s="240">
        <v>1.5641116E7</v>
      </c>
      <c r="E270" s="180">
        <v>851427.0</v>
      </c>
      <c r="F270" s="180">
        <v>1277136.0</v>
      </c>
      <c r="G270" s="360"/>
      <c r="H270" s="360"/>
      <c r="I270" s="210">
        <f t="shared" si="8"/>
        <v>3.3410795E7</v>
      </c>
    </row>
    <row r="271" spans="8:8">
      <c r="A271" s="39"/>
      <c r="C271" s="161"/>
      <c r="D271" s="39"/>
    </row>
    <row r="272" spans="8:8">
      <c r="A272" s="39"/>
      <c r="C272" s="161"/>
      <c r="D272" s="39"/>
    </row>
    <row r="273" spans="8:8">
      <c r="A273" s="39"/>
    </row>
    <row r="274" spans="8:8">
      <c r="A274" s="39"/>
    </row>
    <row r="276" spans="8:8">
      <c r="A276" s="38" t="s">
        <v>351</v>
      </c>
    </row>
    <row r="285" spans="8:8">
      <c r="H285" s="351"/>
      <c r="J285" s="49"/>
      <c r="K285" s="49"/>
    </row>
    <row r="286" spans="8:8" s="49" ht="15.0" customFormat="1">
      <c r="A286" s="38"/>
      <c r="B286" s="39"/>
      <c r="C286" s="40"/>
      <c r="D286" s="163"/>
      <c r="E286" s="163"/>
      <c r="F286" s="163"/>
      <c r="G286" s="314"/>
      <c r="H286" s="351"/>
      <c r="J286" s="39"/>
      <c r="K286" s="39"/>
    </row>
    <row r="293" spans="8:8">
      <c r="J293" s="49"/>
      <c r="K293" s="49"/>
    </row>
    <row r="294" spans="8:8" s="49" ht="15.0" customFormat="1">
      <c r="A294" s="38"/>
      <c r="B294" s="39"/>
      <c r="C294" s="40"/>
      <c r="D294" s="163"/>
      <c r="E294" s="163"/>
      <c r="F294" s="163"/>
      <c r="G294" s="314"/>
      <c r="H294" s="351"/>
      <c r="J294" s="39"/>
      <c r="K294" s="39"/>
    </row>
    <row r="296" spans="8:8">
      <c r="J296" s="49"/>
      <c r="K296" s="49"/>
    </row>
    <row r="297" spans="8:8" s="49" ht="15.0" customFormat="1">
      <c r="A297" s="38"/>
      <c r="B297" s="39"/>
      <c r="C297" s="40"/>
      <c r="D297" s="163"/>
      <c r="E297" s="163"/>
      <c r="F297" s="163"/>
      <c r="G297" s="314"/>
      <c r="H297" s="351"/>
    </row>
    <row r="298" spans="8:8" s="49" ht="15.0" customFormat="1">
      <c r="A298" s="38"/>
      <c r="B298" s="39"/>
      <c r="C298" s="40"/>
      <c r="D298" s="163"/>
      <c r="E298" s="163"/>
      <c r="F298" s="163"/>
      <c r="G298" s="314"/>
      <c r="H298" s="351"/>
      <c r="J298" s="39"/>
      <c r="K298" s="39"/>
    </row>
    <row r="299" spans="8:8">
      <c r="H299" s="248"/>
    </row>
    <row r="300" spans="8:8">
      <c r="H300" s="248"/>
    </row>
  </sheetData>
  <pageMargins left="0.49" right="0.45" top="0.27" bottom="0.25" header="0.19" footer="0.2"/>
</worksheet>
</file>

<file path=xl/worksheets/sheet28.xml><?xml version="1.0" encoding="utf-8"?>
<worksheet xmlns:r="http://schemas.openxmlformats.org/officeDocument/2006/relationships" xmlns="http://schemas.openxmlformats.org/spreadsheetml/2006/main">
  <dimension ref="A1:M300"/>
  <sheetViews>
    <sheetView workbookViewId="0">
      <pane ySplit="1" topLeftCell="A2" state="frozen" activePane="bottomLeft"/>
      <selection pane="bottomLeft" activeCell="H1" sqref="H1:H1048576"/>
    </sheetView>
  </sheetViews>
  <sheetFormatPr defaultRowHeight="15.0" defaultColWidth="10"/>
  <cols>
    <col min="1" max="1" customWidth="1" width="60.42578" style="38"/>
    <col min="2" max="2" customWidth="1" width="14.285156" style="39"/>
    <col min="3" max="3" hidden="1" customWidth="1" width="14.5703125" style="40"/>
    <col min="4" max="5" hidden="1" customWidth="1" width="18.140625" style="163"/>
    <col min="6" max="6" hidden="1" customWidth="1" width="19.710938" style="163"/>
    <col min="7" max="7" hidden="1" customWidth="1" width="14.5703125" style="314"/>
    <col min="8" max="8" hidden="1" customWidth="1" width="19.710938" style="244"/>
    <col min="9" max="9" customWidth="1" width="15.7109375" style="39"/>
    <col min="10" max="10" customWidth="0" width="11.425781" style="39"/>
    <col min="11" max="11" customWidth="1" bestFit="1" width="41.710938" style="39"/>
    <col min="12" max="16384" customWidth="0" width="11.425781" style="39"/>
  </cols>
  <sheetData>
    <row r="1" spans="8:8" ht="15.75">
      <c r="A1" s="226" t="s">
        <v>0</v>
      </c>
      <c r="B1" s="227" t="s">
        <v>1</v>
      </c>
      <c r="C1" s="228" t="s">
        <v>416</v>
      </c>
      <c r="D1" s="228" t="s">
        <v>3</v>
      </c>
      <c r="E1" s="229" t="s">
        <v>4</v>
      </c>
      <c r="F1" s="229" t="s">
        <v>5</v>
      </c>
      <c r="G1" s="229" t="s">
        <v>406</v>
      </c>
      <c r="H1" s="229" t="s">
        <v>319</v>
      </c>
      <c r="I1" s="230" t="s">
        <v>294</v>
      </c>
    </row>
    <row r="2" spans="8:8">
      <c r="A2" s="10" t="s">
        <v>7</v>
      </c>
      <c r="B2" s="11" t="s">
        <v>8</v>
      </c>
      <c r="C2" s="361">
        <v>1.0</v>
      </c>
      <c r="D2" s="361">
        <v>2.59384846E7</v>
      </c>
      <c r="E2" s="184">
        <v>1191998.0</v>
      </c>
      <c r="F2" s="184">
        <v>1787991.0</v>
      </c>
      <c r="G2" s="316"/>
      <c r="H2" s="362"/>
      <c r="I2" s="46">
        <f>SUM(C2:H2)</f>
        <v>2.89184746E7</v>
      </c>
    </row>
    <row r="3" spans="8:8">
      <c r="A3" s="3" t="s">
        <v>9</v>
      </c>
      <c r="B3" s="4" t="s">
        <v>8</v>
      </c>
      <c r="C3" s="356">
        <v>1.0</v>
      </c>
      <c r="D3" s="356">
        <v>2.59384846E7</v>
      </c>
      <c r="E3" s="180">
        <v>1191998.0</v>
      </c>
      <c r="F3" s="180">
        <v>1787991.0</v>
      </c>
      <c r="G3" s="329"/>
      <c r="H3" s="329"/>
      <c r="I3" s="43">
        <f>SUM(C3:F3)</f>
        <v>2.89184746E7</v>
      </c>
    </row>
    <row r="4" spans="8:8">
      <c r="A4" s="3" t="s">
        <v>10</v>
      </c>
      <c r="B4" s="4" t="s">
        <v>8</v>
      </c>
      <c r="C4" s="356">
        <v>1.0</v>
      </c>
      <c r="D4" s="356">
        <v>2.59384846E7</v>
      </c>
      <c r="E4" s="180">
        <v>1191998.0</v>
      </c>
      <c r="F4" s="180">
        <v>1787991.0</v>
      </c>
      <c r="G4" s="329"/>
      <c r="H4" s="329"/>
      <c r="I4" s="43">
        <f>SUM(C4:F4)</f>
        <v>2.89184746E7</v>
      </c>
    </row>
    <row r="5" spans="8:8">
      <c r="A5" s="3" t="s">
        <v>11</v>
      </c>
      <c r="B5" s="4" t="s">
        <v>8</v>
      </c>
      <c r="C5" s="356">
        <v>1.0</v>
      </c>
      <c r="D5" s="356">
        <v>2.03951804E7</v>
      </c>
      <c r="E5" s="180">
        <v>1191998.0</v>
      </c>
      <c r="F5" s="180">
        <v>1787991.0</v>
      </c>
      <c r="G5" s="329"/>
      <c r="H5" s="329"/>
      <c r="I5" s="43">
        <f t="shared" si="0" ref="I5:I50">SUM(C5:H5)</f>
        <v>2.33751704E7</v>
      </c>
    </row>
    <row r="6" spans="8:8" ht="15.75">
      <c r="A6" s="353" t="s">
        <v>409</v>
      </c>
      <c r="B6" s="16" t="s">
        <v>13</v>
      </c>
      <c r="C6" s="356">
        <v>1.14181102E7</v>
      </c>
      <c r="D6" s="356">
        <v>7834891.4</v>
      </c>
      <c r="E6" s="180">
        <v>1191998.0</v>
      </c>
      <c r="F6" s="180">
        <v>1787991.0</v>
      </c>
      <c r="G6" s="360"/>
      <c r="H6" s="360">
        <v>2162160.0</v>
      </c>
      <c r="I6" s="43">
        <f t="shared" si="0"/>
        <v>2.43951506E7</v>
      </c>
      <c r="J6" s="71"/>
      <c r="K6" s="71"/>
    </row>
    <row r="7" spans="8:8" ht="15.75">
      <c r="A7" s="354" t="s">
        <v>420</v>
      </c>
      <c r="B7" s="181" t="s">
        <v>13</v>
      </c>
      <c r="C7" s="46">
        <v>1.183626434E7</v>
      </c>
      <c r="D7" s="71"/>
      <c r="E7" s="71"/>
      <c r="F7" s="71"/>
      <c r="G7" s="71"/>
      <c r="H7" s="71"/>
      <c r="I7" s="43">
        <f>24395150.6*2</f>
        <v>4.87903012E7</v>
      </c>
    </row>
    <row r="8" spans="8:8">
      <c r="A8" s="3" t="s">
        <v>15</v>
      </c>
      <c r="B8" s="4" t="s">
        <v>13</v>
      </c>
      <c r="C8" s="356">
        <v>1.14181102E7</v>
      </c>
      <c r="D8" s="356">
        <v>7834891.4</v>
      </c>
      <c r="E8" s="180">
        <v>1191998.0</v>
      </c>
      <c r="F8" s="180">
        <v>1787991.0</v>
      </c>
      <c r="G8" s="360"/>
      <c r="H8" s="360">
        <v>2162160.0</v>
      </c>
      <c r="I8" s="43">
        <f t="shared" si="0"/>
        <v>2.43951506E7</v>
      </c>
      <c r="J8" s="71"/>
      <c r="K8" s="71"/>
    </row>
    <row r="9" spans="8:8">
      <c r="A9" s="3" t="s">
        <v>16</v>
      </c>
      <c r="B9" s="4" t="s">
        <v>13</v>
      </c>
      <c r="C9" s="356">
        <v>1.14181102E7</v>
      </c>
      <c r="D9" s="356">
        <v>7834891.4</v>
      </c>
      <c r="E9" s="180">
        <v>1191998.0</v>
      </c>
      <c r="F9" s="180">
        <v>1787991.0</v>
      </c>
      <c r="G9" s="360"/>
      <c r="H9" s="360">
        <v>2162160.0</v>
      </c>
      <c r="I9" s="43">
        <f t="shared" si="0"/>
        <v>2.43951506E7</v>
      </c>
      <c r="J9" s="71"/>
      <c r="K9" s="71"/>
    </row>
    <row r="10" spans="8:8">
      <c r="A10" s="3" t="s">
        <v>17</v>
      </c>
      <c r="B10" s="4" t="s">
        <v>13</v>
      </c>
      <c r="C10" s="356">
        <v>3.97612936E7</v>
      </c>
      <c r="D10" s="356">
        <v>1.79083226E7</v>
      </c>
      <c r="E10" s="180">
        <v>1191998.0</v>
      </c>
      <c r="F10" s="180">
        <v>1787991.0</v>
      </c>
      <c r="G10" s="360"/>
      <c r="H10" s="360">
        <v>2162160.0</v>
      </c>
      <c r="I10" s="43">
        <f t="shared" si="0"/>
        <v>6.28117652E7</v>
      </c>
      <c r="J10" s="71"/>
      <c r="K10" s="71"/>
    </row>
    <row r="11" spans="8:8">
      <c r="A11" s="3" t="s">
        <v>18</v>
      </c>
      <c r="B11" s="4" t="s">
        <v>13</v>
      </c>
      <c r="C11" s="356">
        <v>1.35400594E7</v>
      </c>
      <c r="D11" s="356">
        <v>1.79083226E7</v>
      </c>
      <c r="E11" s="180">
        <v>1191998.0</v>
      </c>
      <c r="F11" s="180">
        <v>1787991.0</v>
      </c>
      <c r="G11" s="360"/>
      <c r="H11" s="360">
        <v>2162160.0</v>
      </c>
      <c r="I11" s="43">
        <f t="shared" si="0"/>
        <v>3.6590531E7</v>
      </c>
      <c r="J11" s="71"/>
      <c r="K11" s="71"/>
    </row>
    <row r="12" spans="8:8">
      <c r="A12" s="3" t="s">
        <v>19</v>
      </c>
      <c r="B12" s="4" t="s">
        <v>13</v>
      </c>
      <c r="C12" s="356">
        <v>1.35400594E7</v>
      </c>
      <c r="D12" s="356">
        <v>1.79083226E7</v>
      </c>
      <c r="E12" s="180">
        <v>1191998.0</v>
      </c>
      <c r="F12" s="180">
        <v>1787991.0</v>
      </c>
      <c r="G12" s="360"/>
      <c r="H12" s="360">
        <v>2162160.0</v>
      </c>
      <c r="I12" s="43">
        <f t="shared" si="0"/>
        <v>3.6590531E7</v>
      </c>
      <c r="J12" s="71"/>
      <c r="K12" s="71"/>
    </row>
    <row r="13" spans="8:8">
      <c r="A13" s="204" t="s">
        <v>404</v>
      </c>
      <c r="B13" s="249" t="s">
        <v>13</v>
      </c>
      <c r="C13" s="363">
        <v>1.35400594E7</v>
      </c>
      <c r="D13" s="363">
        <v>1.79083226E7</v>
      </c>
      <c r="E13" s="329">
        <v>1191998.0</v>
      </c>
      <c r="F13" s="329">
        <v>1787991.0</v>
      </c>
      <c r="G13" s="357"/>
      <c r="H13" s="357">
        <v>2162160.0</v>
      </c>
      <c r="I13" s="205">
        <f>SUM(C13:H13)*2</f>
        <v>7.3181062E7</v>
      </c>
    </row>
    <row r="14" spans="8:8">
      <c r="A14" s="18" t="s">
        <v>405</v>
      </c>
      <c r="B14" s="4" t="s">
        <v>13</v>
      </c>
      <c r="C14" s="356">
        <v>1.35400594E7</v>
      </c>
      <c r="D14" s="356">
        <v>1.79083226E7</v>
      </c>
      <c r="E14" s="180">
        <v>1191998.0</v>
      </c>
      <c r="F14" s="180">
        <v>1787991.0</v>
      </c>
      <c r="G14" s="360"/>
      <c r="H14" s="360">
        <v>2162160.0</v>
      </c>
      <c r="I14" s="43">
        <f t="shared" si="0"/>
        <v>3.6590531E7</v>
      </c>
    </row>
    <row r="15" spans="8:8">
      <c r="A15" s="206" t="s">
        <v>403</v>
      </c>
      <c r="B15" s="245" t="s">
        <v>13</v>
      </c>
      <c r="C15" s="363">
        <v>1.35400594E7</v>
      </c>
      <c r="D15" s="363">
        <v>1.79083226E7</v>
      </c>
      <c r="E15" s="329">
        <v>1191998.0</v>
      </c>
      <c r="F15" s="329">
        <v>1787991.0</v>
      </c>
      <c r="G15" s="357"/>
      <c r="H15" s="357">
        <v>2162160.0</v>
      </c>
      <c r="I15" s="205">
        <f>SUM(C15:H15)*2</f>
        <v>7.3181062E7</v>
      </c>
    </row>
    <row r="16" spans="8:8">
      <c r="A16" s="18" t="s">
        <v>424</v>
      </c>
      <c r="B16" s="16" t="s">
        <v>13</v>
      </c>
      <c r="C16" s="356">
        <v>1.35400594E7</v>
      </c>
      <c r="D16" s="356">
        <v>1.79083226E7</v>
      </c>
      <c r="E16" s="180">
        <v>1191998.0</v>
      </c>
      <c r="F16" s="180">
        <v>1787991.0</v>
      </c>
      <c r="G16" s="360"/>
      <c r="H16" s="360">
        <v>2162160.0</v>
      </c>
      <c r="I16" s="43">
        <f t="shared" si="0"/>
        <v>3.6590531E7</v>
      </c>
    </row>
    <row r="17" spans="8:8">
      <c r="A17" s="3" t="s">
        <v>24</v>
      </c>
      <c r="B17" s="16" t="s">
        <v>13</v>
      </c>
      <c r="C17" s="356">
        <v>1.35400594E7</v>
      </c>
      <c r="D17" s="356">
        <v>1.79083226E7</v>
      </c>
      <c r="E17" s="180">
        <v>1191998.0</v>
      </c>
      <c r="F17" s="180">
        <v>1787991.0</v>
      </c>
      <c r="G17" s="360"/>
      <c r="H17" s="360">
        <v>2162160.0</v>
      </c>
      <c r="I17" s="43">
        <f t="shared" si="0"/>
        <v>3.6590531E7</v>
      </c>
    </row>
    <row r="18" spans="8:8">
      <c r="A18" s="3" t="s">
        <v>25</v>
      </c>
      <c r="B18" s="4" t="s">
        <v>13</v>
      </c>
      <c r="C18" s="356">
        <v>1.35400594E7</v>
      </c>
      <c r="D18" s="356">
        <v>1.79083226E7</v>
      </c>
      <c r="E18" s="180">
        <v>1191998.0</v>
      </c>
      <c r="F18" s="180">
        <v>1787991.0</v>
      </c>
      <c r="G18" s="360"/>
      <c r="H18" s="360">
        <v>2162160.0</v>
      </c>
      <c r="I18" s="43">
        <f t="shared" si="0"/>
        <v>3.6590531E7</v>
      </c>
    </row>
    <row r="19" spans="8:8">
      <c r="A19" s="3" t="s">
        <v>26</v>
      </c>
      <c r="B19" s="4" t="s">
        <v>13</v>
      </c>
      <c r="C19" s="356">
        <v>1.35400594E7</v>
      </c>
      <c r="D19" s="356">
        <v>1.79083226E7</v>
      </c>
      <c r="E19" s="180">
        <v>1191998.0</v>
      </c>
      <c r="F19" s="180">
        <v>1787991.0</v>
      </c>
      <c r="G19" s="360"/>
      <c r="H19" s="360">
        <v>2162160.0</v>
      </c>
      <c r="I19" s="43">
        <f t="shared" si="0"/>
        <v>3.6590531E7</v>
      </c>
    </row>
    <row r="20" spans="8:8">
      <c r="A20" s="3" t="s">
        <v>27</v>
      </c>
      <c r="B20" s="4" t="s">
        <v>13</v>
      </c>
      <c r="C20" s="356">
        <v>1.35400594E7</v>
      </c>
      <c r="D20" s="356">
        <v>1.79083226E7</v>
      </c>
      <c r="E20" s="180">
        <v>1191998.0</v>
      </c>
      <c r="F20" s="180">
        <v>1787991.0</v>
      </c>
      <c r="G20" s="360"/>
      <c r="H20" s="360">
        <v>2162160.0</v>
      </c>
      <c r="I20" s="43">
        <f t="shared" si="0"/>
        <v>3.6590531E7</v>
      </c>
    </row>
    <row r="21" spans="8:8">
      <c r="A21" s="3" t="s">
        <v>28</v>
      </c>
      <c r="B21" s="4" t="s">
        <v>13</v>
      </c>
      <c r="C21" s="356">
        <v>1.35400594E7</v>
      </c>
      <c r="D21" s="356">
        <v>1.79083226E7</v>
      </c>
      <c r="E21" s="180">
        <v>1191998.0</v>
      </c>
      <c r="F21" s="180">
        <v>1787991.0</v>
      </c>
      <c r="G21" s="360"/>
      <c r="H21" s="360">
        <v>2162160.0</v>
      </c>
      <c r="I21" s="43">
        <f t="shared" si="0"/>
        <v>3.6590531E7</v>
      </c>
    </row>
    <row r="22" spans="8:8">
      <c r="A22" s="3" t="s">
        <v>29</v>
      </c>
      <c r="B22" s="4" t="s">
        <v>13</v>
      </c>
      <c r="C22" s="356">
        <v>1.35400594E7</v>
      </c>
      <c r="D22" s="356">
        <v>1.79083226E7</v>
      </c>
      <c r="E22" s="180">
        <v>1191998.0</v>
      </c>
      <c r="F22" s="180">
        <v>1787991.0</v>
      </c>
      <c r="G22" s="360"/>
      <c r="H22" s="360">
        <v>2162160.0</v>
      </c>
      <c r="I22" s="43">
        <f t="shared" si="0"/>
        <v>3.6590531E7</v>
      </c>
    </row>
    <row r="23" spans="8:8" ht="15.75">
      <c r="A23" s="14" t="s">
        <v>411</v>
      </c>
      <c r="B23" s="4" t="s">
        <v>13</v>
      </c>
      <c r="C23" s="356">
        <v>1.35400594E7</v>
      </c>
      <c r="D23" s="356">
        <v>1.79083226E7</v>
      </c>
      <c r="E23" s="180">
        <v>1191998.0</v>
      </c>
      <c r="F23" s="180">
        <v>1787991.0</v>
      </c>
      <c r="G23" s="360"/>
      <c r="H23" s="360">
        <v>2162160.0</v>
      </c>
      <c r="I23" s="43">
        <f t="shared" si="0"/>
        <v>3.6590531E7</v>
      </c>
    </row>
    <row r="24" spans="8:8">
      <c r="A24" s="3" t="s">
        <v>31</v>
      </c>
      <c r="B24" s="4" t="s">
        <v>13</v>
      </c>
      <c r="C24" s="356">
        <v>1.35400594E7</v>
      </c>
      <c r="D24" s="356">
        <v>1.79083226E7</v>
      </c>
      <c r="E24" s="180">
        <v>1191998.0</v>
      </c>
      <c r="F24" s="180">
        <v>1787991.0</v>
      </c>
      <c r="G24" s="360"/>
      <c r="H24" s="360">
        <v>2162160.0</v>
      </c>
      <c r="I24" s="43">
        <f t="shared" si="0"/>
        <v>3.6590531E7</v>
      </c>
    </row>
    <row r="25" spans="8:8">
      <c r="A25" s="3" t="s">
        <v>32</v>
      </c>
      <c r="B25" s="4" t="s">
        <v>13</v>
      </c>
      <c r="C25" s="356">
        <v>1.35400594E7</v>
      </c>
      <c r="D25" s="356">
        <v>1.79083226E7</v>
      </c>
      <c r="E25" s="180">
        <v>1191998.0</v>
      </c>
      <c r="F25" s="180">
        <v>1787991.0</v>
      </c>
      <c r="G25" s="360"/>
      <c r="H25" s="360">
        <v>2162160.0</v>
      </c>
      <c r="I25" s="43">
        <f t="shared" si="0"/>
        <v>3.6590531E7</v>
      </c>
    </row>
    <row r="26" spans="8:8">
      <c r="A26" s="3" t="s">
        <v>33</v>
      </c>
      <c r="B26" s="4" t="s">
        <v>13</v>
      </c>
      <c r="C26" s="356">
        <v>1.35400594E7</v>
      </c>
      <c r="D26" s="356">
        <v>1.79083226E7</v>
      </c>
      <c r="E26" s="180">
        <v>1191998.0</v>
      </c>
      <c r="F26" s="180">
        <v>1787991.0</v>
      </c>
      <c r="G26" s="360"/>
      <c r="H26" s="360">
        <v>2162160.0</v>
      </c>
      <c r="I26" s="43">
        <f t="shared" si="0"/>
        <v>3.6590531E7</v>
      </c>
    </row>
    <row r="27" spans="8:8">
      <c r="A27" s="3" t="s">
        <v>34</v>
      </c>
      <c r="B27" s="4" t="s">
        <v>13</v>
      </c>
      <c r="C27" s="356">
        <v>1.14181102E7</v>
      </c>
      <c r="D27" s="356">
        <v>7834891.4</v>
      </c>
      <c r="E27" s="180">
        <v>1191998.0</v>
      </c>
      <c r="F27" s="180">
        <v>1787991.0</v>
      </c>
      <c r="G27" s="360"/>
      <c r="H27" s="360">
        <v>2162160.0</v>
      </c>
      <c r="I27" s="43">
        <f t="shared" si="0"/>
        <v>2.43951506E7</v>
      </c>
    </row>
    <row r="28" spans="8:8">
      <c r="A28" s="3" t="s">
        <v>35</v>
      </c>
      <c r="B28" s="4" t="s">
        <v>13</v>
      </c>
      <c r="C28" s="356">
        <v>1.14181102E7</v>
      </c>
      <c r="D28" s="356">
        <v>7834891.4</v>
      </c>
      <c r="E28" s="180">
        <v>1191998.0</v>
      </c>
      <c r="F28" s="180">
        <v>1787991.0</v>
      </c>
      <c r="G28" s="360"/>
      <c r="H28" s="360">
        <v>2162160.0</v>
      </c>
      <c r="I28" s="43">
        <f t="shared" si="0"/>
        <v>2.43951506E7</v>
      </c>
    </row>
    <row r="29" spans="8:8">
      <c r="A29" s="3" t="s">
        <v>36</v>
      </c>
      <c r="B29" s="4" t="s">
        <v>13</v>
      </c>
      <c r="C29" s="356">
        <v>1.14181102E7</v>
      </c>
      <c r="D29" s="356">
        <v>7834891.4</v>
      </c>
      <c r="E29" s="180">
        <v>1191998.0</v>
      </c>
      <c r="F29" s="180">
        <v>1787991.0</v>
      </c>
      <c r="G29" s="360"/>
      <c r="H29" s="360">
        <v>2162160.0</v>
      </c>
      <c r="I29" s="43">
        <f t="shared" si="0"/>
        <v>2.43951506E7</v>
      </c>
    </row>
    <row r="30" spans="8:8" ht="15.75">
      <c r="A30" s="14" t="s">
        <v>417</v>
      </c>
      <c r="B30" s="4" t="s">
        <v>13</v>
      </c>
      <c r="C30" s="356">
        <v>1.14181102E7</v>
      </c>
      <c r="D30" s="356">
        <v>7834891.4</v>
      </c>
      <c r="E30" s="180">
        <v>1191998.0</v>
      </c>
      <c r="F30" s="180">
        <v>1787991.0</v>
      </c>
      <c r="G30" s="360"/>
      <c r="H30" s="360">
        <v>2162160.0</v>
      </c>
      <c r="I30" s="43">
        <f t="shared" si="0"/>
        <v>2.43951506E7</v>
      </c>
    </row>
    <row r="31" spans="8:8">
      <c r="A31" s="3" t="s">
        <v>38</v>
      </c>
      <c r="B31" s="4" t="s">
        <v>13</v>
      </c>
      <c r="C31" s="356">
        <v>1.14181102E7</v>
      </c>
      <c r="D31" s="356">
        <v>7834891.4</v>
      </c>
      <c r="E31" s="180">
        <v>1191998.0</v>
      </c>
      <c r="F31" s="180">
        <v>1787991.0</v>
      </c>
      <c r="G31" s="360"/>
      <c r="H31" s="360">
        <v>2162160.0</v>
      </c>
      <c r="I31" s="43">
        <f t="shared" si="0"/>
        <v>2.43951506E7</v>
      </c>
    </row>
    <row r="32" spans="8:8">
      <c r="A32" s="15" t="s">
        <v>39</v>
      </c>
      <c r="B32" s="4" t="s">
        <v>13</v>
      </c>
      <c r="C32" s="356">
        <v>1.14181102E7</v>
      </c>
      <c r="D32" s="356">
        <v>7834891.4</v>
      </c>
      <c r="E32" s="180">
        <v>1191998.0</v>
      </c>
      <c r="F32" s="180">
        <v>1787991.0</v>
      </c>
      <c r="G32" s="360"/>
      <c r="H32" s="360">
        <v>2162160.0</v>
      </c>
      <c r="I32" s="43">
        <f t="shared" si="0"/>
        <v>2.43951506E7</v>
      </c>
    </row>
    <row r="33" spans="8:8" s="49" ht="15.0" customFormat="1">
      <c r="A33" s="3" t="s">
        <v>40</v>
      </c>
      <c r="B33" s="16" t="s">
        <v>13</v>
      </c>
      <c r="C33" s="356">
        <v>1.14181102E7</v>
      </c>
      <c r="D33" s="356">
        <v>7834891.4</v>
      </c>
      <c r="E33" s="180">
        <v>1191998.0</v>
      </c>
      <c r="F33" s="180">
        <v>1787991.0</v>
      </c>
      <c r="G33" s="360"/>
      <c r="H33" s="360">
        <v>2162160.0</v>
      </c>
      <c r="I33" s="43">
        <f t="shared" si="0"/>
        <v>2.43951506E7</v>
      </c>
    </row>
    <row r="34" spans="8:8">
      <c r="A34" s="15" t="s">
        <v>41</v>
      </c>
      <c r="B34" s="16" t="s">
        <v>13</v>
      </c>
      <c r="C34" s="356">
        <v>1.14181102E7</v>
      </c>
      <c r="D34" s="356">
        <v>7834891.4</v>
      </c>
      <c r="E34" s="180">
        <v>1191998.0</v>
      </c>
      <c r="F34" s="180">
        <v>1787991.0</v>
      </c>
      <c r="G34" s="360"/>
      <c r="H34" s="360">
        <v>2162160.0</v>
      </c>
      <c r="I34" s="43">
        <f t="shared" si="0"/>
        <v>2.43951506E7</v>
      </c>
    </row>
    <row r="35" spans="8:8" s="49" ht="15.0" customFormat="1">
      <c r="A35" s="14" t="s">
        <v>421</v>
      </c>
      <c r="B35" s="16" t="s">
        <v>13</v>
      </c>
      <c r="C35" s="356">
        <v>1.14181102E7</v>
      </c>
      <c r="D35" s="356">
        <v>7834891.4</v>
      </c>
      <c r="E35" s="180">
        <v>1191998.0</v>
      </c>
      <c r="F35" s="180">
        <v>1787991.0</v>
      </c>
      <c r="G35" s="360"/>
      <c r="H35" s="360">
        <v>2162160.0</v>
      </c>
      <c r="I35" s="43">
        <f t="shared" si="0"/>
        <v>2.43951506E7</v>
      </c>
    </row>
    <row r="36" spans="8:8">
      <c r="A36" s="3" t="s">
        <v>43</v>
      </c>
      <c r="B36" s="4" t="s">
        <v>13</v>
      </c>
      <c r="C36" s="356">
        <v>1.14181102E7</v>
      </c>
      <c r="D36" s="356">
        <v>7834891.4</v>
      </c>
      <c r="E36" s="180">
        <v>1191998.0</v>
      </c>
      <c r="F36" s="180">
        <v>1787991.0</v>
      </c>
      <c r="G36" s="360"/>
      <c r="H36" s="360">
        <v>2162160.0</v>
      </c>
      <c r="I36" s="43">
        <f t="shared" si="0"/>
        <v>2.43951506E7</v>
      </c>
    </row>
    <row r="37" spans="8:8">
      <c r="A37" s="14" t="s">
        <v>422</v>
      </c>
      <c r="B37" s="4" t="s">
        <v>13</v>
      </c>
      <c r="C37" s="356">
        <v>1.14181102E7</v>
      </c>
      <c r="D37" s="356">
        <v>7834891.4</v>
      </c>
      <c r="E37" s="180">
        <v>1191998.0</v>
      </c>
      <c r="F37" s="180">
        <v>1787991.0</v>
      </c>
      <c r="G37" s="360"/>
      <c r="H37" s="360">
        <v>2162160.0</v>
      </c>
      <c r="I37" s="43">
        <f t="shared" si="0"/>
        <v>2.43951506E7</v>
      </c>
    </row>
    <row r="38" spans="8:8">
      <c r="A38" s="3" t="s">
        <v>45</v>
      </c>
      <c r="B38" s="4" t="s">
        <v>13</v>
      </c>
      <c r="C38" s="356">
        <v>2.58170528E7</v>
      </c>
      <c r="D38" s="356">
        <v>1.86545016E7</v>
      </c>
      <c r="E38" s="180">
        <v>1191998.0</v>
      </c>
      <c r="F38" s="180">
        <v>1787991.0</v>
      </c>
      <c r="G38" s="360"/>
      <c r="H38" s="360">
        <v>2162160.0</v>
      </c>
      <c r="I38" s="43">
        <f t="shared" si="0"/>
        <v>4.9613703400000006E7</v>
      </c>
    </row>
    <row r="39" spans="8:8">
      <c r="A39" s="3" t="s">
        <v>46</v>
      </c>
      <c r="B39" s="4" t="s">
        <v>13</v>
      </c>
      <c r="C39" s="356">
        <v>2.58170528E7</v>
      </c>
      <c r="D39" s="356">
        <v>1.86545016E7</v>
      </c>
      <c r="E39" s="180">
        <v>1191998.0</v>
      </c>
      <c r="F39" s="180">
        <v>1787991.0</v>
      </c>
      <c r="G39" s="360"/>
      <c r="H39" s="360">
        <v>2162160.0</v>
      </c>
      <c r="I39" s="43">
        <f t="shared" si="0"/>
        <v>4.9613703400000006E7</v>
      </c>
    </row>
    <row r="40" spans="8:8">
      <c r="A40" s="3" t="s">
        <v>47</v>
      </c>
      <c r="B40" s="4" t="s">
        <v>13</v>
      </c>
      <c r="C40" s="356">
        <v>3.63257552E7</v>
      </c>
      <c r="D40" s="356">
        <v>1.86545016E7</v>
      </c>
      <c r="E40" s="180">
        <v>1191998.0</v>
      </c>
      <c r="F40" s="180">
        <v>1787991.0</v>
      </c>
      <c r="G40" s="360"/>
      <c r="H40" s="360">
        <v>2162160.0</v>
      </c>
      <c r="I40" s="43">
        <f t="shared" si="0"/>
        <v>6.0122405800000004E7</v>
      </c>
    </row>
    <row r="41" spans="8:8">
      <c r="A41" s="3" t="s">
        <v>48</v>
      </c>
      <c r="B41" s="4" t="s">
        <v>13</v>
      </c>
      <c r="C41" s="356">
        <v>1.14181102E7</v>
      </c>
      <c r="D41" s="356">
        <v>1.86545016E7</v>
      </c>
      <c r="E41" s="180">
        <v>1191998.0</v>
      </c>
      <c r="F41" s="180">
        <v>1787991.0</v>
      </c>
      <c r="G41" s="360"/>
      <c r="H41" s="360">
        <v>2162160.0</v>
      </c>
      <c r="I41" s="43">
        <f t="shared" si="0"/>
        <v>3.52147608E7</v>
      </c>
    </row>
    <row r="42" spans="8:8">
      <c r="A42" s="3" t="s">
        <v>49</v>
      </c>
      <c r="B42" s="4" t="s">
        <v>13</v>
      </c>
      <c r="C42" s="356">
        <v>1.14181102E7</v>
      </c>
      <c r="D42" s="356">
        <v>7834891.4</v>
      </c>
      <c r="E42" s="180">
        <v>1191998.0</v>
      </c>
      <c r="F42" s="180">
        <v>1787991.0</v>
      </c>
      <c r="G42" s="360"/>
      <c r="H42" s="360">
        <v>2162160.0</v>
      </c>
      <c r="I42" s="43">
        <f t="shared" si="0"/>
        <v>2.43951506E7</v>
      </c>
    </row>
    <row r="43" spans="8:8">
      <c r="A43" s="18" t="s">
        <v>423</v>
      </c>
      <c r="B43" s="4" t="s">
        <v>13</v>
      </c>
      <c r="C43" s="356">
        <v>1.14181102E7</v>
      </c>
      <c r="D43" s="356">
        <v>7834891.4</v>
      </c>
      <c r="E43" s="180">
        <v>1191998.0</v>
      </c>
      <c r="F43" s="180">
        <v>1787991.0</v>
      </c>
      <c r="G43" s="360"/>
      <c r="H43" s="360">
        <v>2162160.0</v>
      </c>
      <c r="I43" s="43">
        <f t="shared" si="0"/>
        <v>2.43951506E7</v>
      </c>
    </row>
    <row r="44" spans="8:8" s="49" ht="15.0" customFormat="1">
      <c r="A44" s="3" t="s">
        <v>51</v>
      </c>
      <c r="B44" s="16" t="s">
        <v>13</v>
      </c>
      <c r="C44" s="356">
        <v>1.14181102E7</v>
      </c>
      <c r="D44" s="356">
        <v>7834891.4</v>
      </c>
      <c r="E44" s="180">
        <v>1191998.0</v>
      </c>
      <c r="F44" s="180">
        <v>1787991.0</v>
      </c>
      <c r="G44" s="360"/>
      <c r="H44" s="360">
        <v>2162160.0</v>
      </c>
      <c r="I44" s="43">
        <f t="shared" si="0"/>
        <v>2.43951506E7</v>
      </c>
    </row>
    <row r="45" spans="8:8">
      <c r="A45" s="3" t="s">
        <v>52</v>
      </c>
      <c r="B45" s="4" t="s">
        <v>13</v>
      </c>
      <c r="C45" s="356">
        <v>1.14181102E7</v>
      </c>
      <c r="D45" s="356">
        <v>7834891.4</v>
      </c>
      <c r="E45" s="180">
        <v>1191998.0</v>
      </c>
      <c r="F45" s="180">
        <v>1787991.0</v>
      </c>
      <c r="G45" s="360"/>
      <c r="H45" s="360">
        <v>2162160.0</v>
      </c>
      <c r="I45" s="43">
        <f t="shared" si="0"/>
        <v>2.43951506E7</v>
      </c>
    </row>
    <row r="46" spans="8:8">
      <c r="A46" s="3" t="s">
        <v>53</v>
      </c>
      <c r="B46" s="4" t="s">
        <v>13</v>
      </c>
      <c r="C46" s="356">
        <v>1.14181102E7</v>
      </c>
      <c r="D46" s="356">
        <v>7834891.4</v>
      </c>
      <c r="E46" s="180">
        <v>1191998.0</v>
      </c>
      <c r="F46" s="180">
        <v>1787991.0</v>
      </c>
      <c r="G46" s="360"/>
      <c r="H46" s="360">
        <v>2162160.0</v>
      </c>
      <c r="I46" s="43">
        <f t="shared" si="0"/>
        <v>2.43951506E7</v>
      </c>
    </row>
    <row r="47" spans="8:8">
      <c r="A47" s="3" t="s">
        <v>54</v>
      </c>
      <c r="B47" s="4" t="s">
        <v>13</v>
      </c>
      <c r="C47" s="356">
        <v>1.14181102E7</v>
      </c>
      <c r="D47" s="356">
        <v>7834891.4</v>
      </c>
      <c r="E47" s="180">
        <v>1191998.0</v>
      </c>
      <c r="F47" s="180">
        <v>1787991.0</v>
      </c>
      <c r="G47" s="360"/>
      <c r="H47" s="360">
        <v>2162160.0</v>
      </c>
      <c r="I47" s="43">
        <f t="shared" si="0"/>
        <v>2.43951506E7</v>
      </c>
    </row>
    <row r="48" spans="8:8">
      <c r="A48" s="15" t="s">
        <v>55</v>
      </c>
      <c r="B48" s="4" t="s">
        <v>13</v>
      </c>
      <c r="C48" s="356">
        <v>1.14181102E7</v>
      </c>
      <c r="D48" s="356">
        <v>7834891.4</v>
      </c>
      <c r="E48" s="180">
        <v>1191998.0</v>
      </c>
      <c r="F48" s="180">
        <v>1787991.0</v>
      </c>
      <c r="G48" s="360"/>
      <c r="H48" s="360">
        <v>2162160.0</v>
      </c>
      <c r="I48" s="43">
        <f t="shared" si="0"/>
        <v>2.43951506E7</v>
      </c>
    </row>
    <row r="49" spans="8:8" s="49" ht="15.0" customFormat="1">
      <c r="A49" s="14" t="s">
        <v>415</v>
      </c>
      <c r="B49" s="16" t="s">
        <v>13</v>
      </c>
      <c r="C49" s="356">
        <v>1.14181102E7</v>
      </c>
      <c r="D49" s="356">
        <v>2.05199526E7</v>
      </c>
      <c r="E49" s="180">
        <v>1191998.0</v>
      </c>
      <c r="F49" s="180">
        <v>1787991.0</v>
      </c>
      <c r="G49" s="360"/>
      <c r="H49" s="360">
        <v>2162160.0</v>
      </c>
      <c r="I49" s="241">
        <f t="shared" si="0"/>
        <v>3.70802118E7</v>
      </c>
    </row>
    <row r="50" spans="8:8">
      <c r="A50" s="3" t="s">
        <v>57</v>
      </c>
      <c r="B50" s="4" t="s">
        <v>60</v>
      </c>
      <c r="C50" s="356">
        <v>1.0</v>
      </c>
      <c r="D50" s="356">
        <v>3.53392354E7</v>
      </c>
      <c r="E50" s="180">
        <v>1191998.0</v>
      </c>
      <c r="F50" s="180">
        <v>1787991.0</v>
      </c>
      <c r="G50" s="360"/>
      <c r="H50" s="360"/>
      <c r="I50" s="43">
        <f t="shared" si="0"/>
        <v>3.83192254E7</v>
      </c>
    </row>
    <row r="51" spans="8:8">
      <c r="A51" s="3" t="s">
        <v>58</v>
      </c>
      <c r="B51" s="4" t="s">
        <v>60</v>
      </c>
      <c r="C51" s="356">
        <v>1.0</v>
      </c>
      <c r="D51" s="356">
        <v>3.53392354E7</v>
      </c>
      <c r="E51" s="180">
        <v>1191998.0</v>
      </c>
      <c r="F51" s="180">
        <v>1787991.0</v>
      </c>
      <c r="G51" s="360"/>
      <c r="H51" s="360"/>
      <c r="I51" s="43">
        <f>SUM(C51:F51)</f>
        <v>3.83192254E7</v>
      </c>
    </row>
    <row r="52" spans="8:8">
      <c r="A52" s="3" t="s">
        <v>59</v>
      </c>
      <c r="B52" s="4" t="s">
        <v>60</v>
      </c>
      <c r="C52" s="356">
        <v>1.0</v>
      </c>
      <c r="D52" s="356">
        <v>3.53392354E7</v>
      </c>
      <c r="E52" s="180">
        <v>1191998.0</v>
      </c>
      <c r="F52" s="180">
        <v>1787991.0</v>
      </c>
      <c r="G52" s="360"/>
      <c r="H52" s="360"/>
      <c r="I52" s="43">
        <f>SUM(C52:F52)</f>
        <v>3.83192254E7</v>
      </c>
    </row>
    <row r="53" spans="8:8">
      <c r="A53" s="3" t="s">
        <v>61</v>
      </c>
      <c r="B53" s="4" t="s">
        <v>60</v>
      </c>
      <c r="C53" s="356">
        <v>2.36046608E7</v>
      </c>
      <c r="D53" s="356">
        <v>2.52214186E7</v>
      </c>
      <c r="E53" s="180">
        <v>1191998.0</v>
      </c>
      <c r="F53" s="180">
        <v>1787991.0</v>
      </c>
      <c r="G53" s="360"/>
      <c r="H53" s="360"/>
      <c r="I53" s="43">
        <f>SUM(C53:F53)</f>
        <v>5.1806068400000006E7</v>
      </c>
    </row>
    <row r="54" spans="8:8">
      <c r="A54" s="3" t="s">
        <v>62</v>
      </c>
      <c r="B54" s="4" t="s">
        <v>60</v>
      </c>
      <c r="C54" s="356">
        <v>1.0</v>
      </c>
      <c r="D54" s="356">
        <v>2.52214186E7</v>
      </c>
      <c r="E54" s="180">
        <v>1191998.0</v>
      </c>
      <c r="F54" s="180">
        <v>1787991.0</v>
      </c>
      <c r="G54" s="360"/>
      <c r="H54" s="360"/>
      <c r="I54" s="43">
        <f>SUM(C54:F54)</f>
        <v>2.82014086E7</v>
      </c>
    </row>
    <row r="55" spans="8:8">
      <c r="A55" s="3" t="s">
        <v>63</v>
      </c>
      <c r="B55" s="4" t="s">
        <v>60</v>
      </c>
      <c r="C55" s="356">
        <v>1.0</v>
      </c>
      <c r="D55" s="356">
        <v>1.27636068E7</v>
      </c>
      <c r="E55" s="180">
        <v>1191998.0</v>
      </c>
      <c r="F55" s="180">
        <v>1787991.0</v>
      </c>
      <c r="G55" s="360"/>
      <c r="H55" s="360"/>
      <c r="I55" s="43">
        <f>SUM(C55:F55)</f>
        <v>1.57435968E7</v>
      </c>
    </row>
    <row r="56" spans="8:8">
      <c r="A56" s="3" t="s">
        <v>64</v>
      </c>
      <c r="B56" s="4" t="s">
        <v>65</v>
      </c>
      <c r="C56" s="356">
        <v>1.0</v>
      </c>
      <c r="D56" s="356">
        <v>1.25272434E7</v>
      </c>
      <c r="E56" s="180">
        <v>1191998.0</v>
      </c>
      <c r="F56" s="180">
        <v>1787991.0</v>
      </c>
      <c r="G56" s="360">
        <v>4668300.0</v>
      </c>
      <c r="H56" s="360"/>
      <c r="I56" s="43">
        <f t="shared" si="1" ref="I56:I61">SUM(C56:H56)</f>
        <v>2.01755334E7</v>
      </c>
    </row>
    <row r="57" spans="8:8">
      <c r="A57" s="3" t="s">
        <v>66</v>
      </c>
      <c r="B57" s="4" t="s">
        <v>65</v>
      </c>
      <c r="C57" s="356">
        <v>1.0</v>
      </c>
      <c r="D57" s="356">
        <v>1.33308784E7</v>
      </c>
      <c r="E57" s="180">
        <v>1191998.0</v>
      </c>
      <c r="F57" s="180">
        <v>1787991.0</v>
      </c>
      <c r="G57" s="360">
        <v>4668300.0</v>
      </c>
      <c r="H57" s="360"/>
      <c r="I57" s="43">
        <f t="shared" si="1"/>
        <v>2.09791684E7</v>
      </c>
    </row>
    <row r="58" spans="8:8">
      <c r="A58" s="3" t="s">
        <v>67</v>
      </c>
      <c r="B58" s="4" t="s">
        <v>65</v>
      </c>
      <c r="C58" s="356">
        <v>1.0</v>
      </c>
      <c r="D58" s="356">
        <v>1.25272434E7</v>
      </c>
      <c r="E58" s="180">
        <v>1191998.0</v>
      </c>
      <c r="F58" s="180">
        <v>1787991.0</v>
      </c>
      <c r="G58" s="360">
        <v>4668300.0</v>
      </c>
      <c r="H58" s="360"/>
      <c r="I58" s="43">
        <f t="shared" si="1"/>
        <v>2.01755334E7</v>
      </c>
    </row>
    <row r="59" spans="8:8">
      <c r="A59" s="3" t="s">
        <v>68</v>
      </c>
      <c r="B59" s="4" t="s">
        <v>65</v>
      </c>
      <c r="C59" s="356">
        <v>1.0</v>
      </c>
      <c r="D59" s="356">
        <v>1.33308784E7</v>
      </c>
      <c r="E59" s="180">
        <v>1191998.0</v>
      </c>
      <c r="F59" s="180">
        <v>1787991.0</v>
      </c>
      <c r="G59" s="360">
        <v>4668300.0</v>
      </c>
      <c r="H59" s="360"/>
      <c r="I59" s="43">
        <f t="shared" si="1"/>
        <v>2.09791684E7</v>
      </c>
    </row>
    <row r="60" spans="8:8">
      <c r="A60" s="3" t="s">
        <v>69</v>
      </c>
      <c r="B60" s="4" t="s">
        <v>65</v>
      </c>
      <c r="C60" s="356">
        <v>1.0</v>
      </c>
      <c r="D60" s="356">
        <v>1.62617798E7</v>
      </c>
      <c r="E60" s="180">
        <v>1191998.0</v>
      </c>
      <c r="F60" s="180">
        <v>1787991.0</v>
      </c>
      <c r="G60" s="360">
        <v>4668300.0</v>
      </c>
      <c r="H60" s="360"/>
      <c r="I60" s="43">
        <f t="shared" si="1"/>
        <v>2.39100698E7</v>
      </c>
    </row>
    <row r="61" spans="8:8">
      <c r="A61" s="3" t="s">
        <v>70</v>
      </c>
      <c r="B61" s="4" t="s">
        <v>65</v>
      </c>
      <c r="C61" s="356">
        <v>1.0</v>
      </c>
      <c r="D61" s="356">
        <v>1.25272434E7</v>
      </c>
      <c r="E61" s="180">
        <v>1191998.0</v>
      </c>
      <c r="F61" s="180">
        <v>1787991.0</v>
      </c>
      <c r="G61" s="360">
        <v>4668300.0</v>
      </c>
      <c r="H61" s="360"/>
      <c r="I61" s="43">
        <f t="shared" si="1"/>
        <v>2.01755334E7</v>
      </c>
    </row>
    <row r="62" spans="8:8">
      <c r="A62" s="15" t="s">
        <v>71</v>
      </c>
      <c r="B62" s="16" t="s">
        <v>65</v>
      </c>
      <c r="C62" s="356">
        <v>1.0</v>
      </c>
      <c r="D62" s="356">
        <v>1.33308784E7</v>
      </c>
      <c r="E62" s="180">
        <v>1191998.0</v>
      </c>
      <c r="F62" s="180">
        <v>1787991.0</v>
      </c>
      <c r="G62" s="360">
        <v>4668300.0</v>
      </c>
      <c r="H62" s="360"/>
      <c r="I62" s="43">
        <f t="shared" si="2" ref="I62:I74">SUM(C62:G62)</f>
        <v>2.09791684E7</v>
      </c>
    </row>
    <row r="63" spans="8:8">
      <c r="A63" s="15" t="s">
        <v>72</v>
      </c>
      <c r="B63" s="16" t="s">
        <v>65</v>
      </c>
      <c r="C63" s="356">
        <v>1.0</v>
      </c>
      <c r="D63" s="356">
        <v>1.47490574E7</v>
      </c>
      <c r="E63" s="180">
        <v>1191998.0</v>
      </c>
      <c r="F63" s="180">
        <v>1787991.0</v>
      </c>
      <c r="G63" s="360">
        <v>4668300.0</v>
      </c>
      <c r="H63" s="360"/>
      <c r="I63" s="43">
        <f t="shared" si="2"/>
        <v>2.23973474E7</v>
      </c>
    </row>
    <row r="64" spans="8:8">
      <c r="A64" s="3" t="s">
        <v>73</v>
      </c>
      <c r="B64" s="4" t="s">
        <v>65</v>
      </c>
      <c r="C64" s="356">
        <v>1.0</v>
      </c>
      <c r="D64" s="356">
        <v>1.25272434E7</v>
      </c>
      <c r="E64" s="180">
        <v>1191998.0</v>
      </c>
      <c r="F64" s="180">
        <v>1787991.0</v>
      </c>
      <c r="G64" s="360">
        <v>4668300.0</v>
      </c>
      <c r="H64" s="360"/>
      <c r="I64" s="43">
        <f t="shared" si="2"/>
        <v>2.01755334E7</v>
      </c>
    </row>
    <row r="65" spans="8:8">
      <c r="A65" s="3" t="s">
        <v>74</v>
      </c>
      <c r="B65" s="4" t="s">
        <v>65</v>
      </c>
      <c r="C65" s="356">
        <v>1.0</v>
      </c>
      <c r="D65" s="356">
        <v>1.33308784E7</v>
      </c>
      <c r="E65" s="180">
        <v>1191998.0</v>
      </c>
      <c r="F65" s="180">
        <v>1787991.0</v>
      </c>
      <c r="G65" s="360">
        <v>4668300.0</v>
      </c>
      <c r="H65" s="360"/>
      <c r="I65" s="43">
        <f t="shared" si="2"/>
        <v>2.09791684E7</v>
      </c>
    </row>
    <row r="66" spans="8:8">
      <c r="A66" s="3" t="s">
        <v>75</v>
      </c>
      <c r="B66" s="4" t="s">
        <v>65</v>
      </c>
      <c r="C66" s="356">
        <v>1.0</v>
      </c>
      <c r="D66" s="356">
        <v>2.05635892E7</v>
      </c>
      <c r="E66" s="180">
        <v>1191998.0</v>
      </c>
      <c r="F66" s="180">
        <v>1787991.0</v>
      </c>
      <c r="G66" s="360">
        <v>4668300.0</v>
      </c>
      <c r="H66" s="360"/>
      <c r="I66" s="43">
        <f t="shared" si="2"/>
        <v>2.82118792E7</v>
      </c>
    </row>
    <row r="67" spans="8:8">
      <c r="A67" s="3" t="s">
        <v>76</v>
      </c>
      <c r="B67" s="4" t="s">
        <v>65</v>
      </c>
      <c r="C67" s="356">
        <v>1.0</v>
      </c>
      <c r="D67" s="356">
        <v>1.25272434E7</v>
      </c>
      <c r="E67" s="180">
        <v>1191998.0</v>
      </c>
      <c r="F67" s="180">
        <v>1787991.0</v>
      </c>
      <c r="G67" s="360">
        <v>4668300.0</v>
      </c>
      <c r="H67" s="360"/>
      <c r="I67" s="43">
        <f t="shared" si="2"/>
        <v>2.01755334E7</v>
      </c>
    </row>
    <row r="68" spans="8:8">
      <c r="A68" s="3" t="s">
        <v>77</v>
      </c>
      <c r="B68" s="4" t="s">
        <v>65</v>
      </c>
      <c r="C68" s="356">
        <v>1.0</v>
      </c>
      <c r="D68" s="356">
        <v>1.33308784E7</v>
      </c>
      <c r="E68" s="180">
        <v>1191998.0</v>
      </c>
      <c r="F68" s="180">
        <v>1787991.0</v>
      </c>
      <c r="G68" s="360">
        <v>4668300.0</v>
      </c>
      <c r="H68" s="360"/>
      <c r="I68" s="43">
        <f t="shared" si="2"/>
        <v>2.09791684E7</v>
      </c>
    </row>
    <row r="69" spans="8:8">
      <c r="A69" s="3" t="s">
        <v>78</v>
      </c>
      <c r="B69" s="4" t="s">
        <v>65</v>
      </c>
      <c r="C69" s="356">
        <v>1.0</v>
      </c>
      <c r="D69" s="356">
        <v>1.47490574E7</v>
      </c>
      <c r="E69" s="180">
        <v>1191998.0</v>
      </c>
      <c r="F69" s="180">
        <v>1787991.0</v>
      </c>
      <c r="G69" s="360">
        <v>4668300.0</v>
      </c>
      <c r="H69" s="360"/>
      <c r="I69" s="43">
        <f t="shared" si="2"/>
        <v>2.23973474E7</v>
      </c>
    </row>
    <row r="70" spans="8:8">
      <c r="A70" s="3" t="s">
        <v>79</v>
      </c>
      <c r="B70" s="4" t="s">
        <v>65</v>
      </c>
      <c r="C70" s="356">
        <v>1.0</v>
      </c>
      <c r="D70" s="356">
        <v>1.62617798E7</v>
      </c>
      <c r="E70" s="180">
        <v>1191998.0</v>
      </c>
      <c r="F70" s="180">
        <v>1787991.0</v>
      </c>
      <c r="G70" s="360">
        <v>4668300.0</v>
      </c>
      <c r="H70" s="360"/>
      <c r="I70" s="43">
        <f t="shared" si="2"/>
        <v>2.39100698E7</v>
      </c>
    </row>
    <row r="71" spans="8:8">
      <c r="A71" s="3" t="s">
        <v>80</v>
      </c>
      <c r="B71" s="4" t="s">
        <v>65</v>
      </c>
      <c r="C71" s="356">
        <v>1.0</v>
      </c>
      <c r="D71" s="356">
        <v>1.25272434E7</v>
      </c>
      <c r="E71" s="180">
        <v>1191998.0</v>
      </c>
      <c r="F71" s="180">
        <v>1787991.0</v>
      </c>
      <c r="G71" s="360">
        <v>4668300.0</v>
      </c>
      <c r="H71" s="360"/>
      <c r="I71" s="43">
        <f t="shared" si="2"/>
        <v>2.01755334E7</v>
      </c>
    </row>
    <row r="72" spans="8:8">
      <c r="A72" s="3" t="s">
        <v>81</v>
      </c>
      <c r="B72" s="4" t="s">
        <v>65</v>
      </c>
      <c r="C72" s="356">
        <v>1.0</v>
      </c>
      <c r="D72" s="356">
        <v>1.33308784E7</v>
      </c>
      <c r="E72" s="180">
        <v>1191998.0</v>
      </c>
      <c r="F72" s="180">
        <v>1787991.0</v>
      </c>
      <c r="G72" s="360">
        <v>4668300.0</v>
      </c>
      <c r="H72" s="360"/>
      <c r="I72" s="43">
        <f t="shared" si="2"/>
        <v>2.09791684E7</v>
      </c>
    </row>
    <row r="73" spans="8:8">
      <c r="A73" s="3" t="s">
        <v>82</v>
      </c>
      <c r="B73" s="4" t="s">
        <v>65</v>
      </c>
      <c r="C73" s="356">
        <v>1.0</v>
      </c>
      <c r="D73" s="356">
        <v>2.50544868E7</v>
      </c>
      <c r="E73" s="180">
        <v>1191998.0</v>
      </c>
      <c r="F73" s="180">
        <v>1787991.0</v>
      </c>
      <c r="G73" s="360">
        <v>4668300.0</v>
      </c>
      <c r="H73" s="360"/>
      <c r="I73" s="43">
        <f t="shared" si="2"/>
        <v>3.27027768E7</v>
      </c>
    </row>
    <row r="74" spans="8:8">
      <c r="A74" s="3" t="s">
        <v>83</v>
      </c>
      <c r="B74" s="4" t="s">
        <v>65</v>
      </c>
      <c r="C74" s="356">
        <v>1.0</v>
      </c>
      <c r="D74" s="356">
        <v>2.66617554E7</v>
      </c>
      <c r="E74" s="180">
        <v>1191998.0</v>
      </c>
      <c r="F74" s="180">
        <v>1787991.0</v>
      </c>
      <c r="G74" s="360">
        <v>4668300.0</v>
      </c>
      <c r="H74" s="360"/>
      <c r="I74" s="43">
        <f t="shared" si="2"/>
        <v>3.43100454E7</v>
      </c>
    </row>
    <row r="75" spans="8:8">
      <c r="A75" s="3" t="s">
        <v>84</v>
      </c>
      <c r="B75" s="4" t="s">
        <v>65</v>
      </c>
      <c r="C75" s="356">
        <v>1.0</v>
      </c>
      <c r="D75" s="356">
        <v>1.33308784E7</v>
      </c>
      <c r="E75" s="180">
        <v>1191998.0</v>
      </c>
      <c r="F75" s="180">
        <v>1787991.0</v>
      </c>
      <c r="G75" s="360">
        <v>4668300.0</v>
      </c>
      <c r="H75" s="360"/>
      <c r="I75" s="43">
        <f>SUM(C75:H75)</f>
        <v>2.09791684E7</v>
      </c>
    </row>
    <row r="76" spans="8:8">
      <c r="A76" s="3" t="s">
        <v>85</v>
      </c>
      <c r="B76" s="4" t="s">
        <v>65</v>
      </c>
      <c r="C76" s="356">
        <v>1.0</v>
      </c>
      <c r="D76" s="356">
        <v>2.66617554E7</v>
      </c>
      <c r="E76" s="180">
        <v>1191998.0</v>
      </c>
      <c r="F76" s="180">
        <v>1787991.0</v>
      </c>
      <c r="G76" s="360">
        <v>4668300.0</v>
      </c>
      <c r="H76" s="360"/>
      <c r="I76" s="43">
        <f>SUM(C76:H76)</f>
        <v>3.43100454E7</v>
      </c>
    </row>
    <row r="77" spans="8:8">
      <c r="A77" s="15" t="s">
        <v>86</v>
      </c>
      <c r="B77" s="16" t="s">
        <v>65</v>
      </c>
      <c r="C77" s="356">
        <v>1.0</v>
      </c>
      <c r="D77" s="356">
        <v>1.33308784E7</v>
      </c>
      <c r="E77" s="180">
        <v>1191998.0</v>
      </c>
      <c r="F77" s="180">
        <v>1787991.0</v>
      </c>
      <c r="G77" s="360">
        <v>4668300.0</v>
      </c>
      <c r="H77" s="360"/>
      <c r="I77" s="43">
        <f t="shared" si="3" ref="I77:I114">SUM(C77:G77)</f>
        <v>2.09791684E7</v>
      </c>
    </row>
    <row r="78" spans="8:8" s="49" ht="15.0" customFormat="1">
      <c r="A78" s="15" t="s">
        <v>87</v>
      </c>
      <c r="B78" s="16" t="s">
        <v>65</v>
      </c>
      <c r="C78" s="356">
        <v>1.0</v>
      </c>
      <c r="D78" s="356">
        <v>1.47490574E7</v>
      </c>
      <c r="E78" s="180">
        <v>1191998.0</v>
      </c>
      <c r="F78" s="180">
        <v>1787991.0</v>
      </c>
      <c r="G78" s="360">
        <v>4668300.0</v>
      </c>
      <c r="H78" s="360"/>
      <c r="I78" s="241">
        <f t="shared" si="3"/>
        <v>2.23973474E7</v>
      </c>
    </row>
    <row r="79" spans="8:8">
      <c r="A79" s="15" t="s">
        <v>88</v>
      </c>
      <c r="B79" s="16" t="s">
        <v>65</v>
      </c>
      <c r="C79" s="356">
        <v>1.0</v>
      </c>
      <c r="D79" s="356">
        <v>1.62617798E7</v>
      </c>
      <c r="E79" s="180">
        <v>1191998.0</v>
      </c>
      <c r="F79" s="180">
        <v>1787991.0</v>
      </c>
      <c r="G79" s="360">
        <v>4668300.0</v>
      </c>
      <c r="H79" s="360"/>
      <c r="I79" s="43">
        <f t="shared" si="3"/>
        <v>2.39100698E7</v>
      </c>
    </row>
    <row r="80" spans="8:8">
      <c r="A80" s="15" t="s">
        <v>89</v>
      </c>
      <c r="B80" s="16" t="s">
        <v>65</v>
      </c>
      <c r="C80" s="356">
        <v>1.0</v>
      </c>
      <c r="D80" s="356">
        <v>1.84363214E7</v>
      </c>
      <c r="E80" s="180">
        <v>1191998.0</v>
      </c>
      <c r="F80" s="180">
        <v>1787991.0</v>
      </c>
      <c r="G80" s="360">
        <v>4668300.0</v>
      </c>
      <c r="H80" s="360"/>
      <c r="I80" s="43">
        <f t="shared" si="3"/>
        <v>2.60846114E7</v>
      </c>
    </row>
    <row r="81" spans="8:8">
      <c r="A81" s="15" t="s">
        <v>90</v>
      </c>
      <c r="B81" s="16" t="s">
        <v>65</v>
      </c>
      <c r="C81" s="356">
        <v>1.0</v>
      </c>
      <c r="D81" s="356">
        <v>1.98072266E7</v>
      </c>
      <c r="E81" s="180">
        <v>1191998.0</v>
      </c>
      <c r="F81" s="180">
        <v>1787991.0</v>
      </c>
      <c r="G81" s="360">
        <v>4668300.0</v>
      </c>
      <c r="H81" s="360"/>
      <c r="I81" s="43">
        <f t="shared" si="3"/>
        <v>2.74555166E7</v>
      </c>
    </row>
    <row r="82" spans="8:8">
      <c r="A82" s="15" t="s">
        <v>91</v>
      </c>
      <c r="B82" s="16" t="s">
        <v>65</v>
      </c>
      <c r="C82" s="356">
        <v>1.0</v>
      </c>
      <c r="D82" s="356">
        <v>2.09890422E7</v>
      </c>
      <c r="E82" s="180">
        <v>1191998.0</v>
      </c>
      <c r="F82" s="180">
        <v>1787991.0</v>
      </c>
      <c r="G82" s="360">
        <v>4668300.0</v>
      </c>
      <c r="H82" s="360"/>
      <c r="I82" s="43">
        <f t="shared" si="3"/>
        <v>2.86373322E7</v>
      </c>
    </row>
    <row r="83" spans="8:8">
      <c r="A83" s="15" t="s">
        <v>92</v>
      </c>
      <c r="B83" s="16" t="s">
        <v>65</v>
      </c>
      <c r="C83" s="356">
        <v>1.0</v>
      </c>
      <c r="D83" s="356">
        <v>1.25272434E7</v>
      </c>
      <c r="E83" s="180">
        <v>1191998.0</v>
      </c>
      <c r="F83" s="180">
        <v>1787991.0</v>
      </c>
      <c r="G83" s="360">
        <v>4668300.0</v>
      </c>
      <c r="H83" s="360"/>
      <c r="I83" s="43">
        <f t="shared" si="3"/>
        <v>2.01755334E7</v>
      </c>
    </row>
    <row r="84" spans="8:8">
      <c r="A84" s="15" t="s">
        <v>93</v>
      </c>
      <c r="B84" s="16" t="s">
        <v>65</v>
      </c>
      <c r="C84" s="356">
        <v>1.0</v>
      </c>
      <c r="D84" s="356">
        <v>1.33308784E7</v>
      </c>
      <c r="E84" s="180">
        <v>1191998.0</v>
      </c>
      <c r="F84" s="180">
        <v>1787991.0</v>
      </c>
      <c r="G84" s="360">
        <v>4668300.0</v>
      </c>
      <c r="H84" s="360"/>
      <c r="I84" s="43">
        <f t="shared" si="3"/>
        <v>2.09791684E7</v>
      </c>
    </row>
    <row r="85" spans="8:8">
      <c r="A85" s="15" t="s">
        <v>94</v>
      </c>
      <c r="B85" s="16" t="s">
        <v>65</v>
      </c>
      <c r="C85" s="356">
        <v>1.0</v>
      </c>
      <c r="D85" s="356">
        <v>1.62617798E7</v>
      </c>
      <c r="E85" s="180">
        <v>1191998.0</v>
      </c>
      <c r="F85" s="180">
        <v>1787991.0</v>
      </c>
      <c r="G85" s="360">
        <v>4668300.0</v>
      </c>
      <c r="H85" s="360"/>
      <c r="I85" s="43">
        <f t="shared" si="3"/>
        <v>2.39100698E7</v>
      </c>
    </row>
    <row r="86" spans="8:8">
      <c r="A86" s="15" t="s">
        <v>95</v>
      </c>
      <c r="B86" s="16" t="s">
        <v>65</v>
      </c>
      <c r="C86" s="356">
        <v>1.0</v>
      </c>
      <c r="D86" s="356">
        <v>1.33308784E7</v>
      </c>
      <c r="E86" s="180">
        <v>1191998.0</v>
      </c>
      <c r="F86" s="180">
        <v>1787991.0</v>
      </c>
      <c r="G86" s="360">
        <v>4668300.0</v>
      </c>
      <c r="H86" s="360"/>
      <c r="I86" s="43">
        <f t="shared" si="3"/>
        <v>2.09791684E7</v>
      </c>
    </row>
    <row r="87" spans="8:8">
      <c r="A87" s="15" t="s">
        <v>96</v>
      </c>
      <c r="B87" s="16" t="s">
        <v>65</v>
      </c>
      <c r="C87" s="356">
        <v>1.0</v>
      </c>
      <c r="D87" s="356">
        <v>1.62617798E7</v>
      </c>
      <c r="E87" s="180">
        <v>1191998.0</v>
      </c>
      <c r="F87" s="180">
        <v>1787991.0</v>
      </c>
      <c r="G87" s="360">
        <v>4668300.0</v>
      </c>
      <c r="H87" s="360"/>
      <c r="I87" s="43">
        <f t="shared" si="3"/>
        <v>2.39100698E7</v>
      </c>
    </row>
    <row r="88" spans="8:8">
      <c r="A88" s="15" t="s">
        <v>97</v>
      </c>
      <c r="B88" s="16" t="s">
        <v>65</v>
      </c>
      <c r="C88" s="356">
        <v>1.0</v>
      </c>
      <c r="D88" s="356">
        <v>1.25272434E7</v>
      </c>
      <c r="E88" s="180">
        <v>1191998.0</v>
      </c>
      <c r="F88" s="180">
        <v>1787991.0</v>
      </c>
      <c r="G88" s="360">
        <v>4668300.0</v>
      </c>
      <c r="H88" s="360"/>
      <c r="I88" s="43">
        <f t="shared" si="3"/>
        <v>2.01755334E7</v>
      </c>
    </row>
    <row r="89" spans="8:8">
      <c r="A89" s="15" t="s">
        <v>98</v>
      </c>
      <c r="B89" s="16" t="s">
        <v>65</v>
      </c>
      <c r="C89" s="356">
        <v>1.0</v>
      </c>
      <c r="D89" s="356">
        <v>1.33308784E7</v>
      </c>
      <c r="E89" s="180">
        <v>1191998.0</v>
      </c>
      <c r="F89" s="180">
        <v>1787991.0</v>
      </c>
      <c r="G89" s="360">
        <v>4668300.0</v>
      </c>
      <c r="H89" s="360"/>
      <c r="I89" s="43">
        <f t="shared" si="3"/>
        <v>2.09791684E7</v>
      </c>
    </row>
    <row r="90" spans="8:8" s="49" ht="15.0" customFormat="1">
      <c r="A90" s="15" t="s">
        <v>99</v>
      </c>
      <c r="B90" s="16" t="s">
        <v>65</v>
      </c>
      <c r="C90" s="356">
        <v>1.0</v>
      </c>
      <c r="D90" s="356">
        <v>1.62617798E7</v>
      </c>
      <c r="E90" s="180">
        <v>1191998.0</v>
      </c>
      <c r="F90" s="180">
        <v>1787991.0</v>
      </c>
      <c r="G90" s="360">
        <v>4668300.0</v>
      </c>
      <c r="H90" s="360"/>
      <c r="I90" s="43">
        <f t="shared" si="3"/>
        <v>2.39100698E7</v>
      </c>
    </row>
    <row r="91" spans="8:8">
      <c r="A91" s="15" t="s">
        <v>100</v>
      </c>
      <c r="B91" s="16" t="s">
        <v>65</v>
      </c>
      <c r="C91" s="356">
        <v>1.0</v>
      </c>
      <c r="D91" s="356">
        <v>1.98072266E7</v>
      </c>
      <c r="E91" s="180">
        <v>1191998.0</v>
      </c>
      <c r="F91" s="180">
        <v>1787991.0</v>
      </c>
      <c r="G91" s="360">
        <v>4668300.0</v>
      </c>
      <c r="H91" s="360"/>
      <c r="I91" s="43">
        <f t="shared" si="3"/>
        <v>2.74555166E7</v>
      </c>
    </row>
    <row r="92" spans="8:8">
      <c r="A92" s="15" t="s">
        <v>101</v>
      </c>
      <c r="B92" s="16" t="s">
        <v>65</v>
      </c>
      <c r="C92" s="356">
        <v>1.0</v>
      </c>
      <c r="D92" s="356">
        <v>2.09890422E7</v>
      </c>
      <c r="E92" s="180">
        <v>1191998.0</v>
      </c>
      <c r="F92" s="180">
        <v>1787991.0</v>
      </c>
      <c r="G92" s="360">
        <v>4668300.0</v>
      </c>
      <c r="H92" s="360"/>
      <c r="I92" s="43">
        <f t="shared" si="3"/>
        <v>2.86373322E7</v>
      </c>
    </row>
    <row r="93" spans="8:8">
      <c r="A93" s="15" t="s">
        <v>102</v>
      </c>
      <c r="B93" s="16" t="s">
        <v>65</v>
      </c>
      <c r="C93" s="356">
        <v>1.0</v>
      </c>
      <c r="D93" s="356">
        <v>1.31890598E7</v>
      </c>
      <c r="E93" s="180">
        <v>1191998.0</v>
      </c>
      <c r="F93" s="180">
        <v>1787991.0</v>
      </c>
      <c r="G93" s="360">
        <v>4668300.0</v>
      </c>
      <c r="H93" s="360"/>
      <c r="I93" s="43">
        <f t="shared" si="3"/>
        <v>2.08373498E7</v>
      </c>
    </row>
    <row r="94" spans="8:8">
      <c r="A94" s="15" t="s">
        <v>103</v>
      </c>
      <c r="B94" s="16" t="s">
        <v>65</v>
      </c>
      <c r="C94" s="356">
        <v>1.0</v>
      </c>
      <c r="D94" s="356">
        <v>1.25272434E7</v>
      </c>
      <c r="E94" s="180">
        <v>1191998.0</v>
      </c>
      <c r="F94" s="180">
        <v>1787991.0</v>
      </c>
      <c r="G94" s="360">
        <v>4668300.0</v>
      </c>
      <c r="H94" s="360"/>
      <c r="I94" s="43">
        <f t="shared" si="3"/>
        <v>2.01755334E7</v>
      </c>
    </row>
    <row r="95" spans="8:8">
      <c r="A95" s="15" t="s">
        <v>104</v>
      </c>
      <c r="B95" s="16" t="s">
        <v>65</v>
      </c>
      <c r="C95" s="356">
        <v>1.0</v>
      </c>
      <c r="D95" s="356">
        <v>1.33308784E7</v>
      </c>
      <c r="E95" s="180">
        <v>1191998.0</v>
      </c>
      <c r="F95" s="180">
        <v>1787991.0</v>
      </c>
      <c r="G95" s="360">
        <v>4668300.0</v>
      </c>
      <c r="H95" s="360"/>
      <c r="I95" s="43">
        <f t="shared" si="3"/>
        <v>2.09791684E7</v>
      </c>
    </row>
    <row r="96" spans="8:8" s="49" ht="15.0" customFormat="1">
      <c r="A96" s="3" t="s">
        <v>105</v>
      </c>
      <c r="B96" s="4" t="s">
        <v>65</v>
      </c>
      <c r="C96" s="356">
        <v>1.0</v>
      </c>
      <c r="D96" s="356">
        <v>1.47490574E7</v>
      </c>
      <c r="E96" s="180">
        <v>1191998.0</v>
      </c>
      <c r="F96" s="180">
        <v>1787991.0</v>
      </c>
      <c r="G96" s="360">
        <v>4668300.0</v>
      </c>
      <c r="H96" s="360"/>
      <c r="I96" s="241">
        <f t="shared" si="3"/>
        <v>2.23973474E7</v>
      </c>
    </row>
    <row r="97" spans="8:8">
      <c r="A97" s="3" t="s">
        <v>108</v>
      </c>
      <c r="B97" s="4" t="s">
        <v>65</v>
      </c>
      <c r="C97" s="356">
        <v>1.0</v>
      </c>
      <c r="D97" s="356">
        <v>1.33308784E7</v>
      </c>
      <c r="E97" s="180">
        <v>1191998.0</v>
      </c>
      <c r="F97" s="180">
        <v>1787991.0</v>
      </c>
      <c r="G97" s="360">
        <v>4668300.0</v>
      </c>
      <c r="H97" s="360"/>
      <c r="I97" s="43">
        <f t="shared" si="3"/>
        <v>2.09791684E7</v>
      </c>
    </row>
    <row r="98" spans="8:8">
      <c r="A98" s="3" t="s">
        <v>109</v>
      </c>
      <c r="B98" s="4" t="s">
        <v>65</v>
      </c>
      <c r="C98" s="356">
        <v>1.0</v>
      </c>
      <c r="D98" s="356">
        <v>1.47490574E7</v>
      </c>
      <c r="E98" s="180">
        <v>1191998.0</v>
      </c>
      <c r="F98" s="180">
        <v>1787991.0</v>
      </c>
      <c r="G98" s="360">
        <v>4668300.0</v>
      </c>
      <c r="H98" s="360"/>
      <c r="I98" s="43">
        <f t="shared" si="3"/>
        <v>2.23973474E7</v>
      </c>
    </row>
    <row r="99" spans="8:8">
      <c r="A99" s="3" t="s">
        <v>110</v>
      </c>
      <c r="B99" s="4" t="s">
        <v>65</v>
      </c>
      <c r="C99" s="356">
        <v>4.35441006E7</v>
      </c>
      <c r="D99" s="356">
        <v>1.22436076E7</v>
      </c>
      <c r="E99" s="180">
        <v>1191998.0</v>
      </c>
      <c r="F99" s="180">
        <v>1787991.0</v>
      </c>
      <c r="G99" s="360">
        <v>4668300.0</v>
      </c>
      <c r="H99" s="360"/>
      <c r="I99" s="43">
        <f t="shared" si="3"/>
        <v>6.34359972E7</v>
      </c>
    </row>
    <row r="100" spans="8:8">
      <c r="A100" s="3" t="s">
        <v>111</v>
      </c>
      <c r="B100" s="4" t="s">
        <v>65</v>
      </c>
      <c r="C100" s="356">
        <v>1.0</v>
      </c>
      <c r="D100" s="356">
        <v>1.25272434E7</v>
      </c>
      <c r="E100" s="180">
        <v>1191998.0</v>
      </c>
      <c r="F100" s="180">
        <v>1787991.0</v>
      </c>
      <c r="G100" s="360">
        <v>4668300.0</v>
      </c>
      <c r="H100" s="360"/>
      <c r="I100" s="43">
        <f t="shared" si="3"/>
        <v>2.01755334E7</v>
      </c>
    </row>
    <row r="101" spans="8:8">
      <c r="A101" s="3" t="s">
        <v>112</v>
      </c>
      <c r="B101" s="4" t="s">
        <v>65</v>
      </c>
      <c r="C101" s="356">
        <v>1.0</v>
      </c>
      <c r="D101" s="356">
        <v>1.33308784E7</v>
      </c>
      <c r="E101" s="180">
        <v>1191998.0</v>
      </c>
      <c r="F101" s="180">
        <v>1787991.0</v>
      </c>
      <c r="G101" s="360">
        <v>4668300.0</v>
      </c>
      <c r="H101" s="360"/>
      <c r="I101" s="43">
        <f t="shared" si="3"/>
        <v>2.09791684E7</v>
      </c>
    </row>
    <row r="102" spans="8:8">
      <c r="A102" s="3" t="s">
        <v>113</v>
      </c>
      <c r="B102" s="4" t="s">
        <v>65</v>
      </c>
      <c r="C102" s="356">
        <v>1.0</v>
      </c>
      <c r="D102" s="356">
        <v>1.47490574E7</v>
      </c>
      <c r="E102" s="180">
        <v>1191998.0</v>
      </c>
      <c r="F102" s="180">
        <v>1787991.0</v>
      </c>
      <c r="G102" s="360">
        <v>4668300.0</v>
      </c>
      <c r="H102" s="360"/>
      <c r="I102" s="43">
        <f t="shared" si="3"/>
        <v>2.23973474E7</v>
      </c>
    </row>
    <row r="103" spans="8:8">
      <c r="A103" s="3" t="s">
        <v>114</v>
      </c>
      <c r="B103" s="4" t="s">
        <v>65</v>
      </c>
      <c r="C103" s="356">
        <v>1.0</v>
      </c>
      <c r="D103" s="356">
        <v>1.25272434E7</v>
      </c>
      <c r="E103" s="180">
        <v>1191998.0</v>
      </c>
      <c r="F103" s="180">
        <v>1787991.0</v>
      </c>
      <c r="G103" s="360">
        <v>4668300.0</v>
      </c>
      <c r="H103" s="360"/>
      <c r="I103" s="43">
        <f t="shared" si="3"/>
        <v>2.01755334E7</v>
      </c>
    </row>
    <row r="104" spans="8:8">
      <c r="A104" s="3" t="s">
        <v>115</v>
      </c>
      <c r="B104" s="4" t="s">
        <v>65</v>
      </c>
      <c r="C104" s="356">
        <v>1.0</v>
      </c>
      <c r="D104" s="356">
        <v>1.33308784E7</v>
      </c>
      <c r="E104" s="180">
        <v>1191998.0</v>
      </c>
      <c r="F104" s="180">
        <v>1787991.0</v>
      </c>
      <c r="G104" s="360">
        <v>4668300.0</v>
      </c>
      <c r="H104" s="360"/>
      <c r="I104" s="43">
        <f t="shared" si="3"/>
        <v>2.09791684E7</v>
      </c>
    </row>
    <row r="105" spans="8:8">
      <c r="A105" s="3" t="s">
        <v>116</v>
      </c>
      <c r="B105" s="4" t="s">
        <v>65</v>
      </c>
      <c r="C105" s="356">
        <v>1.0</v>
      </c>
      <c r="D105" s="356">
        <v>1.47490574E7</v>
      </c>
      <c r="E105" s="180">
        <v>1191998.0</v>
      </c>
      <c r="F105" s="180">
        <v>1787991.0</v>
      </c>
      <c r="G105" s="360">
        <v>4668300.0</v>
      </c>
      <c r="H105" s="360"/>
      <c r="I105" s="43">
        <f t="shared" si="3"/>
        <v>2.23973474E7</v>
      </c>
    </row>
    <row r="106" spans="8:8">
      <c r="A106" s="3" t="s">
        <v>117</v>
      </c>
      <c r="B106" s="4" t="s">
        <v>65</v>
      </c>
      <c r="C106" s="356">
        <v>1.0</v>
      </c>
      <c r="D106" s="356">
        <v>1.33308784E7</v>
      </c>
      <c r="E106" s="180">
        <v>1191998.0</v>
      </c>
      <c r="F106" s="180">
        <v>1787991.0</v>
      </c>
      <c r="G106" s="360">
        <v>4668300.0</v>
      </c>
      <c r="H106" s="360"/>
      <c r="I106" s="43">
        <f t="shared" si="3"/>
        <v>2.09791684E7</v>
      </c>
    </row>
    <row r="107" spans="8:8">
      <c r="A107" s="3" t="s">
        <v>118</v>
      </c>
      <c r="B107" s="4" t="s">
        <v>65</v>
      </c>
      <c r="C107" s="356">
        <v>1.0</v>
      </c>
      <c r="D107" s="356">
        <v>1.25272434E7</v>
      </c>
      <c r="E107" s="180">
        <v>1191998.0</v>
      </c>
      <c r="F107" s="180">
        <v>1787991.0</v>
      </c>
      <c r="G107" s="360">
        <v>4668300.0</v>
      </c>
      <c r="H107" s="360"/>
      <c r="I107" s="43">
        <f t="shared" si="3"/>
        <v>2.01755334E7</v>
      </c>
    </row>
    <row r="108" spans="8:8">
      <c r="A108" s="3" t="s">
        <v>119</v>
      </c>
      <c r="B108" s="4" t="s">
        <v>65</v>
      </c>
      <c r="C108" s="356">
        <v>1.0</v>
      </c>
      <c r="D108" s="356">
        <v>1.33308784E7</v>
      </c>
      <c r="E108" s="180">
        <v>1191998.0</v>
      </c>
      <c r="F108" s="180">
        <v>1787991.0</v>
      </c>
      <c r="G108" s="360">
        <v>4668300.0</v>
      </c>
      <c r="H108" s="360"/>
      <c r="I108" s="43">
        <f t="shared" si="3"/>
        <v>2.09791684E7</v>
      </c>
    </row>
    <row r="109" spans="8:8">
      <c r="A109" s="3" t="s">
        <v>120</v>
      </c>
      <c r="B109" s="4" t="s">
        <v>65</v>
      </c>
      <c r="C109" s="356">
        <v>1.0</v>
      </c>
      <c r="D109" s="356">
        <v>2.50544868E7</v>
      </c>
      <c r="E109" s="180">
        <v>1191998.0</v>
      </c>
      <c r="F109" s="180">
        <v>1787991.0</v>
      </c>
      <c r="G109" s="360">
        <v>4668300.0</v>
      </c>
      <c r="H109" s="360"/>
      <c r="I109" s="43">
        <f t="shared" si="3"/>
        <v>3.27027768E7</v>
      </c>
    </row>
    <row r="110" spans="8:8">
      <c r="A110" s="3" t="s">
        <v>121</v>
      </c>
      <c r="B110" s="4" t="s">
        <v>65</v>
      </c>
      <c r="C110" s="356">
        <v>1.0</v>
      </c>
      <c r="D110" s="356">
        <v>2.66617554E7</v>
      </c>
      <c r="E110" s="180">
        <v>1191998.0</v>
      </c>
      <c r="F110" s="180">
        <v>1787991.0</v>
      </c>
      <c r="G110" s="360">
        <v>4668300.0</v>
      </c>
      <c r="H110" s="360"/>
      <c r="I110" s="43">
        <f t="shared" si="3"/>
        <v>3.43100454E7</v>
      </c>
    </row>
    <row r="111" spans="8:8">
      <c r="A111" s="3" t="s">
        <v>122</v>
      </c>
      <c r="B111" s="4" t="s">
        <v>65</v>
      </c>
      <c r="C111" s="356">
        <v>1.0</v>
      </c>
      <c r="D111" s="356">
        <v>1.25272434E7</v>
      </c>
      <c r="E111" s="180">
        <v>1191998.0</v>
      </c>
      <c r="F111" s="180">
        <v>1787991.0</v>
      </c>
      <c r="G111" s="360">
        <v>4668300.0</v>
      </c>
      <c r="H111" s="360"/>
      <c r="I111" s="43">
        <f t="shared" si="3"/>
        <v>2.01755334E7</v>
      </c>
    </row>
    <row r="112" spans="8:8">
      <c r="A112" s="3" t="s">
        <v>123</v>
      </c>
      <c r="B112" s="4" t="s">
        <v>65</v>
      </c>
      <c r="C112" s="356">
        <v>1.0</v>
      </c>
      <c r="D112" s="356">
        <v>1.33308784E7</v>
      </c>
      <c r="E112" s="180">
        <v>1191998.0</v>
      </c>
      <c r="F112" s="180">
        <v>1787991.0</v>
      </c>
      <c r="G112" s="360">
        <v>4668300.0</v>
      </c>
      <c r="H112" s="360"/>
      <c r="I112" s="43">
        <f t="shared" si="3"/>
        <v>2.09791684E7</v>
      </c>
    </row>
    <row r="113" spans="8:8">
      <c r="A113" s="3" t="s">
        <v>124</v>
      </c>
      <c r="B113" s="4" t="s">
        <v>65</v>
      </c>
      <c r="C113" s="356">
        <v>1.0</v>
      </c>
      <c r="D113" s="356">
        <v>1.47490574E7</v>
      </c>
      <c r="E113" s="180">
        <v>1191998.0</v>
      </c>
      <c r="F113" s="180">
        <v>1787991.0</v>
      </c>
      <c r="G113" s="360">
        <v>4668300.0</v>
      </c>
      <c r="H113" s="360"/>
      <c r="I113" s="43">
        <f t="shared" si="3"/>
        <v>2.23973474E7</v>
      </c>
    </row>
    <row r="114" spans="8:8">
      <c r="A114" s="3" t="s">
        <v>125</v>
      </c>
      <c r="B114" s="4" t="s">
        <v>65</v>
      </c>
      <c r="C114" s="356">
        <v>1.0</v>
      </c>
      <c r="D114" s="356">
        <v>1.62617798E7</v>
      </c>
      <c r="E114" s="180">
        <v>1191998.0</v>
      </c>
      <c r="F114" s="180">
        <v>1787991.0</v>
      </c>
      <c r="G114" s="360">
        <v>4668300.0</v>
      </c>
      <c r="H114" s="360"/>
      <c r="I114" s="43">
        <f t="shared" si="3"/>
        <v>2.39100698E7</v>
      </c>
    </row>
    <row r="115" spans="8:8">
      <c r="A115" s="3" t="s">
        <v>126</v>
      </c>
      <c r="B115" s="4" t="s">
        <v>65</v>
      </c>
      <c r="C115" s="356">
        <v>1.0</v>
      </c>
      <c r="D115" s="356">
        <v>1.84363214E7</v>
      </c>
      <c r="E115" s="180">
        <v>1191998.0</v>
      </c>
      <c r="F115" s="180">
        <v>1787991.0</v>
      </c>
      <c r="G115" s="360">
        <v>4668300.0</v>
      </c>
      <c r="H115" s="360"/>
      <c r="I115" s="43">
        <f t="shared" si="4" ref="I115:I178">SUM(C115:H115)</f>
        <v>2.60846114E7</v>
      </c>
    </row>
    <row r="116" spans="8:8">
      <c r="A116" s="3" t="s">
        <v>127</v>
      </c>
      <c r="B116" s="4" t="s">
        <v>65</v>
      </c>
      <c r="C116" s="356">
        <v>1.0</v>
      </c>
      <c r="D116" s="356">
        <v>2.50544868E7</v>
      </c>
      <c r="E116" s="180">
        <v>1191998.0</v>
      </c>
      <c r="F116" s="180">
        <v>1787991.0</v>
      </c>
      <c r="G116" s="360">
        <v>4668300.0</v>
      </c>
      <c r="H116" s="360"/>
      <c r="I116" s="43">
        <f t="shared" si="4"/>
        <v>3.27027768E7</v>
      </c>
    </row>
    <row r="117" spans="8:8">
      <c r="A117" s="3" t="s">
        <v>128</v>
      </c>
      <c r="B117" s="4" t="s">
        <v>65</v>
      </c>
      <c r="C117" s="356">
        <v>1.0</v>
      </c>
      <c r="D117" s="356">
        <v>2.66617554E7</v>
      </c>
      <c r="E117" s="180">
        <v>1191998.0</v>
      </c>
      <c r="F117" s="180">
        <v>1787991.0</v>
      </c>
      <c r="G117" s="360">
        <v>4668300.0</v>
      </c>
      <c r="H117" s="360"/>
      <c r="I117" s="43">
        <f t="shared" si="4"/>
        <v>3.43100454E7</v>
      </c>
    </row>
    <row r="118" spans="8:8">
      <c r="A118" s="3" t="s">
        <v>129</v>
      </c>
      <c r="B118" s="4" t="s">
        <v>65</v>
      </c>
      <c r="C118" s="356">
        <v>1.0</v>
      </c>
      <c r="D118" s="356">
        <v>2.94981134E7</v>
      </c>
      <c r="E118" s="180">
        <v>1191998.0</v>
      </c>
      <c r="F118" s="180">
        <v>1787991.0</v>
      </c>
      <c r="G118" s="360">
        <v>4668300.0</v>
      </c>
      <c r="H118" s="360"/>
      <c r="I118" s="43">
        <f t="shared" si="4"/>
        <v>3.71464034E7</v>
      </c>
    </row>
    <row r="119" spans="8:8">
      <c r="A119" s="3" t="s">
        <v>130</v>
      </c>
      <c r="B119" s="4" t="s">
        <v>65</v>
      </c>
      <c r="C119" s="356">
        <v>1.0</v>
      </c>
      <c r="D119" s="356">
        <v>3.25235596E7</v>
      </c>
      <c r="E119" s="180">
        <v>1191998.0</v>
      </c>
      <c r="F119" s="180">
        <v>1787991.0</v>
      </c>
      <c r="G119" s="360">
        <v>4668300.0</v>
      </c>
      <c r="H119" s="360"/>
      <c r="I119" s="43">
        <f t="shared" si="4"/>
        <v>4.01718496E7</v>
      </c>
    </row>
    <row r="120" spans="8:8">
      <c r="A120" s="3" t="s">
        <v>131</v>
      </c>
      <c r="B120" s="4" t="s">
        <v>65</v>
      </c>
      <c r="C120" s="356">
        <v>1.0</v>
      </c>
      <c r="D120" s="356">
        <v>3.68726414E7</v>
      </c>
      <c r="E120" s="180">
        <v>1191998.0</v>
      </c>
      <c r="F120" s="180">
        <v>1787991.0</v>
      </c>
      <c r="G120" s="360">
        <v>4668300.0</v>
      </c>
      <c r="H120" s="360"/>
      <c r="I120" s="43">
        <f t="shared" si="4"/>
        <v>4.45209314E7</v>
      </c>
    </row>
    <row r="121" spans="8:8">
      <c r="A121" s="3" t="s">
        <v>132</v>
      </c>
      <c r="B121" s="4" t="s">
        <v>65</v>
      </c>
      <c r="C121" s="356">
        <v>1.0</v>
      </c>
      <c r="D121" s="356">
        <v>1.25272434E7</v>
      </c>
      <c r="E121" s="180">
        <v>1191998.0</v>
      </c>
      <c r="F121" s="180">
        <v>1787991.0</v>
      </c>
      <c r="G121" s="360">
        <v>4668300.0</v>
      </c>
      <c r="H121" s="360"/>
      <c r="I121" s="43">
        <f t="shared" si="4"/>
        <v>2.01755334E7</v>
      </c>
    </row>
    <row r="122" spans="8:8">
      <c r="A122" s="3" t="s">
        <v>133</v>
      </c>
      <c r="B122" s="4" t="s">
        <v>65</v>
      </c>
      <c r="C122" s="356">
        <v>1.0</v>
      </c>
      <c r="D122" s="356">
        <v>1.33308784E7</v>
      </c>
      <c r="E122" s="180">
        <v>1191998.0</v>
      </c>
      <c r="F122" s="180">
        <v>1787991.0</v>
      </c>
      <c r="G122" s="360">
        <v>4668300.0</v>
      </c>
      <c r="H122" s="360"/>
      <c r="I122" s="43">
        <f t="shared" si="4"/>
        <v>2.09791684E7</v>
      </c>
    </row>
    <row r="123" spans="8:8">
      <c r="A123" s="3" t="s">
        <v>134</v>
      </c>
      <c r="B123" s="4" t="s">
        <v>65</v>
      </c>
      <c r="C123" s="356">
        <v>1.0</v>
      </c>
      <c r="D123" s="356">
        <v>1.47490574E7</v>
      </c>
      <c r="E123" s="180">
        <v>1191998.0</v>
      </c>
      <c r="F123" s="180">
        <v>1787991.0</v>
      </c>
      <c r="G123" s="360">
        <v>4668300.0</v>
      </c>
      <c r="H123" s="360"/>
      <c r="I123" s="43">
        <f t="shared" si="4"/>
        <v>2.23973474E7</v>
      </c>
    </row>
    <row r="124" spans="8:8">
      <c r="A124" s="3" t="s">
        <v>135</v>
      </c>
      <c r="B124" s="4" t="s">
        <v>65</v>
      </c>
      <c r="C124" s="356">
        <v>1.0</v>
      </c>
      <c r="D124" s="356">
        <v>1.25272434E7</v>
      </c>
      <c r="E124" s="180">
        <v>1191998.0</v>
      </c>
      <c r="F124" s="180">
        <v>1787991.0</v>
      </c>
      <c r="G124" s="360">
        <v>4668300.0</v>
      </c>
      <c r="H124" s="360"/>
      <c r="I124" s="43">
        <f t="shared" si="4"/>
        <v>2.01755334E7</v>
      </c>
    </row>
    <row r="125" spans="8:8">
      <c r="A125" s="3" t="s">
        <v>136</v>
      </c>
      <c r="B125" s="4" t="s">
        <v>65</v>
      </c>
      <c r="C125" s="356">
        <v>1.0</v>
      </c>
      <c r="D125" s="356">
        <v>1.33308784E7</v>
      </c>
      <c r="E125" s="180">
        <v>1191998.0</v>
      </c>
      <c r="F125" s="180">
        <v>1787991.0</v>
      </c>
      <c r="G125" s="360">
        <v>4668300.0</v>
      </c>
      <c r="H125" s="360"/>
      <c r="I125" s="43">
        <f t="shared" si="4"/>
        <v>2.09791684E7</v>
      </c>
    </row>
    <row r="126" spans="8:8">
      <c r="A126" s="3" t="s">
        <v>137</v>
      </c>
      <c r="B126" s="4" t="s">
        <v>65</v>
      </c>
      <c r="C126" s="356">
        <v>1.0</v>
      </c>
      <c r="D126" s="356">
        <v>2.50544868E7</v>
      </c>
      <c r="E126" s="180">
        <v>1191998.0</v>
      </c>
      <c r="F126" s="180">
        <v>1787991.0</v>
      </c>
      <c r="G126" s="360">
        <v>4668300.0</v>
      </c>
      <c r="H126" s="360"/>
      <c r="I126" s="43">
        <f t="shared" si="4"/>
        <v>3.27027768E7</v>
      </c>
    </row>
    <row r="127" spans="8:8">
      <c r="A127" s="3" t="s">
        <v>138</v>
      </c>
      <c r="B127" s="4" t="s">
        <v>65</v>
      </c>
      <c r="C127" s="356">
        <v>1.0</v>
      </c>
      <c r="D127" s="356">
        <v>2.66617554E7</v>
      </c>
      <c r="E127" s="180">
        <v>1191998.0</v>
      </c>
      <c r="F127" s="180">
        <v>1787991.0</v>
      </c>
      <c r="G127" s="360">
        <v>4668300.0</v>
      </c>
      <c r="H127" s="360"/>
      <c r="I127" s="43">
        <f t="shared" si="4"/>
        <v>3.43100454E7</v>
      </c>
    </row>
    <row r="128" spans="8:8">
      <c r="A128" s="3" t="s">
        <v>139</v>
      </c>
      <c r="B128" s="4" t="s">
        <v>65</v>
      </c>
      <c r="C128" s="356">
        <v>1.0</v>
      </c>
      <c r="D128" s="356">
        <v>1.25272434E7</v>
      </c>
      <c r="E128" s="180">
        <v>1191998.0</v>
      </c>
      <c r="F128" s="180">
        <v>1787991.0</v>
      </c>
      <c r="G128" s="360">
        <v>4668300.0</v>
      </c>
      <c r="H128" s="360"/>
      <c r="I128" s="43">
        <f t="shared" si="4"/>
        <v>2.01755334E7</v>
      </c>
    </row>
    <row r="129" spans="8:8">
      <c r="A129" s="3" t="s">
        <v>140</v>
      </c>
      <c r="B129" s="4" t="s">
        <v>65</v>
      </c>
      <c r="C129" s="356">
        <v>1.0</v>
      </c>
      <c r="D129" s="356">
        <v>1.33308784E7</v>
      </c>
      <c r="E129" s="180">
        <v>1191998.0</v>
      </c>
      <c r="F129" s="180">
        <v>1787991.0</v>
      </c>
      <c r="G129" s="360">
        <v>4668300.0</v>
      </c>
      <c r="H129" s="360"/>
      <c r="I129" s="43">
        <f t="shared" si="4"/>
        <v>2.09791684E7</v>
      </c>
    </row>
    <row r="130" spans="8:8">
      <c r="A130" s="3" t="s">
        <v>141</v>
      </c>
      <c r="B130" s="4" t="s">
        <v>65</v>
      </c>
      <c r="C130" s="356">
        <v>1.0</v>
      </c>
      <c r="D130" s="356">
        <v>1.47490574E7</v>
      </c>
      <c r="E130" s="180">
        <v>1191998.0</v>
      </c>
      <c r="F130" s="180">
        <v>1787991.0</v>
      </c>
      <c r="G130" s="360">
        <v>4668300.0</v>
      </c>
      <c r="H130" s="360"/>
      <c r="I130" s="43">
        <f t="shared" si="4"/>
        <v>2.23973474E7</v>
      </c>
    </row>
    <row r="131" spans="8:8">
      <c r="A131" s="3" t="s">
        <v>142</v>
      </c>
      <c r="B131" s="4" t="s">
        <v>65</v>
      </c>
      <c r="C131" s="356">
        <v>1.0</v>
      </c>
      <c r="D131" s="356">
        <v>2.50544868E7</v>
      </c>
      <c r="E131" s="180">
        <v>1191998.0</v>
      </c>
      <c r="F131" s="180">
        <v>1787991.0</v>
      </c>
      <c r="G131" s="360">
        <v>4668300.0</v>
      </c>
      <c r="H131" s="360"/>
      <c r="I131" s="43">
        <f t="shared" si="4"/>
        <v>3.27027768E7</v>
      </c>
    </row>
    <row r="132" spans="8:8">
      <c r="A132" s="3" t="s">
        <v>143</v>
      </c>
      <c r="B132" s="4" t="s">
        <v>65</v>
      </c>
      <c r="C132" s="356">
        <v>1.0</v>
      </c>
      <c r="D132" s="356">
        <v>2.66617554E7</v>
      </c>
      <c r="E132" s="180">
        <v>1191998.0</v>
      </c>
      <c r="F132" s="180">
        <v>1787991.0</v>
      </c>
      <c r="G132" s="360">
        <v>4668300.0</v>
      </c>
      <c r="H132" s="360"/>
      <c r="I132" s="43">
        <f t="shared" si="4"/>
        <v>3.43100454E7</v>
      </c>
    </row>
    <row r="133" spans="8:8">
      <c r="A133" s="3" t="s">
        <v>144</v>
      </c>
      <c r="B133" s="4" t="s">
        <v>65</v>
      </c>
      <c r="C133" s="356">
        <v>1.0</v>
      </c>
      <c r="D133" s="356">
        <v>2.94981134E7</v>
      </c>
      <c r="E133" s="180">
        <v>1191998.0</v>
      </c>
      <c r="F133" s="180">
        <v>1787991.0</v>
      </c>
      <c r="G133" s="360">
        <v>4668300.0</v>
      </c>
      <c r="H133" s="360"/>
      <c r="I133" s="43">
        <f t="shared" si="4"/>
        <v>3.71464034E7</v>
      </c>
    </row>
    <row r="134" spans="8:8">
      <c r="A134" s="3" t="s">
        <v>145</v>
      </c>
      <c r="B134" s="4" t="s">
        <v>65</v>
      </c>
      <c r="C134" s="356">
        <v>1.0</v>
      </c>
      <c r="D134" s="356">
        <v>1.25272434E7</v>
      </c>
      <c r="E134" s="180">
        <v>1191998.0</v>
      </c>
      <c r="F134" s="180">
        <v>1787991.0</v>
      </c>
      <c r="G134" s="360">
        <v>4668300.0</v>
      </c>
      <c r="H134" s="360"/>
      <c r="I134" s="43">
        <f t="shared" si="4"/>
        <v>2.01755334E7</v>
      </c>
    </row>
    <row r="135" spans="8:8">
      <c r="A135" s="3" t="s">
        <v>146</v>
      </c>
      <c r="B135" s="4" t="s">
        <v>65</v>
      </c>
      <c r="C135" s="356">
        <v>1.0</v>
      </c>
      <c r="D135" s="356">
        <v>1.33308784E7</v>
      </c>
      <c r="E135" s="180">
        <v>1191998.0</v>
      </c>
      <c r="F135" s="180">
        <v>1787991.0</v>
      </c>
      <c r="G135" s="360">
        <v>4668300.0</v>
      </c>
      <c r="H135" s="360"/>
      <c r="I135" s="43">
        <f t="shared" si="4"/>
        <v>2.09791684E7</v>
      </c>
    </row>
    <row r="136" spans="8:8">
      <c r="A136" s="3" t="s">
        <v>147</v>
      </c>
      <c r="B136" s="4" t="s">
        <v>65</v>
      </c>
      <c r="C136" s="356">
        <v>1.0</v>
      </c>
      <c r="D136" s="356">
        <v>1.47490574E7</v>
      </c>
      <c r="E136" s="180">
        <v>1191998.0</v>
      </c>
      <c r="F136" s="180">
        <v>1787991.0</v>
      </c>
      <c r="G136" s="360">
        <v>4668300.0</v>
      </c>
      <c r="H136" s="360"/>
      <c r="I136" s="43">
        <f t="shared" si="4"/>
        <v>2.23973474E7</v>
      </c>
    </row>
    <row r="137" spans="8:8">
      <c r="A137" s="3" t="s">
        <v>148</v>
      </c>
      <c r="B137" s="4" t="s">
        <v>65</v>
      </c>
      <c r="C137" s="356">
        <v>1.0</v>
      </c>
      <c r="D137" s="356">
        <v>1.33308784E7</v>
      </c>
      <c r="E137" s="180">
        <v>1191998.0</v>
      </c>
      <c r="F137" s="180">
        <v>1787991.0</v>
      </c>
      <c r="G137" s="360">
        <v>4668300.0</v>
      </c>
      <c r="H137" s="360"/>
      <c r="I137" s="43">
        <f t="shared" si="4"/>
        <v>2.09791684E7</v>
      </c>
    </row>
    <row r="138" spans="8:8">
      <c r="A138" s="3" t="s">
        <v>149</v>
      </c>
      <c r="B138" s="4" t="s">
        <v>65</v>
      </c>
      <c r="C138" s="356">
        <v>1.0</v>
      </c>
      <c r="D138" s="356">
        <v>1.47490574E7</v>
      </c>
      <c r="E138" s="180">
        <v>1191998.0</v>
      </c>
      <c r="F138" s="180">
        <v>1787991.0</v>
      </c>
      <c r="G138" s="360">
        <v>4668300.0</v>
      </c>
      <c r="H138" s="360"/>
      <c r="I138" s="43">
        <f t="shared" si="4"/>
        <v>2.23973474E7</v>
      </c>
    </row>
    <row r="139" spans="8:8">
      <c r="A139" s="3" t="s">
        <v>150</v>
      </c>
      <c r="B139" s="4" t="s">
        <v>65</v>
      </c>
      <c r="C139" s="356">
        <v>1.0</v>
      </c>
      <c r="D139" s="356">
        <v>1.98072266E7</v>
      </c>
      <c r="E139" s="180">
        <v>1191998.0</v>
      </c>
      <c r="F139" s="180">
        <v>1787991.0</v>
      </c>
      <c r="G139" s="360">
        <v>4668300.0</v>
      </c>
      <c r="H139" s="360"/>
      <c r="I139" s="43">
        <f t="shared" si="4"/>
        <v>2.74555166E7</v>
      </c>
    </row>
    <row r="140" spans="8:8">
      <c r="A140" s="3" t="s">
        <v>151</v>
      </c>
      <c r="B140" s="4" t="s">
        <v>65</v>
      </c>
      <c r="C140" s="356">
        <v>1.0</v>
      </c>
      <c r="D140" s="356">
        <v>2.66617554E7</v>
      </c>
      <c r="E140" s="180">
        <v>1191998.0</v>
      </c>
      <c r="F140" s="180">
        <v>1787991.0</v>
      </c>
      <c r="G140" s="360">
        <v>4668300.0</v>
      </c>
      <c r="H140" s="360"/>
      <c r="I140" s="43">
        <f t="shared" si="4"/>
        <v>3.43100454E7</v>
      </c>
    </row>
    <row r="141" spans="8:8">
      <c r="A141" s="3" t="s">
        <v>152</v>
      </c>
      <c r="B141" s="4" t="s">
        <v>65</v>
      </c>
      <c r="C141" s="356">
        <v>1.0</v>
      </c>
      <c r="D141" s="356">
        <v>2.94981134E7</v>
      </c>
      <c r="E141" s="180">
        <v>1191998.0</v>
      </c>
      <c r="F141" s="180">
        <v>1787991.0</v>
      </c>
      <c r="G141" s="360">
        <v>4668300.0</v>
      </c>
      <c r="H141" s="360"/>
      <c r="I141" s="43">
        <f t="shared" si="4"/>
        <v>3.71464034E7</v>
      </c>
    </row>
    <row r="142" spans="8:8">
      <c r="A142" s="3" t="s">
        <v>153</v>
      </c>
      <c r="B142" s="4" t="s">
        <v>65</v>
      </c>
      <c r="C142" s="356">
        <v>1.0</v>
      </c>
      <c r="D142" s="356">
        <v>6.1454401400000006E7</v>
      </c>
      <c r="E142" s="180">
        <v>1191998.0</v>
      </c>
      <c r="F142" s="180">
        <v>1787991.0</v>
      </c>
      <c r="G142" s="360">
        <v>4668300.0</v>
      </c>
      <c r="H142" s="360"/>
      <c r="I142" s="43">
        <f t="shared" si="4"/>
        <v>6.91026914E7</v>
      </c>
    </row>
    <row r="143" spans="8:8">
      <c r="A143" s="3" t="s">
        <v>154</v>
      </c>
      <c r="B143" s="4" t="s">
        <v>65</v>
      </c>
      <c r="C143" s="356">
        <v>1.0</v>
      </c>
      <c r="D143" s="356">
        <v>1.18181546E7</v>
      </c>
      <c r="E143" s="180">
        <v>1191998.0</v>
      </c>
      <c r="F143" s="180">
        <v>1787991.0</v>
      </c>
      <c r="G143" s="360">
        <v>4668300.0</v>
      </c>
      <c r="H143" s="360"/>
      <c r="I143" s="43">
        <f t="shared" si="4"/>
        <v>1.94664446E7</v>
      </c>
    </row>
    <row r="144" spans="8:8">
      <c r="A144" s="3" t="s">
        <v>155</v>
      </c>
      <c r="B144" s="4" t="s">
        <v>65</v>
      </c>
      <c r="C144" s="356">
        <v>1.0</v>
      </c>
      <c r="D144" s="356">
        <v>1.25272434E7</v>
      </c>
      <c r="E144" s="180">
        <v>1191998.0</v>
      </c>
      <c r="F144" s="180">
        <v>1787991.0</v>
      </c>
      <c r="G144" s="360">
        <v>4668300.0</v>
      </c>
      <c r="H144" s="360"/>
      <c r="I144" s="43">
        <f t="shared" si="4"/>
        <v>2.01755334E7</v>
      </c>
    </row>
    <row r="145" spans="8:8">
      <c r="A145" s="3" t="s">
        <v>156</v>
      </c>
      <c r="B145" s="4" t="s">
        <v>65</v>
      </c>
      <c r="C145" s="356">
        <v>1.0</v>
      </c>
      <c r="D145" s="356">
        <v>1.33308784E7</v>
      </c>
      <c r="E145" s="180">
        <v>1191998.0</v>
      </c>
      <c r="F145" s="180">
        <v>1787991.0</v>
      </c>
      <c r="G145" s="360">
        <v>4668300.0</v>
      </c>
      <c r="H145" s="360"/>
      <c r="I145" s="43">
        <f t="shared" si="4"/>
        <v>2.09791684E7</v>
      </c>
    </row>
    <row r="146" spans="8:8">
      <c r="A146" s="3" t="s">
        <v>157</v>
      </c>
      <c r="B146" s="4" t="s">
        <v>65</v>
      </c>
      <c r="C146" s="356">
        <v>1.0</v>
      </c>
      <c r="D146" s="356">
        <v>1.25272434E7</v>
      </c>
      <c r="E146" s="180">
        <v>1191998.0</v>
      </c>
      <c r="F146" s="180">
        <v>1787991.0</v>
      </c>
      <c r="G146" s="360">
        <v>4668300.0</v>
      </c>
      <c r="H146" s="360"/>
      <c r="I146" s="43">
        <f t="shared" si="4"/>
        <v>2.01755334E7</v>
      </c>
    </row>
    <row r="147" spans="8:8">
      <c r="A147" s="3" t="s">
        <v>158</v>
      </c>
      <c r="B147" s="4" t="s">
        <v>65</v>
      </c>
      <c r="C147" s="356">
        <v>1.0</v>
      </c>
      <c r="D147" s="356">
        <v>1.33308784E7</v>
      </c>
      <c r="E147" s="180">
        <v>1191998.0</v>
      </c>
      <c r="F147" s="180">
        <v>1787991.0</v>
      </c>
      <c r="G147" s="360">
        <v>4668300.0</v>
      </c>
      <c r="H147" s="360"/>
      <c r="I147" s="43">
        <f t="shared" si="4"/>
        <v>2.09791684E7</v>
      </c>
    </row>
    <row r="148" spans="8:8">
      <c r="A148" s="3" t="s">
        <v>159</v>
      </c>
      <c r="B148" s="4" t="s">
        <v>65</v>
      </c>
      <c r="C148" s="356">
        <v>1.0</v>
      </c>
      <c r="D148" s="356">
        <v>1.47490574E7</v>
      </c>
      <c r="E148" s="180">
        <v>1191998.0</v>
      </c>
      <c r="F148" s="180">
        <v>1787991.0</v>
      </c>
      <c r="G148" s="360">
        <v>4668300.0</v>
      </c>
      <c r="H148" s="360"/>
      <c r="I148" s="43">
        <f t="shared" si="4"/>
        <v>2.23973474E7</v>
      </c>
    </row>
    <row r="149" spans="8:8">
      <c r="A149" s="3" t="s">
        <v>160</v>
      </c>
      <c r="B149" s="4" t="s">
        <v>65</v>
      </c>
      <c r="C149" s="356">
        <v>1.0</v>
      </c>
      <c r="D149" s="356">
        <v>1.33308784E7</v>
      </c>
      <c r="E149" s="180">
        <v>1191998.0</v>
      </c>
      <c r="F149" s="180">
        <v>1787991.0</v>
      </c>
      <c r="G149" s="360">
        <v>4668300.0</v>
      </c>
      <c r="H149" s="360"/>
      <c r="I149" s="43">
        <f t="shared" si="4"/>
        <v>2.09791684E7</v>
      </c>
    </row>
    <row r="150" spans="8:8">
      <c r="A150" s="15" t="s">
        <v>161</v>
      </c>
      <c r="B150" s="16" t="s">
        <v>65</v>
      </c>
      <c r="C150" s="356">
        <v>1.0</v>
      </c>
      <c r="D150" s="356">
        <v>1.47490574E7</v>
      </c>
      <c r="E150" s="180">
        <v>1191998.0</v>
      </c>
      <c r="F150" s="180">
        <v>1787991.0</v>
      </c>
      <c r="G150" s="360">
        <v>4668300.0</v>
      </c>
      <c r="H150" s="360"/>
      <c r="I150" s="43">
        <f t="shared" si="4"/>
        <v>2.23973474E7</v>
      </c>
    </row>
    <row r="151" spans="8:8">
      <c r="A151" s="15" t="s">
        <v>162</v>
      </c>
      <c r="B151" s="16" t="s">
        <v>65</v>
      </c>
      <c r="C151" s="356">
        <v>1.0</v>
      </c>
      <c r="D151" s="356">
        <v>2.66617554E7</v>
      </c>
      <c r="E151" s="180">
        <v>1191998.0</v>
      </c>
      <c r="F151" s="180">
        <v>1787991.0</v>
      </c>
      <c r="G151" s="360">
        <v>4668300.0</v>
      </c>
      <c r="H151" s="360"/>
      <c r="I151" s="43">
        <f t="shared" si="4"/>
        <v>3.43100454E7</v>
      </c>
    </row>
    <row r="152" spans="8:8">
      <c r="A152" s="15" t="s">
        <v>163</v>
      </c>
      <c r="B152" s="16" t="s">
        <v>65</v>
      </c>
      <c r="C152" s="356">
        <v>1.0</v>
      </c>
      <c r="D152" s="356">
        <v>2.94981134E7</v>
      </c>
      <c r="E152" s="180">
        <v>1191998.0</v>
      </c>
      <c r="F152" s="180">
        <v>1787991.0</v>
      </c>
      <c r="G152" s="360">
        <v>4668300.0</v>
      </c>
      <c r="H152" s="360"/>
      <c r="I152" s="43">
        <f t="shared" si="4"/>
        <v>3.71464034E7</v>
      </c>
    </row>
    <row r="153" spans="8:8">
      <c r="A153" s="3" t="s">
        <v>164</v>
      </c>
      <c r="B153" s="4" t="s">
        <v>65</v>
      </c>
      <c r="C153" s="356">
        <v>1.0</v>
      </c>
      <c r="D153" s="356">
        <v>1.15345188E7</v>
      </c>
      <c r="E153" s="180">
        <v>1191998.0</v>
      </c>
      <c r="F153" s="180">
        <v>1787991.0</v>
      </c>
      <c r="G153" s="360">
        <v>4668300.0</v>
      </c>
      <c r="H153" s="360"/>
      <c r="I153" s="43">
        <f t="shared" si="4"/>
        <v>1.91828088E7</v>
      </c>
    </row>
    <row r="154" spans="8:8">
      <c r="A154" s="3" t="s">
        <v>165</v>
      </c>
      <c r="B154" s="4" t="s">
        <v>65</v>
      </c>
      <c r="C154" s="356">
        <v>1.0</v>
      </c>
      <c r="D154" s="356">
        <v>1.29526978E7</v>
      </c>
      <c r="E154" s="180">
        <v>1191998.0</v>
      </c>
      <c r="F154" s="180">
        <v>1787991.0</v>
      </c>
      <c r="G154" s="360">
        <v>4668300.0</v>
      </c>
      <c r="H154" s="360"/>
      <c r="I154" s="43">
        <f t="shared" si="4"/>
        <v>2.06009878E7</v>
      </c>
    </row>
    <row r="155" spans="8:8">
      <c r="A155" s="3" t="s">
        <v>166</v>
      </c>
      <c r="B155" s="4" t="s">
        <v>65</v>
      </c>
      <c r="C155" s="356">
        <v>1.0</v>
      </c>
      <c r="D155" s="356">
        <v>1.25272434E7</v>
      </c>
      <c r="E155" s="180">
        <v>1191998.0</v>
      </c>
      <c r="F155" s="180">
        <v>1787991.0</v>
      </c>
      <c r="G155" s="360">
        <v>4668300.0</v>
      </c>
      <c r="H155" s="360"/>
      <c r="I155" s="43">
        <f t="shared" si="4"/>
        <v>2.01755334E7</v>
      </c>
    </row>
    <row r="156" spans="8:8">
      <c r="A156" s="3" t="s">
        <v>167</v>
      </c>
      <c r="B156" s="4" t="s">
        <v>65</v>
      </c>
      <c r="C156" s="356">
        <v>1.0</v>
      </c>
      <c r="D156" s="356">
        <v>1.33308784E7</v>
      </c>
      <c r="E156" s="180">
        <v>1191998.0</v>
      </c>
      <c r="F156" s="180">
        <v>1787991.0</v>
      </c>
      <c r="G156" s="360">
        <v>4668300.0</v>
      </c>
      <c r="H156" s="360"/>
      <c r="I156" s="43">
        <f t="shared" si="4"/>
        <v>2.09791684E7</v>
      </c>
    </row>
    <row r="157" spans="8:8">
      <c r="A157" s="3" t="s">
        <v>168</v>
      </c>
      <c r="B157" s="4" t="s">
        <v>65</v>
      </c>
      <c r="C157" s="356">
        <v>1.0</v>
      </c>
      <c r="D157" s="356">
        <v>2.50544868E7</v>
      </c>
      <c r="E157" s="180">
        <v>1191998.0</v>
      </c>
      <c r="F157" s="180">
        <v>1787991.0</v>
      </c>
      <c r="G157" s="360">
        <v>4668300.0</v>
      </c>
      <c r="H157" s="360"/>
      <c r="I157" s="43">
        <f t="shared" si="4"/>
        <v>3.27027768E7</v>
      </c>
    </row>
    <row r="158" spans="8:8">
      <c r="A158" s="3" t="s">
        <v>169</v>
      </c>
      <c r="B158" s="4" t="s">
        <v>65</v>
      </c>
      <c r="C158" s="356">
        <v>1.0</v>
      </c>
      <c r="D158" s="356">
        <v>2.66617554E7</v>
      </c>
      <c r="E158" s="180">
        <v>1191998.0</v>
      </c>
      <c r="F158" s="180">
        <v>1787991.0</v>
      </c>
      <c r="G158" s="360">
        <v>4668300.0</v>
      </c>
      <c r="H158" s="360"/>
      <c r="I158" s="43">
        <f t="shared" si="4"/>
        <v>3.43100454E7</v>
      </c>
    </row>
    <row r="159" spans="8:8">
      <c r="A159" s="3" t="s">
        <v>170</v>
      </c>
      <c r="B159" s="4" t="s">
        <v>65</v>
      </c>
      <c r="C159" s="356">
        <v>1.0</v>
      </c>
      <c r="D159" s="356">
        <v>1.25272434E7</v>
      </c>
      <c r="E159" s="180">
        <v>1191998.0</v>
      </c>
      <c r="F159" s="180">
        <v>1787991.0</v>
      </c>
      <c r="G159" s="360">
        <v>4668300.0</v>
      </c>
      <c r="H159" s="360"/>
      <c r="I159" s="43">
        <f t="shared" si="4"/>
        <v>2.01755334E7</v>
      </c>
    </row>
    <row r="160" spans="8:8">
      <c r="A160" s="3" t="s">
        <v>171</v>
      </c>
      <c r="B160" s="4" t="s">
        <v>65</v>
      </c>
      <c r="C160" s="356">
        <v>1.0</v>
      </c>
      <c r="D160" s="356">
        <v>1.33308784E7</v>
      </c>
      <c r="E160" s="180">
        <v>1191998.0</v>
      </c>
      <c r="F160" s="180">
        <v>1787991.0</v>
      </c>
      <c r="G160" s="360">
        <v>4668300.0</v>
      </c>
      <c r="H160" s="360"/>
      <c r="I160" s="43">
        <f t="shared" si="4"/>
        <v>2.09791684E7</v>
      </c>
    </row>
    <row r="161" spans="8:8">
      <c r="A161" s="3" t="s">
        <v>172</v>
      </c>
      <c r="B161" s="4" t="s">
        <v>65</v>
      </c>
      <c r="C161" s="356">
        <v>1.0</v>
      </c>
      <c r="D161" s="356">
        <v>1.47490574E7</v>
      </c>
      <c r="E161" s="180">
        <v>1191998.0</v>
      </c>
      <c r="F161" s="180">
        <v>1787991.0</v>
      </c>
      <c r="G161" s="360">
        <v>4668300.0</v>
      </c>
      <c r="H161" s="360"/>
      <c r="I161" s="43">
        <f t="shared" si="4"/>
        <v>2.23973474E7</v>
      </c>
    </row>
    <row r="162" spans="8:8">
      <c r="A162" s="3" t="s">
        <v>173</v>
      </c>
      <c r="B162" s="4" t="s">
        <v>65</v>
      </c>
      <c r="C162" s="356">
        <v>1.0</v>
      </c>
      <c r="D162" s="356">
        <v>2.50544868E7</v>
      </c>
      <c r="E162" s="180">
        <v>1191998.0</v>
      </c>
      <c r="F162" s="180">
        <v>1787991.0</v>
      </c>
      <c r="G162" s="360">
        <v>4668300.0</v>
      </c>
      <c r="H162" s="360"/>
      <c r="I162" s="43">
        <f t="shared" si="4"/>
        <v>3.27027768E7</v>
      </c>
    </row>
    <row r="163" spans="8:8">
      <c r="A163" s="3" t="s">
        <v>174</v>
      </c>
      <c r="B163" s="4" t="s">
        <v>65</v>
      </c>
      <c r="C163" s="356">
        <v>1.0</v>
      </c>
      <c r="D163" s="356">
        <v>2.66617554E7</v>
      </c>
      <c r="E163" s="180">
        <v>1191998.0</v>
      </c>
      <c r="F163" s="180">
        <v>1787991.0</v>
      </c>
      <c r="G163" s="360">
        <v>4668300.0</v>
      </c>
      <c r="H163" s="360"/>
      <c r="I163" s="43">
        <f t="shared" si="4"/>
        <v>3.43100454E7</v>
      </c>
    </row>
    <row r="164" spans="8:8">
      <c r="A164" s="3" t="s">
        <v>175</v>
      </c>
      <c r="B164" s="4" t="s">
        <v>65</v>
      </c>
      <c r="C164" s="356">
        <v>1.0</v>
      </c>
      <c r="D164" s="356">
        <v>2.94981134E7</v>
      </c>
      <c r="E164" s="180">
        <v>1191998.0</v>
      </c>
      <c r="F164" s="180">
        <v>1787991.0</v>
      </c>
      <c r="G164" s="360">
        <v>4668300.0</v>
      </c>
      <c r="H164" s="360"/>
      <c r="I164" s="43">
        <f t="shared" si="4"/>
        <v>3.71464034E7</v>
      </c>
    </row>
    <row r="165" spans="8:8">
      <c r="A165" s="3" t="s">
        <v>176</v>
      </c>
      <c r="B165" s="4" t="s">
        <v>65</v>
      </c>
      <c r="C165" s="356">
        <v>1.0</v>
      </c>
      <c r="D165" s="356">
        <v>1.16763374E7</v>
      </c>
      <c r="E165" s="180">
        <v>1191998.0</v>
      </c>
      <c r="F165" s="180">
        <v>1787991.0</v>
      </c>
      <c r="G165" s="360">
        <v>4668300.0</v>
      </c>
      <c r="H165" s="360"/>
      <c r="I165" s="43">
        <f t="shared" si="4"/>
        <v>1.93246274E7</v>
      </c>
    </row>
    <row r="166" spans="8:8">
      <c r="A166" s="3" t="s">
        <v>177</v>
      </c>
      <c r="B166" s="4" t="s">
        <v>65</v>
      </c>
      <c r="C166" s="356">
        <v>1.0</v>
      </c>
      <c r="D166" s="356">
        <v>1.47490574E7</v>
      </c>
      <c r="E166" s="180">
        <v>1191998.0</v>
      </c>
      <c r="F166" s="180">
        <v>1787991.0</v>
      </c>
      <c r="G166" s="360">
        <v>4668300.0</v>
      </c>
      <c r="H166" s="360"/>
      <c r="I166" s="43">
        <f t="shared" si="4"/>
        <v>2.23973474E7</v>
      </c>
    </row>
    <row r="167" spans="8:8">
      <c r="A167" s="3" t="s">
        <v>178</v>
      </c>
      <c r="B167" s="4" t="s">
        <v>65</v>
      </c>
      <c r="C167" s="356">
        <v>4.35441006E7</v>
      </c>
      <c r="D167" s="356">
        <v>2.21566751E8</v>
      </c>
      <c r="E167" s="180">
        <v>1191998.0</v>
      </c>
      <c r="F167" s="180">
        <v>1787991.0</v>
      </c>
      <c r="G167" s="360">
        <v>4668300.0</v>
      </c>
      <c r="H167" s="360"/>
      <c r="I167" s="43">
        <f t="shared" si="4"/>
        <v>2.727591406E8</v>
      </c>
    </row>
    <row r="168" spans="8:8">
      <c r="A168" s="3" t="s">
        <v>179</v>
      </c>
      <c r="B168" s="4" t="s">
        <v>65</v>
      </c>
      <c r="C168" s="356">
        <v>1.0</v>
      </c>
      <c r="D168" s="356">
        <v>2.84108426E7</v>
      </c>
      <c r="E168" s="180">
        <v>1191998.0</v>
      </c>
      <c r="F168" s="180">
        <v>1787991.0</v>
      </c>
      <c r="G168" s="360">
        <v>4668300.0</v>
      </c>
      <c r="H168" s="360"/>
      <c r="I168" s="43">
        <f t="shared" si="4"/>
        <v>3.60591326E7</v>
      </c>
    </row>
    <row r="169" spans="8:8">
      <c r="A169" s="3" t="s">
        <v>180</v>
      </c>
      <c r="B169" s="4" t="s">
        <v>65</v>
      </c>
      <c r="C169" s="356">
        <v>1.0</v>
      </c>
      <c r="D169" s="356">
        <v>1.33308784E7</v>
      </c>
      <c r="E169" s="180">
        <v>1191998.0</v>
      </c>
      <c r="F169" s="180">
        <v>1787991.0</v>
      </c>
      <c r="G169" s="360">
        <v>4668300.0</v>
      </c>
      <c r="H169" s="360"/>
      <c r="I169" s="43">
        <f t="shared" si="4"/>
        <v>2.09791684E7</v>
      </c>
    </row>
    <row r="170" spans="8:8">
      <c r="A170" s="3" t="s">
        <v>181</v>
      </c>
      <c r="B170" s="4" t="s">
        <v>65</v>
      </c>
      <c r="C170" s="356">
        <v>1.0</v>
      </c>
      <c r="D170" s="356">
        <v>2.66617554E7</v>
      </c>
      <c r="E170" s="180">
        <v>1191998.0</v>
      </c>
      <c r="F170" s="180">
        <v>1787991.0</v>
      </c>
      <c r="G170" s="360">
        <v>4668300.0</v>
      </c>
      <c r="H170" s="360"/>
      <c r="I170" s="43">
        <f t="shared" si="4"/>
        <v>3.43100454E7</v>
      </c>
    </row>
    <row r="171" spans="8:8">
      <c r="A171" s="3" t="s">
        <v>182</v>
      </c>
      <c r="B171" s="4" t="s">
        <v>65</v>
      </c>
      <c r="C171" s="356">
        <v>1.0</v>
      </c>
      <c r="D171" s="356">
        <v>1.25272434E7</v>
      </c>
      <c r="E171" s="180">
        <v>1191998.0</v>
      </c>
      <c r="F171" s="180">
        <v>1787991.0</v>
      </c>
      <c r="G171" s="360">
        <v>4668300.0</v>
      </c>
      <c r="H171" s="360"/>
      <c r="I171" s="43">
        <f t="shared" si="4"/>
        <v>2.01755334E7</v>
      </c>
    </row>
    <row r="172" spans="8:8">
      <c r="A172" s="3" t="s">
        <v>183</v>
      </c>
      <c r="B172" s="4" t="s">
        <v>65</v>
      </c>
      <c r="C172" s="356">
        <v>1.0</v>
      </c>
      <c r="D172" s="356">
        <v>1.33308784E7</v>
      </c>
      <c r="E172" s="180">
        <v>1191998.0</v>
      </c>
      <c r="F172" s="180">
        <v>1787991.0</v>
      </c>
      <c r="G172" s="360">
        <v>4668300.0</v>
      </c>
      <c r="H172" s="360"/>
      <c r="I172" s="43">
        <f t="shared" si="4"/>
        <v>2.09791684E7</v>
      </c>
    </row>
    <row r="173" spans="8:8">
      <c r="A173" s="3" t="s">
        <v>184</v>
      </c>
      <c r="B173" s="4" t="s">
        <v>65</v>
      </c>
      <c r="C173" s="356">
        <v>1.0</v>
      </c>
      <c r="D173" s="356">
        <v>1.47490574E7</v>
      </c>
      <c r="E173" s="180">
        <v>1191998.0</v>
      </c>
      <c r="F173" s="180">
        <v>1787991.0</v>
      </c>
      <c r="G173" s="360">
        <v>4668300.0</v>
      </c>
      <c r="H173" s="360"/>
      <c r="I173" s="43">
        <f t="shared" si="4"/>
        <v>2.23973474E7</v>
      </c>
    </row>
    <row r="174" spans="8:8">
      <c r="A174" s="3" t="s">
        <v>185</v>
      </c>
      <c r="B174" s="4" t="s">
        <v>65</v>
      </c>
      <c r="C174" s="356">
        <v>1.0</v>
      </c>
      <c r="D174" s="356">
        <v>2.50544868E7</v>
      </c>
      <c r="E174" s="180">
        <v>1191998.0</v>
      </c>
      <c r="F174" s="180">
        <v>1787991.0</v>
      </c>
      <c r="G174" s="360">
        <v>4668300.0</v>
      </c>
      <c r="H174" s="360"/>
      <c r="I174" s="43">
        <f t="shared" si="4"/>
        <v>3.27027768E7</v>
      </c>
    </row>
    <row r="175" spans="8:8">
      <c r="A175" s="3" t="s">
        <v>186</v>
      </c>
      <c r="B175" s="4" t="s">
        <v>65</v>
      </c>
      <c r="C175" s="356">
        <v>1.0</v>
      </c>
      <c r="D175" s="356">
        <v>2.66617554E7</v>
      </c>
      <c r="E175" s="180">
        <v>1191998.0</v>
      </c>
      <c r="F175" s="180">
        <v>1787991.0</v>
      </c>
      <c r="G175" s="360">
        <v>4668300.0</v>
      </c>
      <c r="H175" s="360"/>
      <c r="I175" s="43">
        <f t="shared" si="4"/>
        <v>3.43100454E7</v>
      </c>
    </row>
    <row r="176" spans="8:8">
      <c r="A176" s="3" t="s">
        <v>187</v>
      </c>
      <c r="B176" s="4" t="s">
        <v>65</v>
      </c>
      <c r="C176" s="356">
        <v>1.0</v>
      </c>
      <c r="D176" s="356">
        <v>2.94981134E7</v>
      </c>
      <c r="E176" s="180">
        <v>1191998.0</v>
      </c>
      <c r="F176" s="180">
        <v>1787991.0</v>
      </c>
      <c r="G176" s="360">
        <v>4668300.0</v>
      </c>
      <c r="H176" s="360"/>
      <c r="I176" s="43">
        <f t="shared" si="4"/>
        <v>3.71464034E7</v>
      </c>
    </row>
    <row r="177" spans="8:8">
      <c r="A177" s="15" t="s">
        <v>188</v>
      </c>
      <c r="B177" s="16" t="s">
        <v>65</v>
      </c>
      <c r="C177" s="356">
        <v>1.0</v>
      </c>
      <c r="D177" s="356">
        <v>1.25272434E7</v>
      </c>
      <c r="E177" s="180">
        <v>1191998.0</v>
      </c>
      <c r="F177" s="180">
        <v>1787991.0</v>
      </c>
      <c r="G177" s="360">
        <v>4668300.0</v>
      </c>
      <c r="H177" s="360"/>
      <c r="I177" s="43">
        <f t="shared" si="4"/>
        <v>2.01755334E7</v>
      </c>
    </row>
    <row r="178" spans="8:8">
      <c r="A178" s="3" t="s">
        <v>189</v>
      </c>
      <c r="B178" s="4" t="s">
        <v>65</v>
      </c>
      <c r="C178" s="356">
        <v>1.0</v>
      </c>
      <c r="D178" s="356">
        <v>1.33308784E7</v>
      </c>
      <c r="E178" s="180">
        <v>1191998.0</v>
      </c>
      <c r="F178" s="180">
        <v>1787991.0</v>
      </c>
      <c r="G178" s="360">
        <v>4668300.0</v>
      </c>
      <c r="H178" s="360"/>
      <c r="I178" s="43">
        <f t="shared" si="4"/>
        <v>2.09791684E7</v>
      </c>
    </row>
    <row r="179" spans="8:8">
      <c r="A179" s="3" t="s">
        <v>190</v>
      </c>
      <c r="B179" s="16" t="s">
        <v>65</v>
      </c>
      <c r="C179" s="356">
        <v>1.0</v>
      </c>
      <c r="D179" s="356">
        <v>1.25272434E7</v>
      </c>
      <c r="E179" s="180">
        <v>1191998.0</v>
      </c>
      <c r="F179" s="180">
        <v>1787991.0</v>
      </c>
      <c r="G179" s="360">
        <v>4668300.0</v>
      </c>
      <c r="H179" s="360"/>
      <c r="I179" s="43">
        <f t="shared" si="5" ref="I179:I183">SUM(C179:H179)</f>
        <v>2.01755334E7</v>
      </c>
    </row>
    <row r="180" spans="8:8" s="49" ht="15.0" customFormat="1">
      <c r="A180" s="3" t="s">
        <v>191</v>
      </c>
      <c r="B180" s="4" t="s">
        <v>65</v>
      </c>
      <c r="C180" s="356">
        <v>1.0</v>
      </c>
      <c r="D180" s="356">
        <v>1.33308784E7</v>
      </c>
      <c r="E180" s="180">
        <v>1191998.0</v>
      </c>
      <c r="F180" s="180">
        <v>1787991.0</v>
      </c>
      <c r="G180" s="360">
        <v>4668300.0</v>
      </c>
      <c r="H180" s="360"/>
      <c r="I180" s="241">
        <f t="shared" si="5"/>
        <v>2.09791684E7</v>
      </c>
    </row>
    <row r="181" spans="8:8">
      <c r="A181" s="3" t="s">
        <v>192</v>
      </c>
      <c r="B181" s="4" t="s">
        <v>65</v>
      </c>
      <c r="C181" s="356">
        <v>1.0</v>
      </c>
      <c r="D181" s="356">
        <v>1.47490574E7</v>
      </c>
      <c r="E181" s="180">
        <v>1191998.0</v>
      </c>
      <c r="F181" s="180">
        <v>1787991.0</v>
      </c>
      <c r="G181" s="360">
        <v>4668300.0</v>
      </c>
      <c r="H181" s="360"/>
      <c r="I181" s="43">
        <f t="shared" si="5"/>
        <v>2.23973474E7</v>
      </c>
    </row>
    <row r="182" spans="8:8">
      <c r="A182" s="3" t="s">
        <v>193</v>
      </c>
      <c r="B182" s="4" t="s">
        <v>65</v>
      </c>
      <c r="C182" s="356">
        <v>1.0</v>
      </c>
      <c r="D182" s="356">
        <v>1.25272434E7</v>
      </c>
      <c r="E182" s="180">
        <v>1191998.0</v>
      </c>
      <c r="F182" s="180">
        <v>1787991.0</v>
      </c>
      <c r="G182" s="360">
        <v>4668300.0</v>
      </c>
      <c r="H182" s="360"/>
      <c r="I182" s="43">
        <f t="shared" si="5"/>
        <v>2.01755334E7</v>
      </c>
    </row>
    <row r="183" spans="8:8">
      <c r="A183" s="3" t="s">
        <v>194</v>
      </c>
      <c r="B183" s="4" t="s">
        <v>65</v>
      </c>
      <c r="C183" s="356">
        <v>1.0</v>
      </c>
      <c r="D183" s="356">
        <v>1.33308784E7</v>
      </c>
      <c r="E183" s="180">
        <v>1191998.0</v>
      </c>
      <c r="F183" s="180">
        <v>1787991.0</v>
      </c>
      <c r="G183" s="360">
        <v>4668300.0</v>
      </c>
      <c r="H183" s="360"/>
      <c r="I183" s="43">
        <f t="shared" si="5"/>
        <v>2.09791684E7</v>
      </c>
    </row>
    <row r="184" spans="8:8">
      <c r="A184" s="3" t="s">
        <v>197</v>
      </c>
      <c r="B184" s="4" t="s">
        <v>196</v>
      </c>
      <c r="C184" s="356">
        <v>1.0</v>
      </c>
      <c r="D184" s="356">
        <v>3.10367246E7</v>
      </c>
      <c r="E184" s="180">
        <v>1191998.0</v>
      </c>
      <c r="F184" s="180">
        <v>1787991.0</v>
      </c>
      <c r="G184" s="360"/>
      <c r="H184" s="360"/>
      <c r="I184" s="43">
        <f t="shared" si="6" ref="I184:I240">SUM(C184:F184)</f>
        <v>3.40167146E7</v>
      </c>
    </row>
    <row r="185" spans="8:8">
      <c r="A185" s="3" t="s">
        <v>198</v>
      </c>
      <c r="B185" s="4" t="s">
        <v>196</v>
      </c>
      <c r="C185" s="356">
        <v>1.0</v>
      </c>
      <c r="D185" s="356">
        <v>2.31783545E8</v>
      </c>
      <c r="E185" s="180">
        <v>1191998.0</v>
      </c>
      <c r="F185" s="180">
        <v>1787991.0</v>
      </c>
      <c r="G185" s="360"/>
      <c r="H185" s="360"/>
      <c r="I185" s="43">
        <f t="shared" si="6"/>
        <v>2.34763535E8</v>
      </c>
    </row>
    <row r="186" spans="8:8">
      <c r="A186" s="3" t="s">
        <v>199</v>
      </c>
      <c r="B186" s="4" t="s">
        <v>196</v>
      </c>
      <c r="C186" s="356">
        <v>1.0</v>
      </c>
      <c r="D186" s="356">
        <v>6.6386671400000006E7</v>
      </c>
      <c r="E186" s="180">
        <v>1191998.0</v>
      </c>
      <c r="F186" s="180">
        <v>1787991.0</v>
      </c>
      <c r="G186" s="360"/>
      <c r="H186" s="360"/>
      <c r="I186" s="43">
        <f t="shared" si="6"/>
        <v>6.93666614E7</v>
      </c>
      <c r="J186" s="238"/>
    </row>
    <row r="187" spans="8:8">
      <c r="A187" s="3" t="s">
        <v>201</v>
      </c>
      <c r="B187" s="4" t="s">
        <v>196</v>
      </c>
      <c r="C187" s="356">
        <v>1.0</v>
      </c>
      <c r="D187" s="356">
        <v>6.6386671400000006E7</v>
      </c>
      <c r="E187" s="180">
        <v>1191998.0</v>
      </c>
      <c r="F187" s="180">
        <v>1787991.0</v>
      </c>
      <c r="G187" s="360"/>
      <c r="H187" s="360"/>
      <c r="I187" s="43">
        <f t="shared" si="6"/>
        <v>6.93666614E7</v>
      </c>
    </row>
    <row r="188" spans="8:8">
      <c r="A188" s="3" t="s">
        <v>202</v>
      </c>
      <c r="B188" s="16" t="s">
        <v>196</v>
      </c>
      <c r="C188" s="356">
        <v>1.0</v>
      </c>
      <c r="D188" s="356">
        <v>6.6386671400000006E7</v>
      </c>
      <c r="E188" s="180">
        <v>1191998.0</v>
      </c>
      <c r="F188" s="180">
        <v>1787991.0</v>
      </c>
      <c r="G188" s="360"/>
      <c r="H188" s="360"/>
      <c r="I188" s="43">
        <f t="shared" si="6"/>
        <v>6.93666614E7</v>
      </c>
    </row>
    <row r="189" spans="8:8">
      <c r="A189" s="3" t="s">
        <v>203</v>
      </c>
      <c r="B189" s="4" t="s">
        <v>196</v>
      </c>
      <c r="C189" s="356">
        <v>1.0</v>
      </c>
      <c r="D189" s="356">
        <v>6.6386671400000006E7</v>
      </c>
      <c r="E189" s="180">
        <v>1191998.0</v>
      </c>
      <c r="F189" s="180">
        <v>1787991.0</v>
      </c>
      <c r="G189" s="360"/>
      <c r="H189" s="360"/>
      <c r="I189" s="43">
        <f t="shared" si="6"/>
        <v>6.93666614E7</v>
      </c>
    </row>
    <row r="190" spans="8:8">
      <c r="A190" s="3" t="s">
        <v>204</v>
      </c>
      <c r="B190" s="4" t="s">
        <v>196</v>
      </c>
      <c r="C190" s="356">
        <v>1.0</v>
      </c>
      <c r="D190" s="356">
        <v>6.6386671400000006E7</v>
      </c>
      <c r="E190" s="180">
        <v>1191998.0</v>
      </c>
      <c r="F190" s="180">
        <v>1787991.0</v>
      </c>
      <c r="G190" s="360"/>
      <c r="H190" s="360"/>
      <c r="I190" s="43">
        <f t="shared" si="6"/>
        <v>6.93666614E7</v>
      </c>
      <c r="L190" s="233"/>
    </row>
    <row r="191" spans="8:8">
      <c r="A191" s="3" t="s">
        <v>206</v>
      </c>
      <c r="B191" s="4" t="s">
        <v>196</v>
      </c>
      <c r="C191" s="356">
        <v>1.0</v>
      </c>
      <c r="D191" s="356">
        <v>6.6386671400000006E7</v>
      </c>
      <c r="E191" s="180">
        <v>1191998.0</v>
      </c>
      <c r="F191" s="180">
        <v>1787991.0</v>
      </c>
      <c r="G191" s="360"/>
      <c r="H191" s="360"/>
      <c r="I191" s="43">
        <f t="shared" si="6"/>
        <v>6.93666614E7</v>
      </c>
    </row>
    <row r="192" spans="8:8">
      <c r="A192" s="3" t="s">
        <v>207</v>
      </c>
      <c r="B192" s="4" t="s">
        <v>196</v>
      </c>
      <c r="C192" s="356">
        <v>1.0</v>
      </c>
      <c r="D192" s="356">
        <v>6.6386671400000006E7</v>
      </c>
      <c r="E192" s="180">
        <v>1191998.0</v>
      </c>
      <c r="F192" s="180">
        <v>1787991.0</v>
      </c>
      <c r="G192" s="360"/>
      <c r="H192" s="360"/>
      <c r="I192" s="43">
        <f t="shared" si="6"/>
        <v>6.93666614E7</v>
      </c>
      <c r="J192" s="233"/>
      <c r="K192" s="76"/>
    </row>
    <row r="193" spans="8:8">
      <c r="A193" s="3" t="s">
        <v>208</v>
      </c>
      <c r="B193" s="4" t="s">
        <v>196</v>
      </c>
      <c r="C193" s="356">
        <v>1.0</v>
      </c>
      <c r="D193" s="356">
        <v>6.6386671400000006E7</v>
      </c>
      <c r="E193" s="180">
        <v>1191998.0</v>
      </c>
      <c r="F193" s="180">
        <v>1787991.0</v>
      </c>
      <c r="G193" s="360"/>
      <c r="H193" s="360"/>
      <c r="I193" s="43">
        <f t="shared" si="6"/>
        <v>6.93666614E7</v>
      </c>
    </row>
    <row r="194" spans="8:8">
      <c r="A194" s="3" t="s">
        <v>209</v>
      </c>
      <c r="B194" s="4" t="s">
        <v>196</v>
      </c>
      <c r="C194" s="356">
        <v>1.0</v>
      </c>
      <c r="D194" s="356">
        <v>6.6386671400000006E7</v>
      </c>
      <c r="E194" s="180">
        <v>1191998.0</v>
      </c>
      <c r="F194" s="180">
        <v>1787991.0</v>
      </c>
      <c r="G194" s="360"/>
      <c r="H194" s="360"/>
      <c r="I194" s="43">
        <f t="shared" si="6"/>
        <v>6.93666614E7</v>
      </c>
    </row>
    <row r="195" spans="8:8">
      <c r="A195" s="3" t="s">
        <v>210</v>
      </c>
      <c r="B195" s="4" t="s">
        <v>196</v>
      </c>
      <c r="C195" s="356">
        <v>1.0</v>
      </c>
      <c r="D195" s="356">
        <v>6.6386671400000006E7</v>
      </c>
      <c r="E195" s="180">
        <v>1191998.0</v>
      </c>
      <c r="F195" s="180">
        <v>1787991.0</v>
      </c>
      <c r="G195" s="360"/>
      <c r="H195" s="360"/>
      <c r="I195" s="43">
        <f t="shared" si="6"/>
        <v>6.93666614E7</v>
      </c>
    </row>
    <row r="196" spans="8:8">
      <c r="A196" s="3" t="s">
        <v>211</v>
      </c>
      <c r="B196" s="4" t="s">
        <v>196</v>
      </c>
      <c r="C196" s="356">
        <v>1.0</v>
      </c>
      <c r="D196" s="356">
        <v>6.6386671400000006E7</v>
      </c>
      <c r="E196" s="180">
        <v>1191998.0</v>
      </c>
      <c r="F196" s="180">
        <v>1787991.0</v>
      </c>
      <c r="G196" s="360"/>
      <c r="H196" s="360"/>
      <c r="I196" s="43">
        <f t="shared" si="6"/>
        <v>6.93666614E7</v>
      </c>
    </row>
    <row r="197" spans="8:8">
      <c r="A197" s="3" t="s">
        <v>212</v>
      </c>
      <c r="B197" s="4" t="s">
        <v>196</v>
      </c>
      <c r="C197" s="356">
        <v>1.0</v>
      </c>
      <c r="D197" s="356">
        <v>6.6386671400000006E7</v>
      </c>
      <c r="E197" s="180">
        <v>1191998.0</v>
      </c>
      <c r="F197" s="180">
        <v>1787991.0</v>
      </c>
      <c r="G197" s="360"/>
      <c r="H197" s="360"/>
      <c r="I197" s="43">
        <f t="shared" si="6"/>
        <v>6.93666614E7</v>
      </c>
    </row>
    <row r="198" spans="8:8">
      <c r="A198" s="3" t="s">
        <v>214</v>
      </c>
      <c r="B198" s="4" t="s">
        <v>196</v>
      </c>
      <c r="C198" s="356">
        <v>1.0</v>
      </c>
      <c r="D198" s="356">
        <v>6.6386671400000006E7</v>
      </c>
      <c r="E198" s="180">
        <v>1191998.0</v>
      </c>
      <c r="F198" s="180">
        <v>1787991.0</v>
      </c>
      <c r="G198" s="360"/>
      <c r="H198" s="360"/>
      <c r="I198" s="43">
        <f t="shared" si="6"/>
        <v>6.93666614E7</v>
      </c>
    </row>
    <row r="199" spans="8:8">
      <c r="A199" s="3" t="s">
        <v>215</v>
      </c>
      <c r="B199" s="4" t="s">
        <v>196</v>
      </c>
      <c r="C199" s="356">
        <v>1.0</v>
      </c>
      <c r="D199" s="356">
        <v>6.6386671400000006E7</v>
      </c>
      <c r="E199" s="180">
        <v>1191998.0</v>
      </c>
      <c r="F199" s="180">
        <v>1787991.0</v>
      </c>
      <c r="G199" s="360"/>
      <c r="H199" s="360"/>
      <c r="I199" s="43">
        <f t="shared" si="6"/>
        <v>6.93666614E7</v>
      </c>
    </row>
    <row r="200" spans="8:8">
      <c r="A200" s="3" t="s">
        <v>216</v>
      </c>
      <c r="B200" s="4" t="s">
        <v>196</v>
      </c>
      <c r="C200" s="356">
        <v>1.0</v>
      </c>
      <c r="D200" s="356">
        <v>6.6386671400000006E7</v>
      </c>
      <c r="E200" s="180">
        <v>1191998.0</v>
      </c>
      <c r="F200" s="180">
        <v>1787991.0</v>
      </c>
      <c r="G200" s="360"/>
      <c r="H200" s="360"/>
      <c r="I200" s="43">
        <f t="shared" si="6"/>
        <v>6.93666614E7</v>
      </c>
    </row>
    <row r="201" spans="8:8">
      <c r="A201" s="3" t="s">
        <v>217</v>
      </c>
      <c r="B201" s="4" t="s">
        <v>196</v>
      </c>
      <c r="C201" s="356">
        <v>1.0</v>
      </c>
      <c r="D201" s="356">
        <v>6.6386671400000006E7</v>
      </c>
      <c r="E201" s="180">
        <v>1191998.0</v>
      </c>
      <c r="F201" s="180">
        <v>1787991.0</v>
      </c>
      <c r="G201" s="360"/>
      <c r="H201" s="360"/>
      <c r="I201" s="43">
        <f t="shared" si="6"/>
        <v>6.93666614E7</v>
      </c>
    </row>
    <row r="202" spans="8:8">
      <c r="A202" s="3" t="s">
        <v>218</v>
      </c>
      <c r="B202" s="4" t="s">
        <v>196</v>
      </c>
      <c r="C202" s="356">
        <v>1.0</v>
      </c>
      <c r="D202" s="356">
        <v>6.6386671400000006E7</v>
      </c>
      <c r="E202" s="180">
        <v>1191998.0</v>
      </c>
      <c r="F202" s="180">
        <v>1787991.0</v>
      </c>
      <c r="G202" s="360"/>
      <c r="H202" s="360"/>
      <c r="I202" s="43">
        <f t="shared" si="6"/>
        <v>6.93666614E7</v>
      </c>
    </row>
    <row r="203" spans="8:8">
      <c r="A203" s="3" t="s">
        <v>219</v>
      </c>
      <c r="B203" s="4" t="s">
        <v>196</v>
      </c>
      <c r="C203" s="356">
        <v>1.0</v>
      </c>
      <c r="D203" s="356">
        <v>6.6386671400000006E7</v>
      </c>
      <c r="E203" s="180">
        <v>1191998.0</v>
      </c>
      <c r="F203" s="180">
        <v>1787991.0</v>
      </c>
      <c r="G203" s="360"/>
      <c r="H203" s="360"/>
      <c r="I203" s="43">
        <f t="shared" si="6"/>
        <v>6.93666614E7</v>
      </c>
    </row>
    <row r="204" spans="8:8">
      <c r="A204" s="3" t="s">
        <v>220</v>
      </c>
      <c r="B204" s="4" t="s">
        <v>196</v>
      </c>
      <c r="C204" s="356">
        <v>1.0</v>
      </c>
      <c r="D204" s="356">
        <v>6.6386671400000006E7</v>
      </c>
      <c r="E204" s="180">
        <v>1191998.0</v>
      </c>
      <c r="F204" s="180">
        <v>1787991.0</v>
      </c>
      <c r="G204" s="360"/>
      <c r="H204" s="360"/>
      <c r="I204" s="43">
        <f t="shared" si="6"/>
        <v>6.93666614E7</v>
      </c>
    </row>
    <row r="205" spans="8:8">
      <c r="A205" s="15" t="s">
        <v>221</v>
      </c>
      <c r="B205" s="4" t="s">
        <v>196</v>
      </c>
      <c r="C205" s="356">
        <v>1.0</v>
      </c>
      <c r="D205" s="356">
        <v>6.6386671400000006E7</v>
      </c>
      <c r="E205" s="180">
        <v>1191998.0</v>
      </c>
      <c r="F205" s="180">
        <v>1787991.0</v>
      </c>
      <c r="G205" s="360"/>
      <c r="H205" s="360"/>
      <c r="I205" s="43">
        <f t="shared" si="6"/>
        <v>6.93666614E7</v>
      </c>
    </row>
    <row r="206" spans="8:8">
      <c r="A206" s="3" t="s">
        <v>222</v>
      </c>
      <c r="B206" s="4" t="s">
        <v>196</v>
      </c>
      <c r="C206" s="356">
        <v>1.0</v>
      </c>
      <c r="D206" s="356">
        <v>1.3277334280000001E8</v>
      </c>
      <c r="E206" s="180">
        <v>1191998.0</v>
      </c>
      <c r="F206" s="180">
        <v>1787991.0</v>
      </c>
      <c r="G206" s="360"/>
      <c r="H206" s="360"/>
      <c r="I206" s="43">
        <f t="shared" si="6"/>
        <v>1.357533328E8</v>
      </c>
    </row>
    <row r="207" spans="8:8">
      <c r="A207" s="3" t="s">
        <v>223</v>
      </c>
      <c r="B207" s="4" t="s">
        <v>196</v>
      </c>
      <c r="C207" s="356">
        <v>1.0</v>
      </c>
      <c r="D207" s="356">
        <v>6.6386671400000006E7</v>
      </c>
      <c r="E207" s="180">
        <v>1191998.0</v>
      </c>
      <c r="F207" s="180">
        <v>1787991.0</v>
      </c>
      <c r="G207" s="360"/>
      <c r="H207" s="360"/>
      <c r="I207" s="43">
        <f t="shared" si="6"/>
        <v>6.93666614E7</v>
      </c>
    </row>
    <row r="208" spans="8:8">
      <c r="A208" s="3" t="s">
        <v>224</v>
      </c>
      <c r="B208" s="4" t="s">
        <v>196</v>
      </c>
      <c r="C208" s="356">
        <v>1.0</v>
      </c>
      <c r="D208" s="356">
        <v>6.6386671400000006E7</v>
      </c>
      <c r="E208" s="180">
        <v>1191998.0</v>
      </c>
      <c r="F208" s="180">
        <v>1787991.0</v>
      </c>
      <c r="G208" s="360"/>
      <c r="H208" s="360"/>
      <c r="I208" s="43">
        <f t="shared" si="6"/>
        <v>6.93666614E7</v>
      </c>
    </row>
    <row r="209" spans="8:8">
      <c r="A209" s="3" t="s">
        <v>225</v>
      </c>
      <c r="B209" s="4" t="s">
        <v>196</v>
      </c>
      <c r="C209" s="356">
        <v>1.0</v>
      </c>
      <c r="D209" s="356">
        <v>6.6386671400000006E7</v>
      </c>
      <c r="E209" s="180">
        <v>1191998.0</v>
      </c>
      <c r="F209" s="180">
        <v>1787991.0</v>
      </c>
      <c r="G209" s="360"/>
      <c r="H209" s="360"/>
      <c r="I209" s="43">
        <f t="shared" si="6"/>
        <v>6.93666614E7</v>
      </c>
    </row>
    <row r="210" spans="8:8">
      <c r="A210" s="3" t="s">
        <v>226</v>
      </c>
      <c r="B210" s="4" t="s">
        <v>196</v>
      </c>
      <c r="C210" s="356">
        <v>1.0</v>
      </c>
      <c r="D210" s="356">
        <v>8.72493314E7</v>
      </c>
      <c r="E210" s="180">
        <v>1191998.0</v>
      </c>
      <c r="F210" s="180">
        <v>1787991.0</v>
      </c>
      <c r="G210" s="360"/>
      <c r="H210" s="360"/>
      <c r="I210" s="43">
        <f t="shared" si="6"/>
        <v>9.02293214E7</v>
      </c>
    </row>
    <row r="211" spans="8:8">
      <c r="A211" s="3" t="s">
        <v>228</v>
      </c>
      <c r="B211" s="4" t="s">
        <v>196</v>
      </c>
      <c r="C211" s="356">
        <v>1.0</v>
      </c>
      <c r="D211" s="356">
        <v>6.6386671400000006E7</v>
      </c>
      <c r="E211" s="180">
        <v>1191998.0</v>
      </c>
      <c r="F211" s="180">
        <v>1787991.0</v>
      </c>
      <c r="G211" s="360"/>
      <c r="H211" s="360"/>
      <c r="I211" s="43">
        <f t="shared" si="6"/>
        <v>6.93666614E7</v>
      </c>
    </row>
    <row r="212" spans="8:8">
      <c r="A212" s="3" t="s">
        <v>229</v>
      </c>
      <c r="B212" s="4" t="s">
        <v>196</v>
      </c>
      <c r="C212" s="356">
        <v>1.0</v>
      </c>
      <c r="D212" s="356">
        <v>6.6386671400000006E7</v>
      </c>
      <c r="E212" s="180">
        <v>1191998.0</v>
      </c>
      <c r="F212" s="180">
        <v>1787991.0</v>
      </c>
      <c r="G212" s="360"/>
      <c r="H212" s="360"/>
      <c r="I212" s="43">
        <f t="shared" si="6"/>
        <v>6.93666614E7</v>
      </c>
    </row>
    <row r="213" spans="8:8">
      <c r="A213" s="3" t="s">
        <v>230</v>
      </c>
      <c r="B213" s="4" t="s">
        <v>196</v>
      </c>
      <c r="C213" s="356">
        <v>1.0</v>
      </c>
      <c r="D213" s="356">
        <v>6.6386671400000006E7</v>
      </c>
      <c r="E213" s="180">
        <v>1191998.0</v>
      </c>
      <c r="F213" s="180">
        <v>1787991.0</v>
      </c>
      <c r="G213" s="360"/>
      <c r="H213" s="360"/>
      <c r="I213" s="43">
        <f t="shared" si="6"/>
        <v>6.93666614E7</v>
      </c>
    </row>
    <row r="214" spans="8:8">
      <c r="A214" s="3" t="s">
        <v>231</v>
      </c>
      <c r="B214" s="4" t="s">
        <v>196</v>
      </c>
      <c r="C214" s="356">
        <v>1.0</v>
      </c>
      <c r="D214" s="356">
        <v>6.6386671400000006E7</v>
      </c>
      <c r="E214" s="180">
        <v>1191998.0</v>
      </c>
      <c r="F214" s="180">
        <v>1787991.0</v>
      </c>
      <c r="G214" s="360"/>
      <c r="H214" s="360"/>
      <c r="I214" s="43">
        <f t="shared" si="6"/>
        <v>6.93666614E7</v>
      </c>
    </row>
    <row r="215" spans="8:8">
      <c r="A215" s="3" t="s">
        <v>232</v>
      </c>
      <c r="B215" s="4" t="s">
        <v>196</v>
      </c>
      <c r="C215" s="356">
        <v>1.0</v>
      </c>
      <c r="D215" s="356">
        <v>6.6386671400000006E7</v>
      </c>
      <c r="E215" s="180">
        <v>1191998.0</v>
      </c>
      <c r="F215" s="180">
        <v>1787991.0</v>
      </c>
      <c r="G215" s="360"/>
      <c r="H215" s="360"/>
      <c r="I215" s="43">
        <f t="shared" si="6"/>
        <v>6.93666614E7</v>
      </c>
    </row>
    <row r="216" spans="8:8">
      <c r="A216" s="3" t="s">
        <v>233</v>
      </c>
      <c r="B216" s="4" t="s">
        <v>196</v>
      </c>
      <c r="C216" s="356">
        <v>1.0</v>
      </c>
      <c r="D216" s="356">
        <v>6.6386671400000006E7</v>
      </c>
      <c r="E216" s="180">
        <v>1191998.0</v>
      </c>
      <c r="F216" s="180">
        <v>1787991.0</v>
      </c>
      <c r="G216" s="360"/>
      <c r="H216" s="360"/>
      <c r="I216" s="43">
        <f t="shared" si="6"/>
        <v>6.93666614E7</v>
      </c>
    </row>
    <row r="217" spans="8:8">
      <c r="A217" s="3" t="s">
        <v>234</v>
      </c>
      <c r="B217" s="4" t="s">
        <v>196</v>
      </c>
      <c r="C217" s="356">
        <v>1.0</v>
      </c>
      <c r="D217" s="356">
        <v>6.6386671400000006E7</v>
      </c>
      <c r="E217" s="180">
        <v>1191998.0</v>
      </c>
      <c r="F217" s="180">
        <v>1787991.0</v>
      </c>
      <c r="G217" s="360"/>
      <c r="H217" s="360"/>
      <c r="I217" s="43">
        <f t="shared" si="6"/>
        <v>6.93666614E7</v>
      </c>
    </row>
    <row r="218" spans="8:8">
      <c r="A218" s="3" t="s">
        <v>235</v>
      </c>
      <c r="B218" s="4" t="s">
        <v>196</v>
      </c>
      <c r="C218" s="356">
        <v>1.0</v>
      </c>
      <c r="D218" s="356">
        <v>6.6386671400000006E7</v>
      </c>
      <c r="E218" s="180">
        <v>1191998.0</v>
      </c>
      <c r="F218" s="180">
        <v>1787991.0</v>
      </c>
      <c r="G218" s="360"/>
      <c r="H218" s="360"/>
      <c r="I218" s="43">
        <f t="shared" si="6"/>
        <v>6.93666614E7</v>
      </c>
    </row>
    <row r="219" spans="8:8">
      <c r="A219" s="3" t="s">
        <v>236</v>
      </c>
      <c r="B219" s="4" t="s">
        <v>196</v>
      </c>
      <c r="C219" s="356">
        <v>1.0</v>
      </c>
      <c r="D219" s="356">
        <v>6.6386671400000006E7</v>
      </c>
      <c r="E219" s="180">
        <v>1191998.0</v>
      </c>
      <c r="F219" s="180">
        <v>1787991.0</v>
      </c>
      <c r="G219" s="360"/>
      <c r="H219" s="360"/>
      <c r="I219" s="43">
        <f t="shared" si="6"/>
        <v>6.93666614E7</v>
      </c>
    </row>
    <row r="220" spans="8:8">
      <c r="A220" s="3" t="s">
        <v>237</v>
      </c>
      <c r="B220" s="4" t="s">
        <v>196</v>
      </c>
      <c r="C220" s="356">
        <v>1.0</v>
      </c>
      <c r="D220" s="356">
        <v>6.6386671400000006E7</v>
      </c>
      <c r="E220" s="180">
        <v>1191998.0</v>
      </c>
      <c r="F220" s="180">
        <v>1787991.0</v>
      </c>
      <c r="G220" s="360"/>
      <c r="H220" s="360"/>
      <c r="I220" s="43">
        <f t="shared" si="6"/>
        <v>6.93666614E7</v>
      </c>
    </row>
    <row r="221" spans="8:8">
      <c r="A221" s="3" t="s">
        <v>238</v>
      </c>
      <c r="B221" s="4" t="s">
        <v>196</v>
      </c>
      <c r="C221" s="356">
        <v>1.0</v>
      </c>
      <c r="D221" s="356">
        <v>6.6386671400000006E7</v>
      </c>
      <c r="E221" s="180">
        <v>1191998.0</v>
      </c>
      <c r="F221" s="180">
        <v>1787991.0</v>
      </c>
      <c r="G221" s="360"/>
      <c r="H221" s="360"/>
      <c r="I221" s="43">
        <f t="shared" si="6"/>
        <v>6.93666614E7</v>
      </c>
    </row>
    <row r="222" spans="8:8">
      <c r="A222" s="3" t="s">
        <v>239</v>
      </c>
      <c r="B222" s="4" t="s">
        <v>196</v>
      </c>
      <c r="C222" s="356">
        <v>1.0</v>
      </c>
      <c r="D222" s="356">
        <v>6.6386671400000006E7</v>
      </c>
      <c r="E222" s="180">
        <v>1191998.0</v>
      </c>
      <c r="F222" s="180">
        <v>1787991.0</v>
      </c>
      <c r="G222" s="360"/>
      <c r="H222" s="360"/>
      <c r="I222" s="43">
        <f t="shared" si="6"/>
        <v>6.93666614E7</v>
      </c>
    </row>
    <row r="223" spans="8:8">
      <c r="A223" s="3" t="s">
        <v>240</v>
      </c>
      <c r="B223" s="4" t="s">
        <v>196</v>
      </c>
      <c r="C223" s="356">
        <v>1.0</v>
      </c>
      <c r="D223" s="356">
        <v>6.6386671400000006E7</v>
      </c>
      <c r="E223" s="180">
        <v>1191998.0</v>
      </c>
      <c r="F223" s="180">
        <v>1787991.0</v>
      </c>
      <c r="G223" s="360"/>
      <c r="H223" s="360"/>
      <c r="I223" s="43">
        <f t="shared" si="6"/>
        <v>6.93666614E7</v>
      </c>
    </row>
    <row r="224" spans="8:8">
      <c r="A224" s="3" t="s">
        <v>241</v>
      </c>
      <c r="B224" s="16" t="s">
        <v>196</v>
      </c>
      <c r="C224" s="356">
        <v>1.0</v>
      </c>
      <c r="D224" s="356">
        <v>6.6386671400000006E7</v>
      </c>
      <c r="E224" s="180">
        <v>1191998.0</v>
      </c>
      <c r="F224" s="180">
        <v>1787991.0</v>
      </c>
      <c r="G224" s="360"/>
      <c r="H224" s="360"/>
      <c r="I224" s="43">
        <f t="shared" si="6"/>
        <v>6.93666614E7</v>
      </c>
    </row>
    <row r="225" spans="8:8">
      <c r="A225" s="3" t="s">
        <v>242</v>
      </c>
      <c r="B225" s="4" t="s">
        <v>196</v>
      </c>
      <c r="C225" s="356">
        <v>1.0</v>
      </c>
      <c r="D225" s="356">
        <v>6.6386671400000006E7</v>
      </c>
      <c r="E225" s="180">
        <v>1191998.0</v>
      </c>
      <c r="F225" s="180">
        <v>1787991.0</v>
      </c>
      <c r="G225" s="360"/>
      <c r="H225" s="360"/>
      <c r="I225" s="43">
        <f t="shared" si="6"/>
        <v>6.93666614E7</v>
      </c>
    </row>
    <row r="226" spans="8:8">
      <c r="A226" s="3" t="s">
        <v>243</v>
      </c>
      <c r="B226" s="4" t="s">
        <v>196</v>
      </c>
      <c r="C226" s="356">
        <v>1.0</v>
      </c>
      <c r="D226" s="356">
        <v>6.6386671400000006E7</v>
      </c>
      <c r="E226" s="180">
        <v>1191998.0</v>
      </c>
      <c r="F226" s="180">
        <v>1787991.0</v>
      </c>
      <c r="G226" s="360"/>
      <c r="H226" s="360"/>
      <c r="I226" s="43">
        <f t="shared" si="6"/>
        <v>6.93666614E7</v>
      </c>
    </row>
    <row r="227" spans="8:8" s="49" ht="15.0" customFormat="1">
      <c r="A227" s="3" t="s">
        <v>244</v>
      </c>
      <c r="B227" s="4" t="s">
        <v>196</v>
      </c>
      <c r="C227" s="356">
        <v>1.0</v>
      </c>
      <c r="D227" s="356">
        <v>6.6386671400000006E7</v>
      </c>
      <c r="E227" s="180">
        <v>1191998.0</v>
      </c>
      <c r="F227" s="180">
        <v>1787991.0</v>
      </c>
      <c r="G227" s="360"/>
      <c r="H227" s="360"/>
      <c r="I227" s="241">
        <f t="shared" si="6"/>
        <v>6.93666614E7</v>
      </c>
    </row>
    <row r="228" spans="8:8">
      <c r="A228" s="3" t="s">
        <v>246</v>
      </c>
      <c r="B228" s="4" t="s">
        <v>196</v>
      </c>
      <c r="C228" s="356">
        <v>1.0</v>
      </c>
      <c r="D228" s="356">
        <v>6.6386671400000006E7</v>
      </c>
      <c r="E228" s="180">
        <v>1191998.0</v>
      </c>
      <c r="F228" s="180">
        <v>1787991.0</v>
      </c>
      <c r="G228" s="360"/>
      <c r="H228" s="360"/>
      <c r="I228" s="43">
        <f t="shared" si="6"/>
        <v>6.93666614E7</v>
      </c>
    </row>
    <row r="229" spans="8:8">
      <c r="A229" s="3" t="s">
        <v>247</v>
      </c>
      <c r="B229" s="4" t="s">
        <v>196</v>
      </c>
      <c r="C229" s="356">
        <v>1.0</v>
      </c>
      <c r="D229" s="356">
        <v>6.6386671400000006E7</v>
      </c>
      <c r="E229" s="180">
        <v>1191998.0</v>
      </c>
      <c r="F229" s="180">
        <v>1787991.0</v>
      </c>
      <c r="G229" s="360"/>
      <c r="H229" s="360"/>
      <c r="I229" s="43">
        <f t="shared" si="6"/>
        <v>6.93666614E7</v>
      </c>
    </row>
    <row r="230" spans="8:8">
      <c r="A230" s="3" t="s">
        <v>248</v>
      </c>
      <c r="B230" s="4" t="s">
        <v>196</v>
      </c>
      <c r="C230" s="356">
        <v>1.0</v>
      </c>
      <c r="D230" s="356">
        <v>6.6386671400000006E7</v>
      </c>
      <c r="E230" s="180">
        <v>1191998.0</v>
      </c>
      <c r="F230" s="180">
        <v>1787991.0</v>
      </c>
      <c r="G230" s="360"/>
      <c r="H230" s="360"/>
      <c r="I230" s="43">
        <f t="shared" si="6"/>
        <v>6.93666614E7</v>
      </c>
    </row>
    <row r="231" spans="8:8">
      <c r="A231" s="3" t="s">
        <v>249</v>
      </c>
      <c r="B231" s="4" t="s">
        <v>196</v>
      </c>
      <c r="C231" s="356">
        <v>1.0</v>
      </c>
      <c r="D231" s="356">
        <v>6.6386671400000006E7</v>
      </c>
      <c r="E231" s="180">
        <v>1191998.0</v>
      </c>
      <c r="F231" s="180">
        <v>1787991.0</v>
      </c>
      <c r="G231" s="360"/>
      <c r="H231" s="360"/>
      <c r="I231" s="43">
        <f t="shared" si="6"/>
        <v>6.93666614E7</v>
      </c>
    </row>
    <row r="232" spans="8:8">
      <c r="A232" s="3" t="s">
        <v>250</v>
      </c>
      <c r="B232" s="4" t="s">
        <v>196</v>
      </c>
      <c r="C232" s="356">
        <v>1.0</v>
      </c>
      <c r="D232" s="356">
        <v>6.6386671400000006E7</v>
      </c>
      <c r="E232" s="180">
        <v>1191998.0</v>
      </c>
      <c r="F232" s="180">
        <v>1787991.0</v>
      </c>
      <c r="G232" s="360"/>
      <c r="H232" s="360"/>
      <c r="I232" s="43">
        <f t="shared" si="6"/>
        <v>6.93666614E7</v>
      </c>
    </row>
    <row r="233" spans="8:8">
      <c r="A233" s="3" t="s">
        <v>251</v>
      </c>
      <c r="B233" s="4" t="s">
        <v>196</v>
      </c>
      <c r="C233" s="356">
        <v>1.0</v>
      </c>
      <c r="D233" s="356">
        <v>6.6386671400000006E7</v>
      </c>
      <c r="E233" s="180">
        <v>1191998.0</v>
      </c>
      <c r="F233" s="180">
        <v>1787991.0</v>
      </c>
      <c r="G233" s="360"/>
      <c r="H233" s="360"/>
      <c r="I233" s="43">
        <f t="shared" si="6"/>
        <v>6.93666614E7</v>
      </c>
    </row>
    <row r="234" spans="8:8">
      <c r="A234" s="3" t="s">
        <v>252</v>
      </c>
      <c r="B234" s="4" t="s">
        <v>196</v>
      </c>
      <c r="C234" s="356">
        <v>1.0</v>
      </c>
      <c r="D234" s="356">
        <v>6.6386671400000006E7</v>
      </c>
      <c r="E234" s="180">
        <v>1191998.0</v>
      </c>
      <c r="F234" s="180">
        <v>1787991.0</v>
      </c>
      <c r="G234" s="360"/>
      <c r="H234" s="360"/>
      <c r="I234" s="43">
        <f t="shared" si="6"/>
        <v>6.93666614E7</v>
      </c>
    </row>
    <row r="235" spans="8:8">
      <c r="A235" s="3" t="s">
        <v>253</v>
      </c>
      <c r="B235" s="4" t="s">
        <v>196</v>
      </c>
      <c r="C235" s="356">
        <v>1.0</v>
      </c>
      <c r="D235" s="356">
        <v>6.6386671400000006E7</v>
      </c>
      <c r="E235" s="180">
        <v>1191998.0</v>
      </c>
      <c r="F235" s="180">
        <v>1787991.0</v>
      </c>
      <c r="G235" s="360"/>
      <c r="H235" s="360"/>
      <c r="I235" s="43">
        <f t="shared" si="6"/>
        <v>6.93666614E7</v>
      </c>
    </row>
    <row r="236" spans="8:8">
      <c r="A236" s="3" t="s">
        <v>254</v>
      </c>
      <c r="B236" s="4" t="s">
        <v>196</v>
      </c>
      <c r="C236" s="356">
        <v>1.0</v>
      </c>
      <c r="D236" s="356">
        <v>6.6386671400000006E7</v>
      </c>
      <c r="E236" s="180">
        <v>1191998.0</v>
      </c>
      <c r="F236" s="180">
        <v>1787991.0</v>
      </c>
      <c r="G236" s="360"/>
      <c r="H236" s="360"/>
      <c r="I236" s="43">
        <f t="shared" si="6"/>
        <v>6.93666614E7</v>
      </c>
    </row>
    <row r="237" spans="8:8">
      <c r="A237" s="3" t="s">
        <v>255</v>
      </c>
      <c r="B237" s="4" t="s">
        <v>196</v>
      </c>
      <c r="C237" s="356">
        <v>1.0</v>
      </c>
      <c r="D237" s="356">
        <v>6.6386671400000006E7</v>
      </c>
      <c r="E237" s="180">
        <v>1191998.0</v>
      </c>
      <c r="F237" s="180">
        <v>1787991.0</v>
      </c>
      <c r="G237" s="360"/>
      <c r="H237" s="360"/>
      <c r="I237" s="43">
        <f t="shared" si="6"/>
        <v>6.93666614E7</v>
      </c>
    </row>
    <row r="238" spans="8:8">
      <c r="A238" s="3" t="s">
        <v>256</v>
      </c>
      <c r="B238" s="4" t="s">
        <v>196</v>
      </c>
      <c r="C238" s="356">
        <v>1.0</v>
      </c>
      <c r="D238" s="356">
        <v>6.6386671400000006E7</v>
      </c>
      <c r="E238" s="180">
        <v>1191998.0</v>
      </c>
      <c r="F238" s="180">
        <v>1787991.0</v>
      </c>
      <c r="G238" s="360"/>
      <c r="H238" s="360"/>
      <c r="I238" s="43">
        <f t="shared" si="6"/>
        <v>6.93666614E7</v>
      </c>
    </row>
    <row r="239" spans="8:8">
      <c r="A239" s="3" t="s">
        <v>257</v>
      </c>
      <c r="B239" s="4" t="s">
        <v>196</v>
      </c>
      <c r="C239" s="356">
        <v>1.0</v>
      </c>
      <c r="D239" s="356">
        <v>6.6386671400000006E7</v>
      </c>
      <c r="E239" s="180">
        <v>1191998.0</v>
      </c>
      <c r="F239" s="180">
        <v>1787991.0</v>
      </c>
      <c r="G239" s="360"/>
      <c r="H239" s="360"/>
      <c r="I239" s="43">
        <f t="shared" si="6"/>
        <v>6.93666614E7</v>
      </c>
    </row>
    <row r="240" spans="8:8">
      <c r="A240" s="3" t="s">
        <v>258</v>
      </c>
      <c r="B240" s="4" t="s">
        <v>196</v>
      </c>
      <c r="C240" s="356">
        <v>1.0</v>
      </c>
      <c r="D240" s="356">
        <v>6.6386671400000006E7</v>
      </c>
      <c r="E240" s="180">
        <v>1191998.0</v>
      </c>
      <c r="F240" s="180">
        <v>1787991.0</v>
      </c>
      <c r="G240" s="360"/>
      <c r="H240" s="360"/>
      <c r="I240" s="43">
        <f t="shared" si="6"/>
        <v>6.93666614E7</v>
      </c>
    </row>
    <row r="241" spans="8:8">
      <c r="A241" s="3" t="s">
        <v>259</v>
      </c>
      <c r="B241" s="4" t="s">
        <v>196</v>
      </c>
      <c r="C241" s="356">
        <v>1.0</v>
      </c>
      <c r="D241" s="356">
        <v>6.6386671400000006E7</v>
      </c>
      <c r="E241" s="180">
        <v>1191998.0</v>
      </c>
      <c r="F241" s="180">
        <v>1787991.0</v>
      </c>
      <c r="G241" s="360"/>
      <c r="H241" s="360"/>
      <c r="I241" s="43">
        <f>SUM(C241:H241)</f>
        <v>6.93666614E7</v>
      </c>
    </row>
    <row r="242" spans="8:8">
      <c r="A242" s="3" t="s">
        <v>260</v>
      </c>
      <c r="B242" s="4" t="s">
        <v>196</v>
      </c>
      <c r="C242" s="356">
        <v>2.75557156E7</v>
      </c>
      <c r="D242" s="356">
        <v>7.97363616E7</v>
      </c>
      <c r="E242" s="180">
        <v>1191998.0</v>
      </c>
      <c r="F242" s="180">
        <v>1787991.0</v>
      </c>
      <c r="G242" s="360"/>
      <c r="H242" s="360"/>
      <c r="I242" s="43">
        <f>SUM(C242:H242)</f>
        <v>1.1027206619999999E8</v>
      </c>
    </row>
    <row r="243" spans="8:8">
      <c r="A243" s="3" t="s">
        <v>262</v>
      </c>
      <c r="B243" s="4" t="s">
        <v>196</v>
      </c>
      <c r="C243" s="356">
        <v>1.0</v>
      </c>
      <c r="D243" s="356">
        <v>7.96640054E7</v>
      </c>
      <c r="E243" s="180">
        <v>1191998.0</v>
      </c>
      <c r="F243" s="180">
        <v>1787991.0</v>
      </c>
      <c r="G243" s="360"/>
      <c r="H243" s="360"/>
      <c r="I243" s="43">
        <f t="shared" si="7" ref="I243:I255">SUM(C243:F243)</f>
        <v>8.26439954E7</v>
      </c>
    </row>
    <row r="244" spans="8:8">
      <c r="A244" s="3" t="s">
        <v>265</v>
      </c>
      <c r="B244" s="4" t="s">
        <v>196</v>
      </c>
      <c r="C244" s="356">
        <v>1.0</v>
      </c>
      <c r="D244" s="356">
        <v>6.6386671400000006E7</v>
      </c>
      <c r="E244" s="180">
        <v>1191998.0</v>
      </c>
      <c r="F244" s="180">
        <v>1787991.0</v>
      </c>
      <c r="G244" s="360"/>
      <c r="H244" s="360"/>
      <c r="I244" s="43">
        <f t="shared" si="7"/>
        <v>6.93666614E7</v>
      </c>
    </row>
    <row r="245" spans="8:8">
      <c r="A245" s="3" t="s">
        <v>266</v>
      </c>
      <c r="B245" s="4" t="s">
        <v>196</v>
      </c>
      <c r="C245" s="356">
        <v>1.0</v>
      </c>
      <c r="D245" s="356">
        <v>6.6386671400000006E7</v>
      </c>
      <c r="E245" s="180">
        <v>1191998.0</v>
      </c>
      <c r="F245" s="180">
        <v>1787991.0</v>
      </c>
      <c r="G245" s="360"/>
      <c r="H245" s="360"/>
      <c r="I245" s="43">
        <f t="shared" si="7"/>
        <v>6.93666614E7</v>
      </c>
    </row>
    <row r="246" spans="8:8">
      <c r="A246" s="3" t="s">
        <v>267</v>
      </c>
      <c r="B246" s="4" t="s">
        <v>196</v>
      </c>
      <c r="C246" s="356">
        <v>1.0</v>
      </c>
      <c r="D246" s="356">
        <v>6.6386671400000006E7</v>
      </c>
      <c r="E246" s="180">
        <v>1191998.0</v>
      </c>
      <c r="F246" s="180">
        <v>1787991.0</v>
      </c>
      <c r="G246" s="360"/>
      <c r="H246" s="360"/>
      <c r="I246" s="43">
        <f t="shared" si="7"/>
        <v>6.93666614E7</v>
      </c>
    </row>
    <row r="247" spans="8:8">
      <c r="A247" s="3" t="s">
        <v>268</v>
      </c>
      <c r="B247" s="4" t="s">
        <v>196</v>
      </c>
      <c r="C247" s="356">
        <v>1.0</v>
      </c>
      <c r="D247" s="356">
        <v>6.6386671400000006E7</v>
      </c>
      <c r="E247" s="180">
        <v>1191998.0</v>
      </c>
      <c r="F247" s="180">
        <v>1787991.0</v>
      </c>
      <c r="G247" s="360"/>
      <c r="H247" s="360"/>
      <c r="I247" s="43">
        <f t="shared" si="7"/>
        <v>6.93666614E7</v>
      </c>
    </row>
    <row r="248" spans="8:8">
      <c r="A248" s="3" t="s">
        <v>269</v>
      </c>
      <c r="B248" s="4" t="s">
        <v>196</v>
      </c>
      <c r="C248" s="356">
        <v>1.0</v>
      </c>
      <c r="D248" s="356">
        <v>6.6386671400000006E7</v>
      </c>
      <c r="E248" s="180">
        <v>1191998.0</v>
      </c>
      <c r="F248" s="180">
        <v>1787991.0</v>
      </c>
      <c r="G248" s="360"/>
      <c r="H248" s="360"/>
      <c r="I248" s="43">
        <f t="shared" si="7"/>
        <v>6.93666614E7</v>
      </c>
    </row>
    <row r="249" spans="8:8">
      <c r="A249" s="3" t="s">
        <v>270</v>
      </c>
      <c r="B249" s="4" t="s">
        <v>196</v>
      </c>
      <c r="C249" s="356">
        <v>1.0</v>
      </c>
      <c r="D249" s="356">
        <v>6.6386671400000006E7</v>
      </c>
      <c r="E249" s="180">
        <v>1191998.0</v>
      </c>
      <c r="F249" s="180">
        <v>1787991.0</v>
      </c>
      <c r="G249" s="360"/>
      <c r="H249" s="360"/>
      <c r="I249" s="43">
        <f t="shared" si="7"/>
        <v>6.93666614E7</v>
      </c>
    </row>
    <row r="250" spans="8:8">
      <c r="A250" s="3" t="s">
        <v>271</v>
      </c>
      <c r="B250" s="4" t="s">
        <v>196</v>
      </c>
      <c r="C250" s="356">
        <v>1.0</v>
      </c>
      <c r="D250" s="356">
        <v>6.6386671400000006E7</v>
      </c>
      <c r="E250" s="180">
        <v>1191998.0</v>
      </c>
      <c r="F250" s="180">
        <v>1787991.0</v>
      </c>
      <c r="G250" s="360"/>
      <c r="H250" s="360"/>
      <c r="I250" s="43">
        <f t="shared" si="7"/>
        <v>6.93666614E7</v>
      </c>
    </row>
    <row r="251" spans="8:8">
      <c r="A251" s="3" t="s">
        <v>272</v>
      </c>
      <c r="B251" s="4" t="s">
        <v>196</v>
      </c>
      <c r="C251" s="356">
        <v>1.0</v>
      </c>
      <c r="D251" s="356">
        <v>6.6386671400000006E7</v>
      </c>
      <c r="E251" s="180">
        <v>1191998.0</v>
      </c>
      <c r="F251" s="180">
        <v>1787991.0</v>
      </c>
      <c r="G251" s="360"/>
      <c r="H251" s="360"/>
      <c r="I251" s="43">
        <f t="shared" si="7"/>
        <v>6.93666614E7</v>
      </c>
    </row>
    <row r="252" spans="8:8">
      <c r="A252" s="3" t="s">
        <v>273</v>
      </c>
      <c r="B252" s="4" t="s">
        <v>196</v>
      </c>
      <c r="C252" s="356">
        <v>1.0</v>
      </c>
      <c r="D252" s="356">
        <v>6.6386671400000006E7</v>
      </c>
      <c r="E252" s="180">
        <v>1191998.0</v>
      </c>
      <c r="F252" s="180">
        <v>1787991.0</v>
      </c>
      <c r="G252" s="360"/>
      <c r="H252" s="360"/>
      <c r="I252" s="43">
        <f t="shared" si="7"/>
        <v>6.93666614E7</v>
      </c>
    </row>
    <row r="253" spans="8:8">
      <c r="A253" s="3" t="s">
        <v>274</v>
      </c>
      <c r="B253" s="4" t="s">
        <v>196</v>
      </c>
      <c r="C253" s="356">
        <v>1.0</v>
      </c>
      <c r="D253" s="356">
        <v>6.6386671400000006E7</v>
      </c>
      <c r="E253" s="180">
        <v>1191998.0</v>
      </c>
      <c r="F253" s="180">
        <v>1787991.0</v>
      </c>
      <c r="G253" s="360"/>
      <c r="H253" s="360"/>
      <c r="I253" s="43">
        <f t="shared" si="7"/>
        <v>6.93666614E7</v>
      </c>
    </row>
    <row r="254" spans="8:8">
      <c r="A254" s="3" t="s">
        <v>275</v>
      </c>
      <c r="B254" s="4" t="s">
        <v>196</v>
      </c>
      <c r="C254" s="356">
        <v>1.0</v>
      </c>
      <c r="D254" s="356">
        <v>6.6386671400000006E7</v>
      </c>
      <c r="E254" s="180">
        <v>1191998.0</v>
      </c>
      <c r="F254" s="180">
        <v>1787991.0</v>
      </c>
      <c r="G254" s="360"/>
      <c r="H254" s="360"/>
      <c r="I254" s="43">
        <f t="shared" si="7"/>
        <v>6.93666614E7</v>
      </c>
    </row>
    <row r="255" spans="8:8">
      <c r="A255" s="3" t="s">
        <v>276</v>
      </c>
      <c r="B255" s="4" t="s">
        <v>196</v>
      </c>
      <c r="C255" s="356">
        <v>1.0</v>
      </c>
      <c r="D255" s="356">
        <v>6.6386671400000006E7</v>
      </c>
      <c r="E255" s="180">
        <v>1191998.0</v>
      </c>
      <c r="F255" s="180">
        <v>1787991.0</v>
      </c>
      <c r="G255" s="360"/>
      <c r="H255" s="360"/>
      <c r="I255" s="43">
        <f t="shared" si="7"/>
        <v>6.93666614E7</v>
      </c>
    </row>
    <row r="256" spans="8:8">
      <c r="A256" s="334" t="s">
        <v>407</v>
      </c>
      <c r="B256" s="4" t="s">
        <v>196</v>
      </c>
      <c r="C256" s="356">
        <v>1.0</v>
      </c>
      <c r="D256" s="356">
        <v>1.3277334280000001E8</v>
      </c>
      <c r="E256" s="180">
        <v>1191998.0</v>
      </c>
      <c r="F256" s="180">
        <v>1787991.0</v>
      </c>
      <c r="G256" s="360"/>
      <c r="H256" s="360"/>
      <c r="I256" s="43">
        <f t="shared" si="8" ref="I256:I270">SUM(C256:H256)</f>
        <v>1.357533328E8</v>
      </c>
    </row>
    <row r="257" spans="8:8">
      <c r="A257" s="334" t="s">
        <v>408</v>
      </c>
      <c r="B257" s="4" t="s">
        <v>196</v>
      </c>
      <c r="C257" s="356">
        <v>1.0</v>
      </c>
      <c r="D257" s="356">
        <v>1.3277334280000001E8</v>
      </c>
      <c r="E257" s="180">
        <v>1191998.0</v>
      </c>
      <c r="F257" s="180">
        <v>1787991.0</v>
      </c>
      <c r="G257" s="360"/>
      <c r="H257" s="360"/>
      <c r="I257" s="43">
        <f t="shared" si="8"/>
        <v>1.357533328E8</v>
      </c>
    </row>
    <row r="258" spans="8:8">
      <c r="A258" s="15" t="s">
        <v>277</v>
      </c>
      <c r="B258" s="4" t="s">
        <v>196</v>
      </c>
      <c r="C258" s="356">
        <v>1.0</v>
      </c>
      <c r="D258" s="356">
        <v>6.6386671400000006E7</v>
      </c>
      <c r="E258" s="180">
        <v>1191998.0</v>
      </c>
      <c r="F258" s="180">
        <v>1787991.0</v>
      </c>
      <c r="G258" s="360"/>
      <c r="H258" s="360"/>
      <c r="I258" s="43">
        <f t="shared" si="8"/>
        <v>6.93666614E7</v>
      </c>
    </row>
    <row r="259" spans="8:8">
      <c r="A259" s="3" t="s">
        <v>280</v>
      </c>
      <c r="B259" s="4" t="s">
        <v>196</v>
      </c>
      <c r="C259" s="356">
        <v>2.75557142E7</v>
      </c>
      <c r="D259" s="356">
        <v>7.97363616E7</v>
      </c>
      <c r="E259" s="180">
        <v>1191998.0</v>
      </c>
      <c r="F259" s="180">
        <v>1787991.0</v>
      </c>
      <c r="G259" s="360"/>
      <c r="H259" s="360"/>
      <c r="I259" s="43">
        <f t="shared" si="8"/>
        <v>1.102720648E8</v>
      </c>
    </row>
    <row r="260" spans="8:8">
      <c r="A260" s="207" t="s">
        <v>281</v>
      </c>
      <c r="B260" s="208" t="s">
        <v>282</v>
      </c>
      <c r="C260" s="356">
        <v>5.0E7</v>
      </c>
      <c r="D260" s="64"/>
      <c r="E260" s="180"/>
      <c r="F260" s="180"/>
      <c r="G260" s="360"/>
      <c r="H260" s="360"/>
      <c r="I260" s="210">
        <f t="shared" si="8"/>
        <v>5.0E7</v>
      </c>
    </row>
    <row r="261" spans="8:8">
      <c r="A261" s="207" t="s">
        <v>283</v>
      </c>
      <c r="B261" s="208" t="s">
        <v>282</v>
      </c>
      <c r="C261" s="356">
        <v>5.0E7</v>
      </c>
      <c r="D261" s="64"/>
      <c r="E261" s="180"/>
      <c r="F261" s="180"/>
      <c r="G261" s="360"/>
      <c r="H261" s="360"/>
      <c r="I261" s="210">
        <f t="shared" si="8"/>
        <v>5.0E7</v>
      </c>
    </row>
    <row r="262" spans="8:8">
      <c r="A262" s="207" t="s">
        <v>284</v>
      </c>
      <c r="B262" s="208" t="s">
        <v>285</v>
      </c>
      <c r="C262" s="180">
        <v>340704.0</v>
      </c>
      <c r="D262" s="64"/>
      <c r="E262" s="180"/>
      <c r="F262" s="180"/>
      <c r="G262" s="360"/>
      <c r="H262" s="360"/>
      <c r="I262" s="210">
        <f t="shared" si="8"/>
        <v>340704.0</v>
      </c>
    </row>
    <row r="263" spans="8:8">
      <c r="A263" s="207" t="s">
        <v>286</v>
      </c>
      <c r="B263" s="208" t="s">
        <v>285</v>
      </c>
      <c r="C263" s="180">
        <v>514465.0</v>
      </c>
      <c r="D263" s="64"/>
      <c r="E263" s="180"/>
      <c r="F263" s="180"/>
      <c r="G263" s="360"/>
      <c r="H263" s="360"/>
      <c r="I263" s="210">
        <f t="shared" si="8"/>
        <v>514465.0</v>
      </c>
    </row>
    <row r="264" spans="8:8">
      <c r="A264" s="15" t="s">
        <v>4</v>
      </c>
      <c r="B264" s="16" t="s">
        <v>285</v>
      </c>
      <c r="C264" s="180">
        <v>1191998.0</v>
      </c>
      <c r="D264" s="64"/>
      <c r="E264" s="180"/>
      <c r="F264" s="180"/>
      <c r="G264" s="360"/>
      <c r="H264" s="360"/>
      <c r="I264" s="210">
        <f t="shared" si="8"/>
        <v>1191998.0</v>
      </c>
    </row>
    <row r="265" spans="8:8">
      <c r="A265" s="15" t="s">
        <v>406</v>
      </c>
      <c r="B265" s="16" t="s">
        <v>285</v>
      </c>
      <c r="C265" s="180">
        <v>4668300.0</v>
      </c>
      <c r="D265" s="64"/>
      <c r="E265" s="180"/>
      <c r="F265" s="180"/>
      <c r="G265" s="360"/>
      <c r="H265" s="360"/>
      <c r="I265" s="210">
        <f t="shared" si="8"/>
        <v>4668300.0</v>
      </c>
    </row>
    <row r="266" spans="8:8">
      <c r="A266" s="207" t="s">
        <v>287</v>
      </c>
      <c r="B266" s="16" t="s">
        <v>285</v>
      </c>
      <c r="C266" s="180">
        <v>3575981.0</v>
      </c>
      <c r="D266" s="64"/>
      <c r="E266" s="180"/>
      <c r="F266" s="180"/>
      <c r="G266" s="360"/>
      <c r="H266" s="360"/>
      <c r="I266" s="210">
        <f t="shared" si="8"/>
        <v>3575981.0</v>
      </c>
    </row>
    <row r="267" spans="8:8">
      <c r="A267" s="15" t="s">
        <v>319</v>
      </c>
      <c r="B267" s="16" t="s">
        <v>285</v>
      </c>
      <c r="C267" s="180">
        <v>2162160.0</v>
      </c>
      <c r="D267" s="64"/>
      <c r="E267" s="180"/>
      <c r="F267" s="180"/>
      <c r="G267" s="360"/>
      <c r="H267" s="360"/>
      <c r="I267" s="210">
        <f t="shared" si="8"/>
        <v>2162160.0</v>
      </c>
    </row>
    <row r="268" spans="8:8">
      <c r="A268" s="15" t="s">
        <v>5</v>
      </c>
      <c r="B268" s="16" t="s">
        <v>285</v>
      </c>
      <c r="C268" s="180">
        <v>1787991.0</v>
      </c>
      <c r="D268" s="64"/>
      <c r="E268" s="180"/>
      <c r="F268" s="180"/>
      <c r="G268" s="360"/>
      <c r="H268" s="360"/>
      <c r="I268" s="210">
        <f t="shared" si="8"/>
        <v>1787991.0</v>
      </c>
    </row>
    <row r="269" spans="8:8">
      <c r="A269" s="15" t="s">
        <v>288</v>
      </c>
      <c r="B269" s="16" t="s">
        <v>285</v>
      </c>
      <c r="C269" s="180">
        <v>5969389.0</v>
      </c>
      <c r="D269" s="64"/>
      <c r="E269" s="180"/>
      <c r="F269" s="180"/>
      <c r="G269" s="360"/>
      <c r="H269" s="360"/>
      <c r="I269" s="210">
        <f t="shared" si="8"/>
        <v>5969389.0</v>
      </c>
    </row>
    <row r="270" spans="8:8">
      <c r="A270" s="207" t="s">
        <v>291</v>
      </c>
      <c r="B270" s="208" t="s">
        <v>290</v>
      </c>
      <c r="C270" s="356">
        <v>2.18975624E7</v>
      </c>
      <c r="D270" s="356">
        <v>2.18975624E7</v>
      </c>
      <c r="E270" s="180">
        <v>1191998.0</v>
      </c>
      <c r="F270" s="180">
        <v>1787991.0</v>
      </c>
      <c r="G270" s="360"/>
      <c r="H270" s="360"/>
      <c r="I270" s="210">
        <f t="shared" si="8"/>
        <v>4.67751138E7</v>
      </c>
    </row>
    <row r="271" spans="8:8">
      <c r="A271" s="39"/>
      <c r="C271" s="161"/>
      <c r="D271" s="39"/>
    </row>
    <row r="272" spans="8:8">
      <c r="A272" s="39"/>
      <c r="C272" s="161"/>
      <c r="D272" s="39"/>
    </row>
    <row r="273" spans="8:8">
      <c r="A273" s="39"/>
    </row>
    <row r="274" spans="8:8">
      <c r="A274" s="39"/>
    </row>
    <row r="276" spans="8:8">
      <c r="A276" s="38" t="s">
        <v>351</v>
      </c>
    </row>
    <row r="285" spans="8:8">
      <c r="H285" s="351"/>
    </row>
    <row r="286" spans="8:8" s="49" ht="15.0" customFormat="1">
      <c r="A286" s="38"/>
      <c r="B286" s="39"/>
      <c r="C286" s="40"/>
      <c r="D286" s="163"/>
      <c r="E286" s="163"/>
      <c r="F286" s="163"/>
      <c r="G286" s="314"/>
      <c r="H286" s="351"/>
    </row>
    <row r="294" spans="8:8" s="49" ht="15.0" customFormat="1">
      <c r="A294" s="38"/>
      <c r="B294" s="39"/>
      <c r="C294" s="40"/>
      <c r="D294" s="163"/>
      <c r="E294" s="163"/>
      <c r="F294" s="163"/>
      <c r="G294" s="314"/>
      <c r="H294" s="351"/>
    </row>
    <row r="297" spans="8:8" s="49" ht="15.0" customFormat="1">
      <c r="A297" s="38"/>
      <c r="B297" s="39"/>
      <c r="C297" s="40"/>
      <c r="D297" s="163"/>
      <c r="E297" s="163"/>
      <c r="F297" s="163"/>
      <c r="G297" s="314"/>
      <c r="H297" s="351"/>
    </row>
    <row r="298" spans="8:8" s="49" ht="15.0" customFormat="1">
      <c r="A298" s="38"/>
      <c r="B298" s="39"/>
      <c r="C298" s="40"/>
      <c r="D298" s="163"/>
      <c r="E298" s="163"/>
      <c r="F298" s="163"/>
      <c r="G298" s="314"/>
      <c r="H298" s="351"/>
    </row>
    <row r="299" spans="8:8">
      <c r="H299" s="248"/>
    </row>
    <row r="300" spans="8:8">
      <c r="H300" s="248"/>
    </row>
  </sheetData>
  <pageMargins left="0.34" right="0.24" top="0.45" bottom="0.43" header="0.3" footer="0.3"/>
</worksheet>
</file>

<file path=xl/worksheets/sheet29.xml><?xml version="1.0" encoding="utf-8"?>
<worksheet xmlns:r="http://schemas.openxmlformats.org/officeDocument/2006/relationships" xmlns="http://schemas.openxmlformats.org/spreadsheetml/2006/main">
  <dimension ref="A1:M300"/>
  <sheetViews>
    <sheetView workbookViewId="0" topLeftCell="A7">
      <selection activeCell="I42" sqref="I42"/>
    </sheetView>
  </sheetViews>
  <sheetFormatPr defaultRowHeight="15.0" defaultColWidth="10"/>
  <cols>
    <col min="1" max="1" customWidth="1" width="65.28516" style="38"/>
    <col min="2" max="2" customWidth="1" width="14.285156" style="39"/>
    <col min="3" max="3" hidden="1" customWidth="1" width="14.5703125" style="40"/>
    <col min="4" max="5" hidden="1" customWidth="1" width="18.140625" style="163"/>
    <col min="6" max="6" hidden="1" customWidth="1" width="19.710938" style="163"/>
    <col min="7" max="7" hidden="1" customWidth="1" width="14.5703125" style="314"/>
    <col min="8" max="8" hidden="1" customWidth="1" width="19.710938" style="244"/>
    <col min="9" max="9" customWidth="1" width="15.7109375" style="39"/>
    <col min="10" max="10" customWidth="0" width="11.425781" style="39"/>
    <col min="11" max="11" customWidth="1" bestFit="1" width="41.710938" style="39"/>
    <col min="12" max="16384" customWidth="0" width="11.425781" style="39"/>
  </cols>
  <sheetData>
    <row r="1" spans="8:8" ht="15.75">
      <c r="A1" s="364" t="s">
        <v>0</v>
      </c>
      <c r="B1" s="365" t="s">
        <v>1</v>
      </c>
      <c r="C1" s="366" t="s">
        <v>416</v>
      </c>
      <c r="D1" s="366" t="s">
        <v>3</v>
      </c>
      <c r="E1" s="367" t="s">
        <v>4</v>
      </c>
      <c r="F1" s="367" t="s">
        <v>5</v>
      </c>
      <c r="G1" s="367" t="s">
        <v>406</v>
      </c>
      <c r="H1" s="367" t="s">
        <v>319</v>
      </c>
      <c r="I1" s="368" t="s">
        <v>425</v>
      </c>
    </row>
    <row r="2" spans="8:8">
      <c r="A2" s="10" t="s">
        <v>7</v>
      </c>
      <c r="B2" s="11" t="s">
        <v>8</v>
      </c>
      <c r="C2" s="369">
        <v>1.0</v>
      </c>
      <c r="D2" s="369">
        <v>3.3720029980000004E7</v>
      </c>
      <c r="E2" s="370">
        <v>1549598.0</v>
      </c>
      <c r="F2" s="370">
        <v>2324389.0</v>
      </c>
      <c r="G2" s="316"/>
      <c r="H2" s="362"/>
      <c r="I2" s="13">
        <f>SUM(C2:H2)</f>
        <v>3.7594017980000004E7</v>
      </c>
    </row>
    <row r="3" spans="8:8">
      <c r="A3" s="3" t="s">
        <v>9</v>
      </c>
      <c r="B3" s="4" t="s">
        <v>8</v>
      </c>
      <c r="C3" s="371">
        <v>1.0</v>
      </c>
      <c r="D3" s="371">
        <v>3.3720029980000004E7</v>
      </c>
      <c r="E3" s="372">
        <v>1549598.0</v>
      </c>
      <c r="F3" s="372">
        <v>2324389.0</v>
      </c>
      <c r="G3" s="329"/>
      <c r="H3" s="329"/>
      <c r="I3" s="6">
        <f>SUM(C3:F3)</f>
        <v>3.7594017980000004E7</v>
      </c>
    </row>
    <row r="4" spans="8:8">
      <c r="A4" s="3" t="s">
        <v>10</v>
      </c>
      <c r="B4" s="4" t="s">
        <v>8</v>
      </c>
      <c r="C4" s="371">
        <v>1.0</v>
      </c>
      <c r="D4" s="371">
        <v>3.3720029980000004E7</v>
      </c>
      <c r="E4" s="372">
        <v>1549598.0</v>
      </c>
      <c r="F4" s="372">
        <v>2324389.0</v>
      </c>
      <c r="G4" s="329"/>
      <c r="H4" s="329"/>
      <c r="I4" s="6">
        <f>SUM(C4:F4)</f>
        <v>3.7594017980000004E7</v>
      </c>
    </row>
    <row r="5" spans="8:8">
      <c r="A5" s="3" t="s">
        <v>11</v>
      </c>
      <c r="B5" s="4" t="s">
        <v>8</v>
      </c>
      <c r="C5" s="371">
        <v>1.0</v>
      </c>
      <c r="D5" s="371">
        <v>2.6513734519999996E7</v>
      </c>
      <c r="E5" s="372">
        <v>1549598.0</v>
      </c>
      <c r="F5" s="372">
        <v>2324389.0</v>
      </c>
      <c r="G5" s="329"/>
      <c r="H5" s="329"/>
      <c r="I5" s="6">
        <f t="shared" si="0" ref="I5:I50">SUM(C5:H5)</f>
        <v>3.0387722519999996E7</v>
      </c>
    </row>
    <row r="6" spans="8:8">
      <c r="A6" s="18" t="s">
        <v>426</v>
      </c>
      <c r="B6" s="16" t="s">
        <v>13</v>
      </c>
      <c r="C6" s="371">
        <v>1.9410787339999996E7</v>
      </c>
      <c r="D6" s="371">
        <v>1.3319315379999999E7</v>
      </c>
      <c r="E6" s="372">
        <v>1549598.0</v>
      </c>
      <c r="F6" s="372">
        <v>2324389.0</v>
      </c>
      <c r="G6" s="360"/>
      <c r="H6" s="372">
        <v>2810808.0</v>
      </c>
      <c r="I6" s="6">
        <f t="shared" si="0"/>
        <v>3.941489772E7</v>
      </c>
      <c r="J6" s="71"/>
      <c r="K6" s="71"/>
    </row>
    <row r="7" spans="8:8">
      <c r="A7" s="206" t="s">
        <v>433</v>
      </c>
      <c r="B7" s="16" t="s">
        <v>13</v>
      </c>
      <c r="C7" s="371"/>
      <c r="D7" s="371"/>
      <c r="E7" s="372"/>
      <c r="F7" s="372"/>
      <c r="G7" s="360"/>
      <c r="H7" s="372"/>
      <c r="I7" s="6">
        <f>39414897.72*2</f>
        <v>7.882979544E7</v>
      </c>
      <c r="J7" s="71"/>
      <c r="K7" s="71"/>
    </row>
    <row r="8" spans="8:8">
      <c r="A8" s="3" t="s">
        <v>15</v>
      </c>
      <c r="B8" s="4" t="s">
        <v>13</v>
      </c>
      <c r="C8" s="371">
        <v>1.9410787339999996E7</v>
      </c>
      <c r="D8" s="371">
        <v>1.3319315379999999E7</v>
      </c>
      <c r="E8" s="372">
        <v>1549598.0</v>
      </c>
      <c r="F8" s="372">
        <v>2324389.0</v>
      </c>
      <c r="G8" s="360"/>
      <c r="H8" s="372">
        <v>2810808.0</v>
      </c>
      <c r="I8" s="6">
        <f t="shared" si="0"/>
        <v>3.941489772E7</v>
      </c>
      <c r="J8" s="71"/>
      <c r="K8" s="71"/>
    </row>
    <row r="9" spans="8:8">
      <c r="A9" s="3" t="s">
        <v>16</v>
      </c>
      <c r="B9" s="4" t="s">
        <v>13</v>
      </c>
      <c r="C9" s="371">
        <v>1.9410787339999996E7</v>
      </c>
      <c r="D9" s="371">
        <v>1.3319315379999999E7</v>
      </c>
      <c r="E9" s="372">
        <v>1549598.0</v>
      </c>
      <c r="F9" s="372">
        <v>2324389.0</v>
      </c>
      <c r="G9" s="360"/>
      <c r="H9" s="372">
        <v>2810808.0</v>
      </c>
      <c r="I9" s="6">
        <f t="shared" si="0"/>
        <v>3.941489772E7</v>
      </c>
      <c r="J9" s="71"/>
      <c r="K9" s="71"/>
    </row>
    <row r="10" spans="8:8">
      <c r="A10" s="3" t="s">
        <v>17</v>
      </c>
      <c r="B10" s="4" t="s">
        <v>13</v>
      </c>
      <c r="C10" s="371">
        <v>6.759419912E7</v>
      </c>
      <c r="D10" s="371">
        <v>3.044414842E7</v>
      </c>
      <c r="E10" s="372">
        <v>1549598.0</v>
      </c>
      <c r="F10" s="372">
        <v>2324389.0</v>
      </c>
      <c r="G10" s="360"/>
      <c r="H10" s="372">
        <v>2810808.0</v>
      </c>
      <c r="I10" s="6">
        <f t="shared" si="0"/>
        <v>1.0472314254E8</v>
      </c>
      <c r="J10" s="71"/>
      <c r="K10" s="71"/>
    </row>
    <row r="11" spans="8:8">
      <c r="A11" s="3" t="s">
        <v>18</v>
      </c>
      <c r="B11" s="4" t="s">
        <v>13</v>
      </c>
      <c r="C11" s="371">
        <v>2.301810098E7</v>
      </c>
      <c r="D11" s="371">
        <v>3.044414842E7</v>
      </c>
      <c r="E11" s="372">
        <v>1549598.0</v>
      </c>
      <c r="F11" s="372">
        <v>2324389.0</v>
      </c>
      <c r="G11" s="360"/>
      <c r="H11" s="372">
        <v>2810808.0</v>
      </c>
      <c r="I11" s="6">
        <f t="shared" si="0"/>
        <v>6.0147044400000006E7</v>
      </c>
      <c r="J11" s="71"/>
      <c r="K11" s="71"/>
    </row>
    <row r="12" spans="8:8">
      <c r="A12" s="3" t="s">
        <v>19</v>
      </c>
      <c r="B12" s="4" t="s">
        <v>13</v>
      </c>
      <c r="C12" s="371">
        <v>2.301810098E7</v>
      </c>
      <c r="D12" s="371">
        <v>3.044414842E7</v>
      </c>
      <c r="E12" s="372">
        <v>1549598.0</v>
      </c>
      <c r="F12" s="372">
        <v>2324389.0</v>
      </c>
      <c r="G12" s="360"/>
      <c r="H12" s="372">
        <v>2810808.0</v>
      </c>
      <c r="I12" s="6">
        <f t="shared" si="0"/>
        <v>6.0147044400000006E7</v>
      </c>
      <c r="J12" s="71"/>
      <c r="K12" s="71"/>
    </row>
    <row r="13" spans="8:8">
      <c r="A13" s="3" t="s">
        <v>20</v>
      </c>
      <c r="B13" s="4" t="s">
        <v>13</v>
      </c>
      <c r="C13" s="371">
        <v>2.301810098E7</v>
      </c>
      <c r="D13" s="371">
        <v>3.044414842E7</v>
      </c>
      <c r="E13" s="372">
        <v>1549598.0</v>
      </c>
      <c r="F13" s="372">
        <v>2324389.0</v>
      </c>
      <c r="G13" s="360"/>
      <c r="H13" s="372">
        <v>2810808.0</v>
      </c>
      <c r="I13" s="6">
        <f t="shared" si="0"/>
        <v>6.0147044400000006E7</v>
      </c>
    </row>
    <row r="14" spans="8:8">
      <c r="A14" s="206" t="s">
        <v>21</v>
      </c>
      <c r="B14" s="4" t="s">
        <v>13</v>
      </c>
      <c r="C14" s="371">
        <v>2.301810098E7</v>
      </c>
      <c r="D14" s="371">
        <v>3.044414842E7</v>
      </c>
      <c r="E14" s="372">
        <v>1549598.0</v>
      </c>
      <c r="F14" s="372">
        <v>2324389.0</v>
      </c>
      <c r="G14" s="360"/>
      <c r="H14" s="372">
        <v>2810808.0</v>
      </c>
      <c r="I14" s="6">
        <f>SUM(C14:H14)*2</f>
        <v>1.2029408880000001E8</v>
      </c>
    </row>
    <row r="15" spans="8:8">
      <c r="A15" s="15" t="s">
        <v>22</v>
      </c>
      <c r="B15" s="16" t="s">
        <v>13</v>
      </c>
      <c r="C15" s="371">
        <v>2.301810098E7</v>
      </c>
      <c r="D15" s="371">
        <v>3.044414842E7</v>
      </c>
      <c r="E15" s="372">
        <v>1549598.0</v>
      </c>
      <c r="F15" s="372">
        <v>2324389.0</v>
      </c>
      <c r="G15" s="360"/>
      <c r="H15" s="372">
        <v>2810808.0</v>
      </c>
      <c r="I15" s="6">
        <f t="shared" si="0"/>
        <v>6.0147044400000006E7</v>
      </c>
    </row>
    <row r="16" spans="8:8">
      <c r="A16" s="206" t="s">
        <v>23</v>
      </c>
      <c r="B16" s="16" t="s">
        <v>13</v>
      </c>
      <c r="C16" s="371">
        <v>2.301810098E7</v>
      </c>
      <c r="D16" s="371">
        <v>3.044414842E7</v>
      </c>
      <c r="E16" s="372">
        <v>1549598.0</v>
      </c>
      <c r="F16" s="372">
        <v>2324389.0</v>
      </c>
      <c r="G16" s="360"/>
      <c r="H16" s="372">
        <v>2810808.0</v>
      </c>
      <c r="I16" s="6">
        <f>SUM(C16:H16)*2</f>
        <v>1.2029408880000001E8</v>
      </c>
    </row>
    <row r="17" spans="8:8">
      <c r="A17" s="3" t="s">
        <v>24</v>
      </c>
      <c r="B17" s="16" t="s">
        <v>13</v>
      </c>
      <c r="C17" s="371">
        <v>2.301810098E7</v>
      </c>
      <c r="D17" s="371">
        <v>3.044414842E7</v>
      </c>
      <c r="E17" s="372">
        <v>1549598.0</v>
      </c>
      <c r="F17" s="372">
        <v>2324389.0</v>
      </c>
      <c r="G17" s="360"/>
      <c r="H17" s="372">
        <v>2810808.0</v>
      </c>
      <c r="I17" s="6">
        <f t="shared" si="0"/>
        <v>6.0147044400000006E7</v>
      </c>
    </row>
    <row r="18" spans="8:8">
      <c r="A18" s="3" t="s">
        <v>25</v>
      </c>
      <c r="B18" s="4" t="s">
        <v>13</v>
      </c>
      <c r="C18" s="371">
        <v>2.301810098E7</v>
      </c>
      <c r="D18" s="371">
        <v>3.044414842E7</v>
      </c>
      <c r="E18" s="372">
        <v>1549598.0</v>
      </c>
      <c r="F18" s="372">
        <v>2324389.0</v>
      </c>
      <c r="G18" s="360"/>
      <c r="H18" s="372">
        <v>2810808.0</v>
      </c>
      <c r="I18" s="6">
        <f t="shared" si="0"/>
        <v>6.0147044400000006E7</v>
      </c>
    </row>
    <row r="19" spans="8:8">
      <c r="A19" s="3" t="s">
        <v>26</v>
      </c>
      <c r="B19" s="4" t="s">
        <v>13</v>
      </c>
      <c r="C19" s="371">
        <v>2.301810098E7</v>
      </c>
      <c r="D19" s="371">
        <v>3.044414842E7</v>
      </c>
      <c r="E19" s="372">
        <v>1549598.0</v>
      </c>
      <c r="F19" s="372">
        <v>2324389.0</v>
      </c>
      <c r="G19" s="360"/>
      <c r="H19" s="372">
        <v>2810808.0</v>
      </c>
      <c r="I19" s="6">
        <f t="shared" si="0"/>
        <v>6.0147044400000006E7</v>
      </c>
    </row>
    <row r="20" spans="8:8">
      <c r="A20" s="3" t="s">
        <v>27</v>
      </c>
      <c r="B20" s="4" t="s">
        <v>13</v>
      </c>
      <c r="C20" s="371">
        <v>2.301810098E7</v>
      </c>
      <c r="D20" s="371">
        <v>3.044414842E7</v>
      </c>
      <c r="E20" s="372">
        <v>1549598.0</v>
      </c>
      <c r="F20" s="372">
        <v>2324389.0</v>
      </c>
      <c r="G20" s="360"/>
      <c r="H20" s="372">
        <v>2810808.0</v>
      </c>
      <c r="I20" s="6">
        <f t="shared" si="0"/>
        <v>6.0147044400000006E7</v>
      </c>
    </row>
    <row r="21" spans="8:8">
      <c r="A21" s="3" t="s">
        <v>28</v>
      </c>
      <c r="B21" s="4" t="s">
        <v>13</v>
      </c>
      <c r="C21" s="371">
        <v>2.301810098E7</v>
      </c>
      <c r="D21" s="371">
        <v>3.044414842E7</v>
      </c>
      <c r="E21" s="372">
        <v>1549598.0</v>
      </c>
      <c r="F21" s="372">
        <v>2324389.0</v>
      </c>
      <c r="G21" s="360"/>
      <c r="H21" s="372">
        <v>2810808.0</v>
      </c>
      <c r="I21" s="6">
        <f t="shared" si="0"/>
        <v>6.0147044400000006E7</v>
      </c>
    </row>
    <row r="22" spans="8:8">
      <c r="A22" s="3" t="s">
        <v>29</v>
      </c>
      <c r="B22" s="4" t="s">
        <v>13</v>
      </c>
      <c r="C22" s="371">
        <v>2.301810098E7</v>
      </c>
      <c r="D22" s="371">
        <v>3.044414842E7</v>
      </c>
      <c r="E22" s="372">
        <v>1549598.0</v>
      </c>
      <c r="F22" s="372">
        <v>2324389.0</v>
      </c>
      <c r="G22" s="360"/>
      <c r="H22" s="372">
        <v>2810808.0</v>
      </c>
      <c r="I22" s="6">
        <f t="shared" si="0"/>
        <v>6.0147044400000006E7</v>
      </c>
    </row>
    <row r="23" spans="8:8">
      <c r="A23" s="14" t="s">
        <v>427</v>
      </c>
      <c r="B23" s="4" t="s">
        <v>13</v>
      </c>
      <c r="C23" s="371">
        <v>2.301810098E7</v>
      </c>
      <c r="D23" s="371">
        <v>3.044414842E7</v>
      </c>
      <c r="E23" s="372">
        <v>1549598.0</v>
      </c>
      <c r="F23" s="372">
        <v>2324389.0</v>
      </c>
      <c r="G23" s="360"/>
      <c r="H23" s="372">
        <v>2810808.0</v>
      </c>
      <c r="I23" s="6">
        <f t="shared" si="0"/>
        <v>6.0147044400000006E7</v>
      </c>
    </row>
    <row r="24" spans="8:8">
      <c r="A24" s="3" t="s">
        <v>31</v>
      </c>
      <c r="B24" s="4" t="s">
        <v>13</v>
      </c>
      <c r="C24" s="371">
        <v>2.301810098E7</v>
      </c>
      <c r="D24" s="371">
        <v>3.044414842E7</v>
      </c>
      <c r="E24" s="372">
        <v>1549598.0</v>
      </c>
      <c r="F24" s="372">
        <v>2324389.0</v>
      </c>
      <c r="G24" s="360"/>
      <c r="H24" s="372">
        <v>2810808.0</v>
      </c>
      <c r="I24" s="6">
        <f t="shared" si="0"/>
        <v>6.0147044400000006E7</v>
      </c>
    </row>
    <row r="25" spans="8:8">
      <c r="A25" s="3" t="s">
        <v>32</v>
      </c>
      <c r="B25" s="4" t="s">
        <v>13</v>
      </c>
      <c r="C25" s="371">
        <v>2.301810098E7</v>
      </c>
      <c r="D25" s="371">
        <v>3.044414842E7</v>
      </c>
      <c r="E25" s="372">
        <v>1549598.0</v>
      </c>
      <c r="F25" s="372">
        <v>2324389.0</v>
      </c>
      <c r="G25" s="360"/>
      <c r="H25" s="372">
        <v>2810808.0</v>
      </c>
      <c r="I25" s="6">
        <f t="shared" si="0"/>
        <v>6.0147044400000006E7</v>
      </c>
    </row>
    <row r="26" spans="8:8">
      <c r="A26" s="3" t="s">
        <v>33</v>
      </c>
      <c r="B26" s="4" t="s">
        <v>13</v>
      </c>
      <c r="C26" s="371">
        <v>2.301810098E7</v>
      </c>
      <c r="D26" s="371">
        <v>3.044414842E7</v>
      </c>
      <c r="E26" s="372">
        <v>1549598.0</v>
      </c>
      <c r="F26" s="372">
        <v>2324389.0</v>
      </c>
      <c r="G26" s="360"/>
      <c r="H26" s="372">
        <v>2810808.0</v>
      </c>
      <c r="I26" s="6">
        <f t="shared" si="0"/>
        <v>6.0147044400000006E7</v>
      </c>
    </row>
    <row r="27" spans="8:8">
      <c r="A27" s="3" t="s">
        <v>34</v>
      </c>
      <c r="B27" s="4" t="s">
        <v>13</v>
      </c>
      <c r="C27" s="371">
        <v>1.9410787339999996E7</v>
      </c>
      <c r="D27" s="371">
        <v>1.3319315379999999E7</v>
      </c>
      <c r="E27" s="372">
        <v>1549598.0</v>
      </c>
      <c r="F27" s="372">
        <v>2324389.0</v>
      </c>
      <c r="G27" s="360"/>
      <c r="H27" s="372">
        <v>2810808.0</v>
      </c>
      <c r="I27" s="6">
        <f t="shared" si="0"/>
        <v>3.941489772E7</v>
      </c>
    </row>
    <row r="28" spans="8:8">
      <c r="A28" s="3" t="s">
        <v>35</v>
      </c>
      <c r="B28" s="4" t="s">
        <v>13</v>
      </c>
      <c r="C28" s="371">
        <v>1.9410787339999996E7</v>
      </c>
      <c r="D28" s="371">
        <v>1.3319315379999999E7</v>
      </c>
      <c r="E28" s="372">
        <v>1549598.0</v>
      </c>
      <c r="F28" s="372">
        <v>2324389.0</v>
      </c>
      <c r="G28" s="360"/>
      <c r="H28" s="372">
        <v>2810808.0</v>
      </c>
      <c r="I28" s="6">
        <f t="shared" si="0"/>
        <v>3.941489772E7</v>
      </c>
    </row>
    <row r="29" spans="8:8">
      <c r="A29" s="3" t="s">
        <v>36</v>
      </c>
      <c r="B29" s="4" t="s">
        <v>13</v>
      </c>
      <c r="C29" s="371">
        <v>1.9410787339999996E7</v>
      </c>
      <c r="D29" s="371">
        <v>1.3319315379999999E7</v>
      </c>
      <c r="E29" s="372">
        <v>1549598.0</v>
      </c>
      <c r="F29" s="372">
        <v>2324389.0</v>
      </c>
      <c r="G29" s="360"/>
      <c r="H29" s="372">
        <v>2810808.0</v>
      </c>
      <c r="I29" s="6">
        <f t="shared" si="0"/>
        <v>3.941489772E7</v>
      </c>
    </row>
    <row r="30" spans="8:8">
      <c r="A30" s="14" t="s">
        <v>428</v>
      </c>
      <c r="B30" s="4" t="s">
        <v>13</v>
      </c>
      <c r="C30" s="371">
        <v>1.9410787339999996E7</v>
      </c>
      <c r="D30" s="371">
        <v>1.3319315379999999E7</v>
      </c>
      <c r="E30" s="372">
        <v>1549598.0</v>
      </c>
      <c r="F30" s="372">
        <v>2324389.0</v>
      </c>
      <c r="G30" s="360"/>
      <c r="H30" s="372">
        <v>2810808.0</v>
      </c>
      <c r="I30" s="6">
        <f t="shared" si="0"/>
        <v>3.941489772E7</v>
      </c>
    </row>
    <row r="31" spans="8:8">
      <c r="A31" s="3" t="s">
        <v>38</v>
      </c>
      <c r="B31" s="4" t="s">
        <v>13</v>
      </c>
      <c r="C31" s="371">
        <v>1.9410787339999996E7</v>
      </c>
      <c r="D31" s="371">
        <v>1.3319315379999999E7</v>
      </c>
      <c r="E31" s="372">
        <v>1549598.0</v>
      </c>
      <c r="F31" s="372">
        <v>2324389.0</v>
      </c>
      <c r="G31" s="360"/>
      <c r="H31" s="372">
        <v>2810808.0</v>
      </c>
      <c r="I31" s="6">
        <f t="shared" si="0"/>
        <v>3.941489772E7</v>
      </c>
    </row>
    <row r="32" spans="8:8">
      <c r="A32" s="15" t="s">
        <v>39</v>
      </c>
      <c r="B32" s="4" t="s">
        <v>13</v>
      </c>
      <c r="C32" s="371">
        <v>1.9410787339999996E7</v>
      </c>
      <c r="D32" s="371">
        <v>1.3319315379999999E7</v>
      </c>
      <c r="E32" s="372">
        <v>1549598.0</v>
      </c>
      <c r="F32" s="372">
        <v>2324389.0</v>
      </c>
      <c r="G32" s="360"/>
      <c r="H32" s="372">
        <v>2810808.0</v>
      </c>
      <c r="I32" s="6">
        <f t="shared" si="0"/>
        <v>3.941489772E7</v>
      </c>
    </row>
    <row r="33" spans="8:8" s="49" ht="15.0" customFormat="1">
      <c r="A33" s="3" t="s">
        <v>40</v>
      </c>
      <c r="B33" s="16" t="s">
        <v>13</v>
      </c>
      <c r="C33" s="371">
        <v>1.9410787339999996E7</v>
      </c>
      <c r="D33" s="371">
        <v>1.3319315379999999E7</v>
      </c>
      <c r="E33" s="372">
        <v>1549598.0</v>
      </c>
      <c r="F33" s="372">
        <v>2324389.0</v>
      </c>
      <c r="G33" s="360"/>
      <c r="H33" s="372">
        <v>2810808.0</v>
      </c>
      <c r="I33" s="6">
        <f t="shared" si="0"/>
        <v>3.941489772E7</v>
      </c>
    </row>
    <row r="34" spans="8:8">
      <c r="A34" s="15" t="s">
        <v>41</v>
      </c>
      <c r="B34" s="16" t="s">
        <v>13</v>
      </c>
      <c r="C34" s="371">
        <v>1.9410787339999996E7</v>
      </c>
      <c r="D34" s="371">
        <v>1.3319315379999999E7</v>
      </c>
      <c r="E34" s="372">
        <v>1549598.0</v>
      </c>
      <c r="F34" s="372">
        <v>2324389.0</v>
      </c>
      <c r="G34" s="360"/>
      <c r="H34" s="372">
        <v>2810808.0</v>
      </c>
      <c r="I34" s="6">
        <f t="shared" si="0"/>
        <v>3.941489772E7</v>
      </c>
    </row>
    <row r="35" spans="8:8" s="49" ht="15.0" customFormat="1">
      <c r="A35" s="14" t="s">
        <v>429</v>
      </c>
      <c r="B35" s="16" t="s">
        <v>13</v>
      </c>
      <c r="C35" s="371">
        <v>1.9410787339999996E7</v>
      </c>
      <c r="D35" s="371">
        <v>1.3319315379999999E7</v>
      </c>
      <c r="E35" s="372">
        <v>1549598.0</v>
      </c>
      <c r="F35" s="372">
        <v>2324389.0</v>
      </c>
      <c r="G35" s="360"/>
      <c r="H35" s="372">
        <v>2810808.0</v>
      </c>
      <c r="I35" s="6">
        <f t="shared" si="0"/>
        <v>3.941489772E7</v>
      </c>
    </row>
    <row r="36" spans="8:8">
      <c r="A36" s="3" t="s">
        <v>43</v>
      </c>
      <c r="B36" s="4" t="s">
        <v>13</v>
      </c>
      <c r="C36" s="371">
        <v>1.9410787339999996E7</v>
      </c>
      <c r="D36" s="371">
        <v>1.3319315379999999E7</v>
      </c>
      <c r="E36" s="372">
        <v>1549598.0</v>
      </c>
      <c r="F36" s="372">
        <v>2324389.0</v>
      </c>
      <c r="G36" s="360"/>
      <c r="H36" s="372">
        <v>2810808.0</v>
      </c>
      <c r="I36" s="6">
        <f t="shared" si="0"/>
        <v>3.941489772E7</v>
      </c>
    </row>
    <row r="37" spans="8:8">
      <c r="A37" s="14" t="s">
        <v>430</v>
      </c>
      <c r="B37" s="4" t="s">
        <v>13</v>
      </c>
      <c r="C37" s="371">
        <v>1.9410787339999996E7</v>
      </c>
      <c r="D37" s="371">
        <v>1.3319315379999999E7</v>
      </c>
      <c r="E37" s="372">
        <v>1549598.0</v>
      </c>
      <c r="F37" s="372">
        <v>2324389.0</v>
      </c>
      <c r="G37" s="360"/>
      <c r="H37" s="372">
        <v>2810808.0</v>
      </c>
      <c r="I37" s="6">
        <f t="shared" si="0"/>
        <v>3.941489772E7</v>
      </c>
    </row>
    <row r="38" spans="8:8">
      <c r="A38" s="3" t="s">
        <v>45</v>
      </c>
      <c r="B38" s="4" t="s">
        <v>13</v>
      </c>
      <c r="C38" s="371">
        <v>4.3888989760000005E7</v>
      </c>
      <c r="D38" s="371">
        <v>3.1712652720000003E7</v>
      </c>
      <c r="E38" s="372">
        <v>1549598.0</v>
      </c>
      <c r="F38" s="372">
        <v>2324389.0</v>
      </c>
      <c r="G38" s="360"/>
      <c r="H38" s="372">
        <v>2810808.0</v>
      </c>
      <c r="I38" s="6">
        <f t="shared" si="0"/>
        <v>8.228643748E7</v>
      </c>
    </row>
    <row r="39" spans="8:8">
      <c r="A39" s="3" t="s">
        <v>46</v>
      </c>
      <c r="B39" s="4" t="s">
        <v>13</v>
      </c>
      <c r="C39" s="371">
        <v>4.3888989760000005E7</v>
      </c>
      <c r="D39" s="371">
        <v>3.1712652720000003E7</v>
      </c>
      <c r="E39" s="372">
        <v>1549598.0</v>
      </c>
      <c r="F39" s="372">
        <v>2324389.0</v>
      </c>
      <c r="G39" s="360"/>
      <c r="H39" s="372">
        <v>2810808.0</v>
      </c>
      <c r="I39" s="6">
        <f t="shared" si="0"/>
        <v>8.228643748E7</v>
      </c>
    </row>
    <row r="40" spans="8:8">
      <c r="A40" s="3" t="s">
        <v>47</v>
      </c>
      <c r="B40" s="4" t="s">
        <v>13</v>
      </c>
      <c r="C40" s="371">
        <v>6.175378384E7</v>
      </c>
      <c r="D40" s="371">
        <v>3.1712652720000003E7</v>
      </c>
      <c r="E40" s="372">
        <v>1549598.0</v>
      </c>
      <c r="F40" s="372">
        <v>2324389.0</v>
      </c>
      <c r="G40" s="360"/>
      <c r="H40" s="372">
        <v>2810808.0</v>
      </c>
      <c r="I40" s="6">
        <f t="shared" si="0"/>
        <v>1.0015123156E8</v>
      </c>
    </row>
    <row r="41" spans="8:8">
      <c r="A41" s="3" t="s">
        <v>48</v>
      </c>
      <c r="B41" s="4" t="s">
        <v>13</v>
      </c>
      <c r="C41" s="371">
        <v>1.9410787339999996E7</v>
      </c>
      <c r="D41" s="371">
        <v>3.1712652720000003E7</v>
      </c>
      <c r="E41" s="372">
        <v>1549598.0</v>
      </c>
      <c r="F41" s="372">
        <v>2324389.0</v>
      </c>
      <c r="G41" s="360"/>
      <c r="H41" s="372">
        <v>2810808.0</v>
      </c>
      <c r="I41" s="6">
        <f t="shared" si="0"/>
        <v>5.780823506E7</v>
      </c>
    </row>
    <row r="42" spans="8:8">
      <c r="A42" s="3" t="s">
        <v>49</v>
      </c>
      <c r="B42" s="4" t="s">
        <v>13</v>
      </c>
      <c r="C42" s="371">
        <v>1.9410787339999996E7</v>
      </c>
      <c r="D42" s="371">
        <v>1.3319315379999999E7</v>
      </c>
      <c r="E42" s="372">
        <v>1549598.0</v>
      </c>
      <c r="F42" s="372">
        <v>2324389.0</v>
      </c>
      <c r="G42" s="360"/>
      <c r="H42" s="372">
        <v>2810808.0</v>
      </c>
      <c r="I42" s="6">
        <f t="shared" si="0"/>
        <v>3.941489772E7</v>
      </c>
    </row>
    <row r="43" spans="8:8">
      <c r="A43" s="18" t="s">
        <v>431</v>
      </c>
      <c r="B43" s="4" t="s">
        <v>13</v>
      </c>
      <c r="C43" s="371">
        <v>1.9410787339999996E7</v>
      </c>
      <c r="D43" s="371">
        <v>1.3319315379999999E7</v>
      </c>
      <c r="E43" s="372">
        <v>1549598.0</v>
      </c>
      <c r="F43" s="372">
        <v>2324389.0</v>
      </c>
      <c r="G43" s="360"/>
      <c r="H43" s="372">
        <v>2810808.0</v>
      </c>
      <c r="I43" s="6">
        <f t="shared" si="0"/>
        <v>3.941489772E7</v>
      </c>
    </row>
    <row r="44" spans="8:8" s="49" ht="15.0" customFormat="1">
      <c r="A44" s="3" t="s">
        <v>51</v>
      </c>
      <c r="B44" s="16" t="s">
        <v>13</v>
      </c>
      <c r="C44" s="371">
        <v>1.9410787339999996E7</v>
      </c>
      <c r="D44" s="371">
        <v>1.3319315379999999E7</v>
      </c>
      <c r="E44" s="372">
        <v>1549598.0</v>
      </c>
      <c r="F44" s="372">
        <v>2324389.0</v>
      </c>
      <c r="G44" s="360"/>
      <c r="H44" s="372">
        <v>2810808.0</v>
      </c>
      <c r="I44" s="6">
        <f t="shared" si="0"/>
        <v>3.941489772E7</v>
      </c>
    </row>
    <row r="45" spans="8:8">
      <c r="A45" s="3" t="s">
        <v>52</v>
      </c>
      <c r="B45" s="4" t="s">
        <v>13</v>
      </c>
      <c r="C45" s="371">
        <v>1.9410787339999996E7</v>
      </c>
      <c r="D45" s="371">
        <v>1.3319315379999999E7</v>
      </c>
      <c r="E45" s="372">
        <v>1549598.0</v>
      </c>
      <c r="F45" s="372">
        <v>2324389.0</v>
      </c>
      <c r="G45" s="360"/>
      <c r="H45" s="372">
        <v>2810808.0</v>
      </c>
      <c r="I45" s="6">
        <f t="shared" si="0"/>
        <v>3.941489772E7</v>
      </c>
    </row>
    <row r="46" spans="8:8">
      <c r="A46" s="3" t="s">
        <v>53</v>
      </c>
      <c r="B46" s="4" t="s">
        <v>13</v>
      </c>
      <c r="C46" s="371">
        <v>1.9410787339999996E7</v>
      </c>
      <c r="D46" s="371">
        <v>1.3319315379999999E7</v>
      </c>
      <c r="E46" s="372">
        <v>1549598.0</v>
      </c>
      <c r="F46" s="372">
        <v>2324389.0</v>
      </c>
      <c r="G46" s="360"/>
      <c r="H46" s="372">
        <v>2810808.0</v>
      </c>
      <c r="I46" s="6">
        <f t="shared" si="0"/>
        <v>3.941489772E7</v>
      </c>
    </row>
    <row r="47" spans="8:8">
      <c r="A47" s="3" t="s">
        <v>54</v>
      </c>
      <c r="B47" s="4" t="s">
        <v>13</v>
      </c>
      <c r="C47" s="371">
        <v>1.9410787339999996E7</v>
      </c>
      <c r="D47" s="371">
        <v>1.3319315379999999E7</v>
      </c>
      <c r="E47" s="372">
        <v>1549598.0</v>
      </c>
      <c r="F47" s="372">
        <v>2324389.0</v>
      </c>
      <c r="G47" s="360"/>
      <c r="H47" s="372">
        <v>2810808.0</v>
      </c>
      <c r="I47" s="6">
        <f t="shared" si="0"/>
        <v>3.941489772E7</v>
      </c>
    </row>
    <row r="48" spans="8:8">
      <c r="A48" s="15" t="s">
        <v>55</v>
      </c>
      <c r="B48" s="4" t="s">
        <v>13</v>
      </c>
      <c r="C48" s="371">
        <v>1.9410787339999996E7</v>
      </c>
      <c r="D48" s="371">
        <v>1.3319315379999999E7</v>
      </c>
      <c r="E48" s="372">
        <v>1549598.0</v>
      </c>
      <c r="F48" s="372">
        <v>2324389.0</v>
      </c>
      <c r="G48" s="360"/>
      <c r="H48" s="372">
        <v>2810808.0</v>
      </c>
      <c r="I48" s="6">
        <f t="shared" si="0"/>
        <v>3.941489772E7</v>
      </c>
    </row>
    <row r="49" spans="8:8" s="49" ht="15.0" customFormat="1">
      <c r="A49" s="3" t="s">
        <v>56</v>
      </c>
      <c r="B49" s="16" t="s">
        <v>13</v>
      </c>
      <c r="C49" s="371">
        <v>1.9410787339999996E7</v>
      </c>
      <c r="D49" s="371">
        <v>3.0779928900000002E7</v>
      </c>
      <c r="E49" s="372">
        <v>1549598.0</v>
      </c>
      <c r="F49" s="372">
        <v>2324389.0</v>
      </c>
      <c r="G49" s="360"/>
      <c r="H49" s="372">
        <v>2810808.0</v>
      </c>
      <c r="I49" s="17">
        <f t="shared" si="0"/>
        <v>5.6875511239999995E7</v>
      </c>
    </row>
    <row r="50" spans="8:8">
      <c r="A50" s="3" t="s">
        <v>57</v>
      </c>
      <c r="B50" s="4" t="s">
        <v>60</v>
      </c>
      <c r="C50" s="371">
        <v>1.0</v>
      </c>
      <c r="D50" s="371">
        <v>4.5941006019999996E7</v>
      </c>
      <c r="E50" s="372">
        <v>1549598.0</v>
      </c>
      <c r="F50" s="372">
        <v>2324389.0</v>
      </c>
      <c r="G50" s="360"/>
      <c r="H50" s="360"/>
      <c r="I50" s="6">
        <f t="shared" si="0"/>
        <v>4.9814994019999996E7</v>
      </c>
    </row>
    <row r="51" spans="8:8">
      <c r="A51" s="3" t="s">
        <v>58</v>
      </c>
      <c r="B51" s="4" t="s">
        <v>60</v>
      </c>
      <c r="C51" s="371">
        <v>1.0</v>
      </c>
      <c r="D51" s="371">
        <v>4.5941006019999996E7</v>
      </c>
      <c r="E51" s="372">
        <v>1549598.0</v>
      </c>
      <c r="F51" s="372">
        <v>2324389.0</v>
      </c>
      <c r="G51" s="360"/>
      <c r="H51" s="360"/>
      <c r="I51" s="6">
        <f>SUM(C51:F51)</f>
        <v>4.9814994019999996E7</v>
      </c>
    </row>
    <row r="52" spans="8:8">
      <c r="A52" s="3" t="s">
        <v>59</v>
      </c>
      <c r="B52" s="4" t="s">
        <v>60</v>
      </c>
      <c r="C52" s="371">
        <v>1.0</v>
      </c>
      <c r="D52" s="371">
        <v>4.5941006019999996E7</v>
      </c>
      <c r="E52" s="372">
        <v>1549598.0</v>
      </c>
      <c r="F52" s="372">
        <v>2324389.0</v>
      </c>
      <c r="G52" s="360"/>
      <c r="H52" s="360"/>
      <c r="I52" s="6">
        <f>SUM(C52:F52)</f>
        <v>4.9814994019999996E7</v>
      </c>
    </row>
    <row r="53" spans="8:8">
      <c r="A53" s="3" t="s">
        <v>61</v>
      </c>
      <c r="B53" s="4" t="s">
        <v>60</v>
      </c>
      <c r="C53" s="371">
        <v>3.068605904E7</v>
      </c>
      <c r="D53" s="371">
        <v>3.278784418E7</v>
      </c>
      <c r="E53" s="372">
        <v>1549598.0</v>
      </c>
      <c r="F53" s="372">
        <v>2324389.0</v>
      </c>
      <c r="G53" s="360"/>
      <c r="H53" s="360"/>
      <c r="I53" s="6">
        <f>SUM(C53:F53)</f>
        <v>6.734789022E7</v>
      </c>
    </row>
    <row r="54" spans="8:8">
      <c r="A54" s="3" t="s">
        <v>62</v>
      </c>
      <c r="B54" s="4" t="s">
        <v>60</v>
      </c>
      <c r="C54" s="371">
        <v>1.0</v>
      </c>
      <c r="D54" s="371">
        <v>3.278784418E7</v>
      </c>
      <c r="E54" s="372">
        <v>1549598.0</v>
      </c>
      <c r="F54" s="372">
        <v>2324389.0</v>
      </c>
      <c r="G54" s="360"/>
      <c r="H54" s="360"/>
      <c r="I54" s="6">
        <f>SUM(C54:F54)</f>
        <v>3.666183218E7</v>
      </c>
    </row>
    <row r="55" spans="8:8">
      <c r="A55" s="3" t="s">
        <v>63</v>
      </c>
      <c r="B55" s="4" t="s">
        <v>60</v>
      </c>
      <c r="C55" s="371">
        <v>1.0</v>
      </c>
      <c r="D55" s="371">
        <v>1.659268884E7</v>
      </c>
      <c r="E55" s="372">
        <v>1549598.0</v>
      </c>
      <c r="F55" s="372">
        <v>2324389.0</v>
      </c>
      <c r="G55" s="360"/>
      <c r="H55" s="360"/>
      <c r="I55" s="6">
        <f>SUM(C55:F55)</f>
        <v>2.046667684E7</v>
      </c>
    </row>
    <row r="56" spans="8:8">
      <c r="A56" s="3" t="s">
        <v>64</v>
      </c>
      <c r="B56" s="4" t="s">
        <v>65</v>
      </c>
      <c r="C56" s="371">
        <v>1.0</v>
      </c>
      <c r="D56" s="371">
        <v>1.628541642E7</v>
      </c>
      <c r="E56" s="372">
        <v>1549598.0</v>
      </c>
      <c r="F56" s="372">
        <v>2324389.0</v>
      </c>
      <c r="G56" s="372">
        <v>6068790.0</v>
      </c>
      <c r="H56" s="360"/>
      <c r="I56" s="6">
        <f t="shared" si="1" ref="I56:I61">SUM(C56:H56)</f>
        <v>2.622819442E7</v>
      </c>
    </row>
    <row r="57" spans="8:8" ht="30.0">
      <c r="A57" s="373" t="s">
        <v>432</v>
      </c>
      <c r="B57" s="374" t="s">
        <v>65</v>
      </c>
      <c r="C57" s="375">
        <v>1.0</v>
      </c>
      <c r="D57" s="375">
        <v>1.733014192E7</v>
      </c>
      <c r="E57" s="376">
        <v>1549598.0</v>
      </c>
      <c r="F57" s="376">
        <v>2324389.0</v>
      </c>
      <c r="G57" s="376">
        <v>6068790.0</v>
      </c>
      <c r="H57" s="376"/>
      <c r="I57" s="377">
        <f t="shared" si="1"/>
        <v>2.727291992E7</v>
      </c>
    </row>
    <row r="58" spans="8:8">
      <c r="A58" s="3" t="s">
        <v>67</v>
      </c>
      <c r="B58" s="4" t="s">
        <v>65</v>
      </c>
      <c r="C58" s="371">
        <v>1.0</v>
      </c>
      <c r="D58" s="371">
        <v>1.628541642E7</v>
      </c>
      <c r="E58" s="372">
        <v>1549598.0</v>
      </c>
      <c r="F58" s="372">
        <v>2324389.0</v>
      </c>
      <c r="G58" s="372">
        <v>6068790.0</v>
      </c>
      <c r="H58" s="360"/>
      <c r="I58" s="6">
        <f t="shared" si="1"/>
        <v>2.622819442E7</v>
      </c>
    </row>
    <row r="59" spans="8:8">
      <c r="A59" s="3" t="s">
        <v>68</v>
      </c>
      <c r="B59" s="4" t="s">
        <v>65</v>
      </c>
      <c r="C59" s="371">
        <v>1.0</v>
      </c>
      <c r="D59" s="371">
        <v>1.733014192E7</v>
      </c>
      <c r="E59" s="372">
        <v>1549598.0</v>
      </c>
      <c r="F59" s="372">
        <v>2324389.0</v>
      </c>
      <c r="G59" s="372">
        <v>6068790.0</v>
      </c>
      <c r="H59" s="360"/>
      <c r="I59" s="6">
        <f t="shared" si="1"/>
        <v>2.727291992E7</v>
      </c>
    </row>
    <row r="60" spans="8:8">
      <c r="A60" s="3" t="s">
        <v>69</v>
      </c>
      <c r="B60" s="4" t="s">
        <v>65</v>
      </c>
      <c r="C60" s="371">
        <v>1.0</v>
      </c>
      <c r="D60" s="371">
        <v>2.1140313740000002E7</v>
      </c>
      <c r="E60" s="372">
        <v>1549598.0</v>
      </c>
      <c r="F60" s="372">
        <v>2324389.0</v>
      </c>
      <c r="G60" s="372">
        <v>6068790.0</v>
      </c>
      <c r="H60" s="360"/>
      <c r="I60" s="6">
        <f t="shared" si="1"/>
        <v>3.1083091740000002E7</v>
      </c>
    </row>
    <row r="61" spans="8:8">
      <c r="A61" s="3" t="s">
        <v>70</v>
      </c>
      <c r="B61" s="4" t="s">
        <v>65</v>
      </c>
      <c r="C61" s="371">
        <v>1.0</v>
      </c>
      <c r="D61" s="371">
        <v>1.628541642E7</v>
      </c>
      <c r="E61" s="372">
        <v>1549598.0</v>
      </c>
      <c r="F61" s="372">
        <v>2324389.0</v>
      </c>
      <c r="G61" s="372">
        <v>6068790.0</v>
      </c>
      <c r="H61" s="360"/>
      <c r="I61" s="6">
        <f t="shared" si="1"/>
        <v>2.622819442E7</v>
      </c>
    </row>
    <row r="62" spans="8:8">
      <c r="A62" s="15" t="s">
        <v>71</v>
      </c>
      <c r="B62" s="16" t="s">
        <v>65</v>
      </c>
      <c r="C62" s="371">
        <v>1.0</v>
      </c>
      <c r="D62" s="371">
        <v>1.733014192E7</v>
      </c>
      <c r="E62" s="372">
        <v>1549598.0</v>
      </c>
      <c r="F62" s="372">
        <v>2324389.0</v>
      </c>
      <c r="G62" s="372">
        <v>6068790.0</v>
      </c>
      <c r="H62" s="360"/>
      <c r="I62" s="6">
        <f t="shared" si="2" ref="I62:I74">SUM(C62:G62)</f>
        <v>2.727291992E7</v>
      </c>
    </row>
    <row r="63" spans="8:8">
      <c r="A63" s="15" t="s">
        <v>72</v>
      </c>
      <c r="B63" s="16" t="s">
        <v>65</v>
      </c>
      <c r="C63" s="371">
        <v>1.0</v>
      </c>
      <c r="D63" s="371">
        <v>1.917377462E7</v>
      </c>
      <c r="E63" s="372">
        <v>1549598.0</v>
      </c>
      <c r="F63" s="372">
        <v>2324389.0</v>
      </c>
      <c r="G63" s="372">
        <v>6068790.0</v>
      </c>
      <c r="H63" s="360"/>
      <c r="I63" s="6">
        <f t="shared" si="2"/>
        <v>2.911655262E7</v>
      </c>
    </row>
    <row r="64" spans="8:8">
      <c r="A64" s="3" t="s">
        <v>73</v>
      </c>
      <c r="B64" s="4" t="s">
        <v>65</v>
      </c>
      <c r="C64" s="371">
        <v>1.0</v>
      </c>
      <c r="D64" s="371">
        <v>1.628541642E7</v>
      </c>
      <c r="E64" s="372">
        <v>1549598.0</v>
      </c>
      <c r="F64" s="372">
        <v>2324389.0</v>
      </c>
      <c r="G64" s="372">
        <v>6068790.0</v>
      </c>
      <c r="H64" s="360"/>
      <c r="I64" s="6">
        <f t="shared" si="2"/>
        <v>2.622819442E7</v>
      </c>
    </row>
    <row r="65" spans="8:8">
      <c r="A65" s="3" t="s">
        <v>74</v>
      </c>
      <c r="B65" s="4" t="s">
        <v>65</v>
      </c>
      <c r="C65" s="371">
        <v>1.0</v>
      </c>
      <c r="D65" s="371">
        <v>1.733014192E7</v>
      </c>
      <c r="E65" s="372">
        <v>1549598.0</v>
      </c>
      <c r="F65" s="372">
        <v>2324389.0</v>
      </c>
      <c r="G65" s="372">
        <v>6068790.0</v>
      </c>
      <c r="H65" s="360"/>
      <c r="I65" s="6">
        <f t="shared" si="2"/>
        <v>2.727291992E7</v>
      </c>
    </row>
    <row r="66" spans="8:8">
      <c r="A66" s="3" t="s">
        <v>75</v>
      </c>
      <c r="B66" s="4" t="s">
        <v>65</v>
      </c>
      <c r="C66" s="371">
        <v>1.0</v>
      </c>
      <c r="D66" s="371">
        <v>2.673266596E7</v>
      </c>
      <c r="E66" s="372">
        <v>1549598.0</v>
      </c>
      <c r="F66" s="372">
        <v>2324389.0</v>
      </c>
      <c r="G66" s="372">
        <v>6068790.0</v>
      </c>
      <c r="H66" s="360"/>
      <c r="I66" s="6">
        <f t="shared" si="2"/>
        <v>3.667544396E7</v>
      </c>
    </row>
    <row r="67" spans="8:8">
      <c r="A67" s="3" t="s">
        <v>76</v>
      </c>
      <c r="B67" s="4" t="s">
        <v>65</v>
      </c>
      <c r="C67" s="371">
        <v>1.0</v>
      </c>
      <c r="D67" s="371">
        <v>1.628541642E7</v>
      </c>
      <c r="E67" s="372">
        <v>1549598.0</v>
      </c>
      <c r="F67" s="372">
        <v>2324389.0</v>
      </c>
      <c r="G67" s="372">
        <v>6068790.0</v>
      </c>
      <c r="H67" s="360"/>
      <c r="I67" s="6">
        <f t="shared" si="2"/>
        <v>2.622819442E7</v>
      </c>
    </row>
    <row r="68" spans="8:8">
      <c r="A68" s="3" t="s">
        <v>77</v>
      </c>
      <c r="B68" s="4" t="s">
        <v>65</v>
      </c>
      <c r="C68" s="371">
        <v>1.0</v>
      </c>
      <c r="D68" s="371">
        <v>1.733014192E7</v>
      </c>
      <c r="E68" s="372">
        <v>1549598.0</v>
      </c>
      <c r="F68" s="372">
        <v>2324389.0</v>
      </c>
      <c r="G68" s="372">
        <v>6068790.0</v>
      </c>
      <c r="H68" s="360"/>
      <c r="I68" s="6">
        <f t="shared" si="2"/>
        <v>2.727291992E7</v>
      </c>
    </row>
    <row r="69" spans="8:8">
      <c r="A69" s="3" t="s">
        <v>78</v>
      </c>
      <c r="B69" s="4" t="s">
        <v>65</v>
      </c>
      <c r="C69" s="371">
        <v>1.0</v>
      </c>
      <c r="D69" s="371">
        <v>1.917377462E7</v>
      </c>
      <c r="E69" s="372">
        <v>1549598.0</v>
      </c>
      <c r="F69" s="372">
        <v>2324389.0</v>
      </c>
      <c r="G69" s="372">
        <v>6068790.0</v>
      </c>
      <c r="H69" s="360"/>
      <c r="I69" s="6">
        <f t="shared" si="2"/>
        <v>2.911655262E7</v>
      </c>
    </row>
    <row r="70" spans="8:8">
      <c r="A70" s="3" t="s">
        <v>79</v>
      </c>
      <c r="B70" s="4" t="s">
        <v>65</v>
      </c>
      <c r="C70" s="371">
        <v>1.0</v>
      </c>
      <c r="D70" s="371">
        <v>2.1140313740000002E7</v>
      </c>
      <c r="E70" s="372">
        <v>1549598.0</v>
      </c>
      <c r="F70" s="372">
        <v>2324389.0</v>
      </c>
      <c r="G70" s="372">
        <v>6068790.0</v>
      </c>
      <c r="H70" s="360"/>
      <c r="I70" s="6">
        <f t="shared" si="2"/>
        <v>3.1083091740000002E7</v>
      </c>
    </row>
    <row r="71" spans="8:8">
      <c r="A71" s="3" t="s">
        <v>80</v>
      </c>
      <c r="B71" s="4" t="s">
        <v>65</v>
      </c>
      <c r="C71" s="371">
        <v>1.0</v>
      </c>
      <c r="D71" s="371">
        <v>1.628541642E7</v>
      </c>
      <c r="E71" s="372">
        <v>1549598.0</v>
      </c>
      <c r="F71" s="372">
        <v>2324389.0</v>
      </c>
      <c r="G71" s="372">
        <v>6068790.0</v>
      </c>
      <c r="H71" s="360"/>
      <c r="I71" s="6">
        <f t="shared" si="2"/>
        <v>2.622819442E7</v>
      </c>
    </row>
    <row r="72" spans="8:8">
      <c r="A72" s="3" t="s">
        <v>81</v>
      </c>
      <c r="B72" s="4" t="s">
        <v>65</v>
      </c>
      <c r="C72" s="371">
        <v>1.0</v>
      </c>
      <c r="D72" s="371">
        <v>1.733014192E7</v>
      </c>
      <c r="E72" s="372">
        <v>1549598.0</v>
      </c>
      <c r="F72" s="372">
        <v>2324389.0</v>
      </c>
      <c r="G72" s="372">
        <v>6068790.0</v>
      </c>
      <c r="H72" s="360"/>
      <c r="I72" s="6">
        <f t="shared" si="2"/>
        <v>2.727291992E7</v>
      </c>
    </row>
    <row r="73" spans="8:8">
      <c r="A73" s="3" t="s">
        <v>82</v>
      </c>
      <c r="B73" s="4" t="s">
        <v>65</v>
      </c>
      <c r="C73" s="371">
        <v>1.0</v>
      </c>
      <c r="D73" s="371">
        <v>3.257083284E7</v>
      </c>
      <c r="E73" s="372">
        <v>1549598.0</v>
      </c>
      <c r="F73" s="372">
        <v>2324389.0</v>
      </c>
      <c r="G73" s="372">
        <v>6068790.0</v>
      </c>
      <c r="H73" s="360"/>
      <c r="I73" s="6">
        <f t="shared" si="2"/>
        <v>4.251361084E7</v>
      </c>
    </row>
    <row r="74" spans="8:8">
      <c r="A74" s="3" t="s">
        <v>83</v>
      </c>
      <c r="B74" s="4" t="s">
        <v>65</v>
      </c>
      <c r="C74" s="371">
        <v>1.0</v>
      </c>
      <c r="D74" s="371">
        <v>3.4660282019999996E7</v>
      </c>
      <c r="E74" s="372">
        <v>1549598.0</v>
      </c>
      <c r="F74" s="372">
        <v>2324389.0</v>
      </c>
      <c r="G74" s="372">
        <v>6068790.0</v>
      </c>
      <c r="H74" s="360"/>
      <c r="I74" s="6">
        <f t="shared" si="2"/>
        <v>4.4603060019999996E7</v>
      </c>
    </row>
    <row r="75" spans="8:8">
      <c r="A75" s="3" t="s">
        <v>84</v>
      </c>
      <c r="B75" s="4" t="s">
        <v>65</v>
      </c>
      <c r="C75" s="371">
        <v>1.0</v>
      </c>
      <c r="D75" s="371">
        <v>1.733014192E7</v>
      </c>
      <c r="E75" s="372">
        <v>1549598.0</v>
      </c>
      <c r="F75" s="372">
        <v>2324389.0</v>
      </c>
      <c r="G75" s="372">
        <v>6068790.0</v>
      </c>
      <c r="H75" s="360"/>
      <c r="I75" s="6">
        <f>SUM(C75:H75)</f>
        <v>2.727291992E7</v>
      </c>
    </row>
    <row r="76" spans="8:8">
      <c r="A76" s="3" t="s">
        <v>85</v>
      </c>
      <c r="B76" s="4" t="s">
        <v>65</v>
      </c>
      <c r="C76" s="371">
        <v>1.0</v>
      </c>
      <c r="D76" s="371">
        <v>3.4660282019999996E7</v>
      </c>
      <c r="E76" s="372">
        <v>1549598.0</v>
      </c>
      <c r="F76" s="372">
        <v>2324389.0</v>
      </c>
      <c r="G76" s="372">
        <v>6068790.0</v>
      </c>
      <c r="H76" s="360"/>
      <c r="I76" s="6">
        <f>SUM(C76:H76)</f>
        <v>4.4603060019999996E7</v>
      </c>
    </row>
    <row r="77" spans="8:8">
      <c r="A77" s="15" t="s">
        <v>86</v>
      </c>
      <c r="B77" s="16" t="s">
        <v>65</v>
      </c>
      <c r="C77" s="371">
        <v>1.0</v>
      </c>
      <c r="D77" s="371">
        <v>1.733014192E7</v>
      </c>
      <c r="E77" s="372">
        <v>1549598.0</v>
      </c>
      <c r="F77" s="372">
        <v>2324389.0</v>
      </c>
      <c r="G77" s="372">
        <v>6068790.0</v>
      </c>
      <c r="H77" s="360"/>
      <c r="I77" s="6">
        <f t="shared" si="3" ref="I77:I114">SUM(C77:G77)</f>
        <v>2.727291992E7</v>
      </c>
    </row>
    <row r="78" spans="8:8" s="49" ht="15.0" customFormat="1">
      <c r="A78" s="15" t="s">
        <v>87</v>
      </c>
      <c r="B78" s="16" t="s">
        <v>65</v>
      </c>
      <c r="C78" s="371">
        <v>1.0</v>
      </c>
      <c r="D78" s="371">
        <v>1.917377462E7</v>
      </c>
      <c r="E78" s="372">
        <v>1549598.0</v>
      </c>
      <c r="F78" s="372">
        <v>2324389.0</v>
      </c>
      <c r="G78" s="372">
        <v>6068790.0</v>
      </c>
      <c r="H78" s="360"/>
      <c r="I78" s="17">
        <f t="shared" si="3"/>
        <v>2.911655262E7</v>
      </c>
    </row>
    <row r="79" spans="8:8">
      <c r="A79" s="15" t="s">
        <v>88</v>
      </c>
      <c r="B79" s="16" t="s">
        <v>65</v>
      </c>
      <c r="C79" s="371">
        <v>1.0</v>
      </c>
      <c r="D79" s="371">
        <v>2.1140313740000002E7</v>
      </c>
      <c r="E79" s="372">
        <v>1549598.0</v>
      </c>
      <c r="F79" s="372">
        <v>2324389.0</v>
      </c>
      <c r="G79" s="372">
        <v>6068790.0</v>
      </c>
      <c r="H79" s="360"/>
      <c r="I79" s="6">
        <f t="shared" si="3"/>
        <v>3.1083091740000002E7</v>
      </c>
    </row>
    <row r="80" spans="8:8">
      <c r="A80" s="15" t="s">
        <v>89</v>
      </c>
      <c r="B80" s="16" t="s">
        <v>65</v>
      </c>
      <c r="C80" s="371">
        <v>1.0</v>
      </c>
      <c r="D80" s="371">
        <v>2.3967217819999997E7</v>
      </c>
      <c r="E80" s="372">
        <v>1549598.0</v>
      </c>
      <c r="F80" s="372">
        <v>2324389.0</v>
      </c>
      <c r="G80" s="372">
        <v>6068790.0</v>
      </c>
      <c r="H80" s="360"/>
      <c r="I80" s="6">
        <f t="shared" si="3"/>
        <v>3.390999581999999E7</v>
      </c>
    </row>
    <row r="81" spans="8:8">
      <c r="A81" s="15" t="s">
        <v>90</v>
      </c>
      <c r="B81" s="16" t="s">
        <v>65</v>
      </c>
      <c r="C81" s="371">
        <v>1.0</v>
      </c>
      <c r="D81" s="371">
        <v>2.5749394580000002E7</v>
      </c>
      <c r="E81" s="372">
        <v>1549598.0</v>
      </c>
      <c r="F81" s="372">
        <v>2324389.0</v>
      </c>
      <c r="G81" s="372">
        <v>6068790.0</v>
      </c>
      <c r="H81" s="360"/>
      <c r="I81" s="6">
        <f t="shared" si="3"/>
        <v>3.569217258E7</v>
      </c>
    </row>
    <row r="82" spans="8:8">
      <c r="A82" s="15" t="s">
        <v>91</v>
      </c>
      <c r="B82" s="16" t="s">
        <v>65</v>
      </c>
      <c r="C82" s="371">
        <v>1.0</v>
      </c>
      <c r="D82" s="371">
        <v>2.728575486E7</v>
      </c>
      <c r="E82" s="372">
        <v>1549598.0</v>
      </c>
      <c r="F82" s="372">
        <v>2324389.0</v>
      </c>
      <c r="G82" s="372">
        <v>6068790.0</v>
      </c>
      <c r="H82" s="360"/>
      <c r="I82" s="6">
        <f t="shared" si="3"/>
        <v>3.722853286E7</v>
      </c>
    </row>
    <row r="83" spans="8:8">
      <c r="A83" s="15" t="s">
        <v>92</v>
      </c>
      <c r="B83" s="16" t="s">
        <v>65</v>
      </c>
      <c r="C83" s="371">
        <v>1.0</v>
      </c>
      <c r="D83" s="371">
        <v>1.628541642E7</v>
      </c>
      <c r="E83" s="372">
        <v>1549598.0</v>
      </c>
      <c r="F83" s="372">
        <v>2324389.0</v>
      </c>
      <c r="G83" s="372">
        <v>6068790.0</v>
      </c>
      <c r="H83" s="360"/>
      <c r="I83" s="6">
        <f t="shared" si="3"/>
        <v>2.622819442E7</v>
      </c>
    </row>
    <row r="84" spans="8:8">
      <c r="A84" s="15" t="s">
        <v>93</v>
      </c>
      <c r="B84" s="16" t="s">
        <v>65</v>
      </c>
      <c r="C84" s="371">
        <v>1.0</v>
      </c>
      <c r="D84" s="371">
        <v>1.733014192E7</v>
      </c>
      <c r="E84" s="372">
        <v>1549598.0</v>
      </c>
      <c r="F84" s="372">
        <v>2324389.0</v>
      </c>
      <c r="G84" s="372">
        <v>6068790.0</v>
      </c>
      <c r="H84" s="360"/>
      <c r="I84" s="6">
        <f t="shared" si="3"/>
        <v>2.727291992E7</v>
      </c>
    </row>
    <row r="85" spans="8:8">
      <c r="A85" s="15" t="s">
        <v>94</v>
      </c>
      <c r="B85" s="16" t="s">
        <v>65</v>
      </c>
      <c r="C85" s="371">
        <v>1.0</v>
      </c>
      <c r="D85" s="371">
        <v>2.1140313740000002E7</v>
      </c>
      <c r="E85" s="372">
        <v>1549598.0</v>
      </c>
      <c r="F85" s="372">
        <v>2324389.0</v>
      </c>
      <c r="G85" s="372">
        <v>6068790.0</v>
      </c>
      <c r="H85" s="360"/>
      <c r="I85" s="6">
        <f t="shared" si="3"/>
        <v>3.1083091740000002E7</v>
      </c>
    </row>
    <row r="86" spans="8:8">
      <c r="A86" s="15" t="s">
        <v>95</v>
      </c>
      <c r="B86" s="16" t="s">
        <v>65</v>
      </c>
      <c r="C86" s="371">
        <v>1.0</v>
      </c>
      <c r="D86" s="371">
        <v>1.733014192E7</v>
      </c>
      <c r="E86" s="372">
        <v>1549598.0</v>
      </c>
      <c r="F86" s="372">
        <v>2324389.0</v>
      </c>
      <c r="G86" s="372">
        <v>6068790.0</v>
      </c>
      <c r="H86" s="360"/>
      <c r="I86" s="6">
        <f t="shared" si="3"/>
        <v>2.727291992E7</v>
      </c>
    </row>
    <row r="87" spans="8:8">
      <c r="A87" s="15" t="s">
        <v>96</v>
      </c>
      <c r="B87" s="16" t="s">
        <v>65</v>
      </c>
      <c r="C87" s="371">
        <v>1.0</v>
      </c>
      <c r="D87" s="371">
        <v>2.1140313740000002E7</v>
      </c>
      <c r="E87" s="372">
        <v>1549598.0</v>
      </c>
      <c r="F87" s="372">
        <v>2324389.0</v>
      </c>
      <c r="G87" s="372">
        <v>6068790.0</v>
      </c>
      <c r="H87" s="360"/>
      <c r="I87" s="6">
        <f t="shared" si="3"/>
        <v>3.1083091740000002E7</v>
      </c>
    </row>
    <row r="88" spans="8:8">
      <c r="A88" s="15" t="s">
        <v>97</v>
      </c>
      <c r="B88" s="16" t="s">
        <v>65</v>
      </c>
      <c r="C88" s="371">
        <v>1.0</v>
      </c>
      <c r="D88" s="371">
        <v>1.628541642E7</v>
      </c>
      <c r="E88" s="372">
        <v>1549598.0</v>
      </c>
      <c r="F88" s="372">
        <v>2324389.0</v>
      </c>
      <c r="G88" s="372">
        <v>6068790.0</v>
      </c>
      <c r="H88" s="360"/>
      <c r="I88" s="6">
        <f t="shared" si="3"/>
        <v>2.622819442E7</v>
      </c>
    </row>
    <row r="89" spans="8:8">
      <c r="A89" s="15" t="s">
        <v>98</v>
      </c>
      <c r="B89" s="16" t="s">
        <v>65</v>
      </c>
      <c r="C89" s="371">
        <v>1.0</v>
      </c>
      <c r="D89" s="371">
        <v>1.733014192E7</v>
      </c>
      <c r="E89" s="372">
        <v>1549598.0</v>
      </c>
      <c r="F89" s="372">
        <v>2324389.0</v>
      </c>
      <c r="G89" s="372">
        <v>6068790.0</v>
      </c>
      <c r="H89" s="360"/>
      <c r="I89" s="6">
        <f t="shared" si="3"/>
        <v>2.727291992E7</v>
      </c>
    </row>
    <row r="90" spans="8:8" s="49" ht="15.0" customFormat="1">
      <c r="A90" s="15" t="s">
        <v>99</v>
      </c>
      <c r="B90" s="16" t="s">
        <v>65</v>
      </c>
      <c r="C90" s="371">
        <v>1.0</v>
      </c>
      <c r="D90" s="371">
        <v>2.1140313740000002E7</v>
      </c>
      <c r="E90" s="372">
        <v>1549598.0</v>
      </c>
      <c r="F90" s="372">
        <v>2324389.0</v>
      </c>
      <c r="G90" s="372">
        <v>6068790.0</v>
      </c>
      <c r="H90" s="360"/>
      <c r="I90" s="6">
        <f t="shared" si="3"/>
        <v>3.1083091740000002E7</v>
      </c>
    </row>
    <row r="91" spans="8:8">
      <c r="A91" s="15" t="s">
        <v>100</v>
      </c>
      <c r="B91" s="16" t="s">
        <v>65</v>
      </c>
      <c r="C91" s="371">
        <v>1.0</v>
      </c>
      <c r="D91" s="371">
        <v>2.5749394580000002E7</v>
      </c>
      <c r="E91" s="372">
        <v>1549598.0</v>
      </c>
      <c r="F91" s="372">
        <v>2324389.0</v>
      </c>
      <c r="G91" s="372">
        <v>6068790.0</v>
      </c>
      <c r="H91" s="360"/>
      <c r="I91" s="6">
        <f t="shared" si="3"/>
        <v>3.569217258E7</v>
      </c>
    </row>
    <row r="92" spans="8:8">
      <c r="A92" s="15" t="s">
        <v>101</v>
      </c>
      <c r="B92" s="16" t="s">
        <v>65</v>
      </c>
      <c r="C92" s="371">
        <v>1.0</v>
      </c>
      <c r="D92" s="371">
        <v>2.728575486E7</v>
      </c>
      <c r="E92" s="372">
        <v>1549598.0</v>
      </c>
      <c r="F92" s="372">
        <v>2324389.0</v>
      </c>
      <c r="G92" s="372">
        <v>6068790.0</v>
      </c>
      <c r="H92" s="360"/>
      <c r="I92" s="6">
        <f t="shared" si="3"/>
        <v>3.722853286E7</v>
      </c>
    </row>
    <row r="93" spans="8:8">
      <c r="A93" s="15" t="s">
        <v>102</v>
      </c>
      <c r="B93" s="16" t="s">
        <v>65</v>
      </c>
      <c r="C93" s="371">
        <v>1.0</v>
      </c>
      <c r="D93" s="371">
        <v>1.7145777740000002E7</v>
      </c>
      <c r="E93" s="372">
        <v>1549598.0</v>
      </c>
      <c r="F93" s="372">
        <v>2324389.0</v>
      </c>
      <c r="G93" s="372">
        <v>6068790.0</v>
      </c>
      <c r="H93" s="360"/>
      <c r="I93" s="6">
        <f t="shared" si="3"/>
        <v>2.7088555740000002E7</v>
      </c>
    </row>
    <row r="94" spans="8:8">
      <c r="A94" s="15" t="s">
        <v>103</v>
      </c>
      <c r="B94" s="16" t="s">
        <v>65</v>
      </c>
      <c r="C94" s="371">
        <v>1.0</v>
      </c>
      <c r="D94" s="371">
        <v>1.628541642E7</v>
      </c>
      <c r="E94" s="372">
        <v>1549598.0</v>
      </c>
      <c r="F94" s="372">
        <v>2324389.0</v>
      </c>
      <c r="G94" s="372">
        <v>6068790.0</v>
      </c>
      <c r="H94" s="360"/>
      <c r="I94" s="6">
        <f t="shared" si="3"/>
        <v>2.622819442E7</v>
      </c>
    </row>
    <row r="95" spans="8:8">
      <c r="A95" s="15" t="s">
        <v>104</v>
      </c>
      <c r="B95" s="16" t="s">
        <v>65</v>
      </c>
      <c r="C95" s="371">
        <v>1.0</v>
      </c>
      <c r="D95" s="371">
        <v>1.733014192E7</v>
      </c>
      <c r="E95" s="372">
        <v>1549598.0</v>
      </c>
      <c r="F95" s="372">
        <v>2324389.0</v>
      </c>
      <c r="G95" s="372">
        <v>6068790.0</v>
      </c>
      <c r="H95" s="360"/>
      <c r="I95" s="6">
        <f t="shared" si="3"/>
        <v>2.727291992E7</v>
      </c>
    </row>
    <row r="96" spans="8:8" s="49" ht="15.0" customFormat="1">
      <c r="A96" s="3" t="s">
        <v>105</v>
      </c>
      <c r="B96" s="4" t="s">
        <v>65</v>
      </c>
      <c r="C96" s="371">
        <v>1.0</v>
      </c>
      <c r="D96" s="371">
        <v>1.917377462E7</v>
      </c>
      <c r="E96" s="372">
        <v>1549598.0</v>
      </c>
      <c r="F96" s="372">
        <v>2324389.0</v>
      </c>
      <c r="G96" s="372">
        <v>6068790.0</v>
      </c>
      <c r="H96" s="360"/>
      <c r="I96" s="17">
        <f t="shared" si="3"/>
        <v>2.911655262E7</v>
      </c>
    </row>
    <row r="97" spans="8:8">
      <c r="A97" s="3" t="s">
        <v>108</v>
      </c>
      <c r="B97" s="4" t="s">
        <v>65</v>
      </c>
      <c r="C97" s="371">
        <v>1.0</v>
      </c>
      <c r="D97" s="371">
        <v>1.733014192E7</v>
      </c>
      <c r="E97" s="372">
        <v>1549598.0</v>
      </c>
      <c r="F97" s="372">
        <v>2324389.0</v>
      </c>
      <c r="G97" s="372">
        <v>6068790.0</v>
      </c>
      <c r="H97" s="360"/>
      <c r="I97" s="6">
        <f t="shared" si="3"/>
        <v>2.727291992E7</v>
      </c>
    </row>
    <row r="98" spans="8:8">
      <c r="A98" s="3" t="s">
        <v>109</v>
      </c>
      <c r="B98" s="4" t="s">
        <v>65</v>
      </c>
      <c r="C98" s="371">
        <v>1.0</v>
      </c>
      <c r="D98" s="371">
        <v>1.917377462E7</v>
      </c>
      <c r="E98" s="372">
        <v>1549598.0</v>
      </c>
      <c r="F98" s="372">
        <v>2324389.0</v>
      </c>
      <c r="G98" s="372">
        <v>6068790.0</v>
      </c>
      <c r="H98" s="360"/>
      <c r="I98" s="6">
        <f t="shared" si="3"/>
        <v>2.911655262E7</v>
      </c>
    </row>
    <row r="99" spans="8:8">
      <c r="A99" s="3" t="s">
        <v>110</v>
      </c>
      <c r="B99" s="4" t="s">
        <v>65</v>
      </c>
      <c r="C99" s="371">
        <v>5.660733078E7</v>
      </c>
      <c r="D99" s="371">
        <v>1.5916689879999999E7</v>
      </c>
      <c r="E99" s="372">
        <v>1549598.0</v>
      </c>
      <c r="F99" s="372">
        <v>2324389.0</v>
      </c>
      <c r="G99" s="372">
        <v>6068790.0</v>
      </c>
      <c r="H99" s="360"/>
      <c r="I99" s="6">
        <f t="shared" si="3"/>
        <v>8.246679766E7</v>
      </c>
    </row>
    <row r="100" spans="8:8">
      <c r="A100" s="3" t="s">
        <v>111</v>
      </c>
      <c r="B100" s="4" t="s">
        <v>65</v>
      </c>
      <c r="C100" s="371">
        <v>1.0</v>
      </c>
      <c r="D100" s="371">
        <v>1.628541642E7</v>
      </c>
      <c r="E100" s="372">
        <v>1549598.0</v>
      </c>
      <c r="F100" s="372">
        <v>2324389.0</v>
      </c>
      <c r="G100" s="372">
        <v>6068790.0</v>
      </c>
      <c r="H100" s="360"/>
      <c r="I100" s="6">
        <f t="shared" si="3"/>
        <v>2.622819442E7</v>
      </c>
    </row>
    <row r="101" spans="8:8">
      <c r="A101" s="3" t="s">
        <v>112</v>
      </c>
      <c r="B101" s="4" t="s">
        <v>65</v>
      </c>
      <c r="C101" s="371">
        <v>1.0</v>
      </c>
      <c r="D101" s="371">
        <v>1.733014192E7</v>
      </c>
      <c r="E101" s="372">
        <v>1549598.0</v>
      </c>
      <c r="F101" s="372">
        <v>2324389.0</v>
      </c>
      <c r="G101" s="372">
        <v>6068790.0</v>
      </c>
      <c r="H101" s="360"/>
      <c r="I101" s="6">
        <f t="shared" si="3"/>
        <v>2.727291992E7</v>
      </c>
    </row>
    <row r="102" spans="8:8">
      <c r="A102" s="3" t="s">
        <v>113</v>
      </c>
      <c r="B102" s="4" t="s">
        <v>65</v>
      </c>
      <c r="C102" s="371">
        <v>1.0</v>
      </c>
      <c r="D102" s="371">
        <v>1.917377462E7</v>
      </c>
      <c r="E102" s="372">
        <v>1549598.0</v>
      </c>
      <c r="F102" s="372">
        <v>2324389.0</v>
      </c>
      <c r="G102" s="372">
        <v>6068790.0</v>
      </c>
      <c r="H102" s="360"/>
      <c r="I102" s="6">
        <f t="shared" si="3"/>
        <v>2.911655262E7</v>
      </c>
    </row>
    <row r="103" spans="8:8">
      <c r="A103" s="3" t="s">
        <v>114</v>
      </c>
      <c r="B103" s="4" t="s">
        <v>65</v>
      </c>
      <c r="C103" s="371">
        <v>1.0</v>
      </c>
      <c r="D103" s="371">
        <v>1.628541642E7</v>
      </c>
      <c r="E103" s="372">
        <v>1549598.0</v>
      </c>
      <c r="F103" s="372">
        <v>2324389.0</v>
      </c>
      <c r="G103" s="372">
        <v>6068790.0</v>
      </c>
      <c r="H103" s="360"/>
      <c r="I103" s="6">
        <f t="shared" si="3"/>
        <v>2.622819442E7</v>
      </c>
    </row>
    <row r="104" spans="8:8">
      <c r="A104" s="3" t="s">
        <v>115</v>
      </c>
      <c r="B104" s="4" t="s">
        <v>65</v>
      </c>
      <c r="C104" s="371">
        <v>1.0</v>
      </c>
      <c r="D104" s="371">
        <v>1.733014192E7</v>
      </c>
      <c r="E104" s="372">
        <v>1549598.0</v>
      </c>
      <c r="F104" s="372">
        <v>2324389.0</v>
      </c>
      <c r="G104" s="372">
        <v>6068790.0</v>
      </c>
      <c r="H104" s="360"/>
      <c r="I104" s="6">
        <f t="shared" si="3"/>
        <v>2.727291992E7</v>
      </c>
    </row>
    <row r="105" spans="8:8">
      <c r="A105" s="3" t="s">
        <v>116</v>
      </c>
      <c r="B105" s="4" t="s">
        <v>65</v>
      </c>
      <c r="C105" s="371">
        <v>1.0</v>
      </c>
      <c r="D105" s="371">
        <v>1.917377462E7</v>
      </c>
      <c r="E105" s="372">
        <v>1549598.0</v>
      </c>
      <c r="F105" s="372">
        <v>2324389.0</v>
      </c>
      <c r="G105" s="372">
        <v>6068790.0</v>
      </c>
      <c r="H105" s="360"/>
      <c r="I105" s="6">
        <f t="shared" si="3"/>
        <v>2.911655262E7</v>
      </c>
    </row>
    <row r="106" spans="8:8">
      <c r="A106" s="3" t="s">
        <v>117</v>
      </c>
      <c r="B106" s="4" t="s">
        <v>65</v>
      </c>
      <c r="C106" s="371">
        <v>1.0</v>
      </c>
      <c r="D106" s="371">
        <v>1.733014192E7</v>
      </c>
      <c r="E106" s="372">
        <v>1549598.0</v>
      </c>
      <c r="F106" s="372">
        <v>2324389.0</v>
      </c>
      <c r="G106" s="372">
        <v>6068790.0</v>
      </c>
      <c r="H106" s="360"/>
      <c r="I106" s="6">
        <f t="shared" si="3"/>
        <v>2.727291992E7</v>
      </c>
    </row>
    <row r="107" spans="8:8">
      <c r="A107" s="3" t="s">
        <v>118</v>
      </c>
      <c r="B107" s="4" t="s">
        <v>65</v>
      </c>
      <c r="C107" s="371">
        <v>1.0</v>
      </c>
      <c r="D107" s="371">
        <v>1.628541642E7</v>
      </c>
      <c r="E107" s="372">
        <v>1549598.0</v>
      </c>
      <c r="F107" s="372">
        <v>2324389.0</v>
      </c>
      <c r="G107" s="372">
        <v>6068790.0</v>
      </c>
      <c r="H107" s="360"/>
      <c r="I107" s="6">
        <f t="shared" si="3"/>
        <v>2.622819442E7</v>
      </c>
    </row>
    <row r="108" spans="8:8">
      <c r="A108" s="3" t="s">
        <v>119</v>
      </c>
      <c r="B108" s="4" t="s">
        <v>65</v>
      </c>
      <c r="C108" s="371">
        <v>1.0</v>
      </c>
      <c r="D108" s="371">
        <v>1.733014192E7</v>
      </c>
      <c r="E108" s="372">
        <v>1549598.0</v>
      </c>
      <c r="F108" s="372">
        <v>2324389.0</v>
      </c>
      <c r="G108" s="372">
        <v>6068790.0</v>
      </c>
      <c r="H108" s="360"/>
      <c r="I108" s="6">
        <f t="shared" si="3"/>
        <v>2.727291992E7</v>
      </c>
    </row>
    <row r="109" spans="8:8">
      <c r="A109" s="3" t="s">
        <v>120</v>
      </c>
      <c r="B109" s="4" t="s">
        <v>65</v>
      </c>
      <c r="C109" s="371">
        <v>1.0</v>
      </c>
      <c r="D109" s="371">
        <v>3.257083284E7</v>
      </c>
      <c r="E109" s="372">
        <v>1549598.0</v>
      </c>
      <c r="F109" s="372">
        <v>2324389.0</v>
      </c>
      <c r="G109" s="372">
        <v>6068790.0</v>
      </c>
      <c r="H109" s="360"/>
      <c r="I109" s="6">
        <f t="shared" si="3"/>
        <v>4.251361084E7</v>
      </c>
    </row>
    <row r="110" spans="8:8">
      <c r="A110" s="3" t="s">
        <v>121</v>
      </c>
      <c r="B110" s="4" t="s">
        <v>65</v>
      </c>
      <c r="C110" s="371">
        <v>1.0</v>
      </c>
      <c r="D110" s="371">
        <v>3.4660282019999996E7</v>
      </c>
      <c r="E110" s="372">
        <v>1549598.0</v>
      </c>
      <c r="F110" s="372">
        <v>2324389.0</v>
      </c>
      <c r="G110" s="372">
        <v>6068790.0</v>
      </c>
      <c r="H110" s="360"/>
      <c r="I110" s="6">
        <f t="shared" si="3"/>
        <v>4.4603060019999996E7</v>
      </c>
    </row>
    <row r="111" spans="8:8">
      <c r="A111" s="3" t="s">
        <v>122</v>
      </c>
      <c r="B111" s="4" t="s">
        <v>65</v>
      </c>
      <c r="C111" s="371">
        <v>1.0</v>
      </c>
      <c r="D111" s="371">
        <v>1.628541642E7</v>
      </c>
      <c r="E111" s="372">
        <v>1549598.0</v>
      </c>
      <c r="F111" s="372">
        <v>2324389.0</v>
      </c>
      <c r="G111" s="372">
        <v>6068790.0</v>
      </c>
      <c r="H111" s="360"/>
      <c r="I111" s="6">
        <f t="shared" si="3"/>
        <v>2.622819442E7</v>
      </c>
    </row>
    <row r="112" spans="8:8">
      <c r="A112" s="3" t="s">
        <v>123</v>
      </c>
      <c r="B112" s="4" t="s">
        <v>65</v>
      </c>
      <c r="C112" s="371">
        <v>1.0</v>
      </c>
      <c r="D112" s="371">
        <v>1.733014192E7</v>
      </c>
      <c r="E112" s="372">
        <v>1549598.0</v>
      </c>
      <c r="F112" s="372">
        <v>2324389.0</v>
      </c>
      <c r="G112" s="372">
        <v>6068790.0</v>
      </c>
      <c r="H112" s="360"/>
      <c r="I112" s="6">
        <f t="shared" si="3"/>
        <v>2.727291992E7</v>
      </c>
    </row>
    <row r="113" spans="8:8">
      <c r="A113" s="3" t="s">
        <v>124</v>
      </c>
      <c r="B113" s="4" t="s">
        <v>65</v>
      </c>
      <c r="C113" s="371">
        <v>1.0</v>
      </c>
      <c r="D113" s="371">
        <v>1.917377462E7</v>
      </c>
      <c r="E113" s="372">
        <v>1549598.0</v>
      </c>
      <c r="F113" s="372">
        <v>2324389.0</v>
      </c>
      <c r="G113" s="372">
        <v>6068790.0</v>
      </c>
      <c r="H113" s="360"/>
      <c r="I113" s="6">
        <f t="shared" si="3"/>
        <v>2.911655262E7</v>
      </c>
    </row>
    <row r="114" spans="8:8">
      <c r="A114" s="3" t="s">
        <v>125</v>
      </c>
      <c r="B114" s="4" t="s">
        <v>65</v>
      </c>
      <c r="C114" s="371">
        <v>1.0</v>
      </c>
      <c r="D114" s="371">
        <v>2.1140313740000002E7</v>
      </c>
      <c r="E114" s="372">
        <v>1549598.0</v>
      </c>
      <c r="F114" s="372">
        <v>2324389.0</v>
      </c>
      <c r="G114" s="372">
        <v>6068790.0</v>
      </c>
      <c r="H114" s="360"/>
      <c r="I114" s="6">
        <f t="shared" si="3"/>
        <v>3.1083091740000002E7</v>
      </c>
    </row>
    <row r="115" spans="8:8">
      <c r="A115" s="3" t="s">
        <v>126</v>
      </c>
      <c r="B115" s="4" t="s">
        <v>65</v>
      </c>
      <c r="C115" s="371">
        <v>1.0</v>
      </c>
      <c r="D115" s="371">
        <v>2.3967217819999997E7</v>
      </c>
      <c r="E115" s="372">
        <v>1549598.0</v>
      </c>
      <c r="F115" s="372">
        <v>2324389.0</v>
      </c>
      <c r="G115" s="372">
        <v>6068790.0</v>
      </c>
      <c r="H115" s="360"/>
      <c r="I115" s="6">
        <f t="shared" si="4" ref="I115:I178">SUM(C115:H115)</f>
        <v>3.390999581999999E7</v>
      </c>
    </row>
    <row r="116" spans="8:8">
      <c r="A116" s="3" t="s">
        <v>127</v>
      </c>
      <c r="B116" s="4" t="s">
        <v>65</v>
      </c>
      <c r="C116" s="371">
        <v>1.0</v>
      </c>
      <c r="D116" s="371">
        <v>3.257083284E7</v>
      </c>
      <c r="E116" s="372">
        <v>1549598.0</v>
      </c>
      <c r="F116" s="372">
        <v>2324389.0</v>
      </c>
      <c r="G116" s="372">
        <v>6068790.0</v>
      </c>
      <c r="H116" s="360"/>
      <c r="I116" s="6">
        <f t="shared" si="4"/>
        <v>4.251361084E7</v>
      </c>
    </row>
    <row r="117" spans="8:8">
      <c r="A117" s="3" t="s">
        <v>128</v>
      </c>
      <c r="B117" s="4" t="s">
        <v>65</v>
      </c>
      <c r="C117" s="371">
        <v>1.0</v>
      </c>
      <c r="D117" s="371">
        <v>3.4660282019999996E7</v>
      </c>
      <c r="E117" s="372">
        <v>1549598.0</v>
      </c>
      <c r="F117" s="372">
        <v>2324389.0</v>
      </c>
      <c r="G117" s="372">
        <v>6068790.0</v>
      </c>
      <c r="H117" s="360"/>
      <c r="I117" s="6">
        <f t="shared" si="4"/>
        <v>4.4603060019999996E7</v>
      </c>
    </row>
    <row r="118" spans="8:8">
      <c r="A118" s="3" t="s">
        <v>129</v>
      </c>
      <c r="B118" s="4" t="s">
        <v>65</v>
      </c>
      <c r="C118" s="371">
        <v>1.0</v>
      </c>
      <c r="D118" s="371">
        <v>3.834754742E7</v>
      </c>
      <c r="E118" s="372">
        <v>1549598.0</v>
      </c>
      <c r="F118" s="372">
        <v>2324389.0</v>
      </c>
      <c r="G118" s="372">
        <v>6068790.0</v>
      </c>
      <c r="H118" s="360"/>
      <c r="I118" s="6">
        <f t="shared" si="4"/>
        <v>4.829032542E7</v>
      </c>
    </row>
    <row r="119" spans="8:8">
      <c r="A119" s="3" t="s">
        <v>130</v>
      </c>
      <c r="B119" s="4" t="s">
        <v>65</v>
      </c>
      <c r="C119" s="371">
        <v>1.0</v>
      </c>
      <c r="D119" s="371">
        <v>4.2280627480000004E7</v>
      </c>
      <c r="E119" s="372">
        <v>1549598.0</v>
      </c>
      <c r="F119" s="372">
        <v>2324389.0</v>
      </c>
      <c r="G119" s="372">
        <v>6068790.0</v>
      </c>
      <c r="H119" s="360"/>
      <c r="I119" s="6">
        <f t="shared" si="4"/>
        <v>5.2223405480000004E7</v>
      </c>
    </row>
    <row r="120" spans="8:8">
      <c r="A120" s="3" t="s">
        <v>131</v>
      </c>
      <c r="B120" s="4" t="s">
        <v>65</v>
      </c>
      <c r="C120" s="371">
        <v>1.0</v>
      </c>
      <c r="D120" s="371">
        <v>4.793443382E7</v>
      </c>
      <c r="E120" s="372">
        <v>1549598.0</v>
      </c>
      <c r="F120" s="372">
        <v>2324389.0</v>
      </c>
      <c r="G120" s="372">
        <v>6068790.0</v>
      </c>
      <c r="H120" s="360"/>
      <c r="I120" s="6">
        <f t="shared" si="4"/>
        <v>5.787721182E7</v>
      </c>
    </row>
    <row r="121" spans="8:8">
      <c r="A121" s="3" t="s">
        <v>132</v>
      </c>
      <c r="B121" s="4" t="s">
        <v>65</v>
      </c>
      <c r="C121" s="371">
        <v>1.0</v>
      </c>
      <c r="D121" s="371">
        <v>1.628541642E7</v>
      </c>
      <c r="E121" s="372">
        <v>1549598.0</v>
      </c>
      <c r="F121" s="372">
        <v>2324389.0</v>
      </c>
      <c r="G121" s="372">
        <v>6068790.0</v>
      </c>
      <c r="H121" s="360"/>
      <c r="I121" s="6">
        <f t="shared" si="4"/>
        <v>2.622819442E7</v>
      </c>
    </row>
    <row r="122" spans="8:8">
      <c r="A122" s="3" t="s">
        <v>133</v>
      </c>
      <c r="B122" s="4" t="s">
        <v>65</v>
      </c>
      <c r="C122" s="371">
        <v>1.0</v>
      </c>
      <c r="D122" s="371">
        <v>1.733014192E7</v>
      </c>
      <c r="E122" s="372">
        <v>1549598.0</v>
      </c>
      <c r="F122" s="372">
        <v>2324389.0</v>
      </c>
      <c r="G122" s="372">
        <v>6068790.0</v>
      </c>
      <c r="H122" s="360"/>
      <c r="I122" s="6">
        <f t="shared" si="4"/>
        <v>2.727291992E7</v>
      </c>
    </row>
    <row r="123" spans="8:8">
      <c r="A123" s="3" t="s">
        <v>134</v>
      </c>
      <c r="B123" s="4" t="s">
        <v>65</v>
      </c>
      <c r="C123" s="371">
        <v>1.0</v>
      </c>
      <c r="D123" s="371">
        <v>1.917377462E7</v>
      </c>
      <c r="E123" s="372">
        <v>1549598.0</v>
      </c>
      <c r="F123" s="372">
        <v>2324389.0</v>
      </c>
      <c r="G123" s="372">
        <v>6068790.0</v>
      </c>
      <c r="H123" s="360"/>
      <c r="I123" s="6">
        <f t="shared" si="4"/>
        <v>2.911655262E7</v>
      </c>
    </row>
    <row r="124" spans="8:8">
      <c r="A124" s="3" t="s">
        <v>135</v>
      </c>
      <c r="B124" s="4" t="s">
        <v>65</v>
      </c>
      <c r="C124" s="371">
        <v>1.0</v>
      </c>
      <c r="D124" s="371">
        <v>1.628541642E7</v>
      </c>
      <c r="E124" s="372">
        <v>1549598.0</v>
      </c>
      <c r="F124" s="372">
        <v>2324389.0</v>
      </c>
      <c r="G124" s="372">
        <v>6068790.0</v>
      </c>
      <c r="H124" s="360"/>
      <c r="I124" s="6">
        <f t="shared" si="4"/>
        <v>2.622819442E7</v>
      </c>
    </row>
    <row r="125" spans="8:8">
      <c r="A125" s="3" t="s">
        <v>136</v>
      </c>
      <c r="B125" s="4" t="s">
        <v>65</v>
      </c>
      <c r="C125" s="371">
        <v>1.0</v>
      </c>
      <c r="D125" s="371">
        <v>1.733014192E7</v>
      </c>
      <c r="E125" s="372">
        <v>1549598.0</v>
      </c>
      <c r="F125" s="372">
        <v>2324389.0</v>
      </c>
      <c r="G125" s="372">
        <v>6068790.0</v>
      </c>
      <c r="H125" s="360"/>
      <c r="I125" s="6">
        <f t="shared" si="4"/>
        <v>2.727291992E7</v>
      </c>
    </row>
    <row r="126" spans="8:8">
      <c r="A126" s="3" t="s">
        <v>137</v>
      </c>
      <c r="B126" s="4" t="s">
        <v>65</v>
      </c>
      <c r="C126" s="371">
        <v>1.0</v>
      </c>
      <c r="D126" s="371">
        <v>3.257083284E7</v>
      </c>
      <c r="E126" s="372">
        <v>1549598.0</v>
      </c>
      <c r="F126" s="372">
        <v>2324389.0</v>
      </c>
      <c r="G126" s="372">
        <v>6068790.0</v>
      </c>
      <c r="H126" s="360"/>
      <c r="I126" s="6">
        <f t="shared" si="4"/>
        <v>4.251361084E7</v>
      </c>
    </row>
    <row r="127" spans="8:8">
      <c r="A127" s="3" t="s">
        <v>138</v>
      </c>
      <c r="B127" s="4" t="s">
        <v>65</v>
      </c>
      <c r="C127" s="371">
        <v>1.0</v>
      </c>
      <c r="D127" s="371">
        <v>3.4660282019999996E7</v>
      </c>
      <c r="E127" s="372">
        <v>1549598.0</v>
      </c>
      <c r="F127" s="372">
        <v>2324389.0</v>
      </c>
      <c r="G127" s="372">
        <v>6068790.0</v>
      </c>
      <c r="H127" s="360"/>
      <c r="I127" s="6">
        <f t="shared" si="4"/>
        <v>4.4603060019999996E7</v>
      </c>
    </row>
    <row r="128" spans="8:8">
      <c r="A128" s="3" t="s">
        <v>139</v>
      </c>
      <c r="B128" s="4" t="s">
        <v>65</v>
      </c>
      <c r="C128" s="371">
        <v>1.0</v>
      </c>
      <c r="D128" s="371">
        <v>1.628541642E7</v>
      </c>
      <c r="E128" s="372">
        <v>1549598.0</v>
      </c>
      <c r="F128" s="372">
        <v>2324389.0</v>
      </c>
      <c r="G128" s="372">
        <v>6068790.0</v>
      </c>
      <c r="H128" s="360"/>
      <c r="I128" s="6">
        <f t="shared" si="4"/>
        <v>2.622819442E7</v>
      </c>
    </row>
    <row r="129" spans="8:8">
      <c r="A129" s="3" t="s">
        <v>140</v>
      </c>
      <c r="B129" s="4" t="s">
        <v>65</v>
      </c>
      <c r="C129" s="371">
        <v>1.0</v>
      </c>
      <c r="D129" s="371">
        <v>1.733014192E7</v>
      </c>
      <c r="E129" s="372">
        <v>1549598.0</v>
      </c>
      <c r="F129" s="372">
        <v>2324389.0</v>
      </c>
      <c r="G129" s="372">
        <v>6068790.0</v>
      </c>
      <c r="H129" s="360"/>
      <c r="I129" s="6">
        <f t="shared" si="4"/>
        <v>2.727291992E7</v>
      </c>
    </row>
    <row r="130" spans="8:8">
      <c r="A130" s="3" t="s">
        <v>141</v>
      </c>
      <c r="B130" s="4" t="s">
        <v>65</v>
      </c>
      <c r="C130" s="371">
        <v>1.0</v>
      </c>
      <c r="D130" s="371">
        <v>1.917377462E7</v>
      </c>
      <c r="E130" s="372">
        <v>1549598.0</v>
      </c>
      <c r="F130" s="372">
        <v>2324389.0</v>
      </c>
      <c r="G130" s="372">
        <v>6068790.0</v>
      </c>
      <c r="H130" s="360"/>
      <c r="I130" s="6">
        <f t="shared" si="4"/>
        <v>2.911655262E7</v>
      </c>
    </row>
    <row r="131" spans="8:8">
      <c r="A131" s="3" t="s">
        <v>142</v>
      </c>
      <c r="B131" s="4" t="s">
        <v>65</v>
      </c>
      <c r="C131" s="371">
        <v>1.0</v>
      </c>
      <c r="D131" s="371">
        <v>3.257083284E7</v>
      </c>
      <c r="E131" s="372">
        <v>1549598.0</v>
      </c>
      <c r="F131" s="372">
        <v>2324389.0</v>
      </c>
      <c r="G131" s="372">
        <v>6068790.0</v>
      </c>
      <c r="H131" s="360"/>
      <c r="I131" s="6">
        <f t="shared" si="4"/>
        <v>4.251361084E7</v>
      </c>
    </row>
    <row r="132" spans="8:8">
      <c r="A132" s="3" t="s">
        <v>143</v>
      </c>
      <c r="B132" s="4" t="s">
        <v>65</v>
      </c>
      <c r="C132" s="371">
        <v>1.0</v>
      </c>
      <c r="D132" s="371">
        <v>3.4660282019999996E7</v>
      </c>
      <c r="E132" s="372">
        <v>1549598.0</v>
      </c>
      <c r="F132" s="372">
        <v>2324389.0</v>
      </c>
      <c r="G132" s="372">
        <v>6068790.0</v>
      </c>
      <c r="H132" s="360"/>
      <c r="I132" s="6">
        <f t="shared" si="4"/>
        <v>4.4603060019999996E7</v>
      </c>
    </row>
    <row r="133" spans="8:8">
      <c r="A133" s="3" t="s">
        <v>144</v>
      </c>
      <c r="B133" s="4" t="s">
        <v>65</v>
      </c>
      <c r="C133" s="371">
        <v>1.0</v>
      </c>
      <c r="D133" s="371">
        <v>3.834754742E7</v>
      </c>
      <c r="E133" s="372">
        <v>1549598.0</v>
      </c>
      <c r="F133" s="372">
        <v>2324389.0</v>
      </c>
      <c r="G133" s="372">
        <v>6068790.0</v>
      </c>
      <c r="H133" s="360"/>
      <c r="I133" s="6">
        <f t="shared" si="4"/>
        <v>4.829032542E7</v>
      </c>
    </row>
    <row r="134" spans="8:8">
      <c r="A134" s="3" t="s">
        <v>145</v>
      </c>
      <c r="B134" s="4" t="s">
        <v>65</v>
      </c>
      <c r="C134" s="371">
        <v>1.0</v>
      </c>
      <c r="D134" s="371">
        <v>1.628541642E7</v>
      </c>
      <c r="E134" s="372">
        <v>1549598.0</v>
      </c>
      <c r="F134" s="372">
        <v>2324389.0</v>
      </c>
      <c r="G134" s="372">
        <v>6068790.0</v>
      </c>
      <c r="H134" s="360"/>
      <c r="I134" s="6">
        <f t="shared" si="4"/>
        <v>2.622819442E7</v>
      </c>
    </row>
    <row r="135" spans="8:8">
      <c r="A135" s="3" t="s">
        <v>146</v>
      </c>
      <c r="B135" s="4" t="s">
        <v>65</v>
      </c>
      <c r="C135" s="371">
        <v>1.0</v>
      </c>
      <c r="D135" s="371">
        <v>1.733014192E7</v>
      </c>
      <c r="E135" s="372">
        <v>1549598.0</v>
      </c>
      <c r="F135" s="372">
        <v>2324389.0</v>
      </c>
      <c r="G135" s="372">
        <v>6068790.0</v>
      </c>
      <c r="H135" s="360"/>
      <c r="I135" s="6">
        <f t="shared" si="4"/>
        <v>2.727291992E7</v>
      </c>
    </row>
    <row r="136" spans="8:8">
      <c r="A136" s="3" t="s">
        <v>147</v>
      </c>
      <c r="B136" s="4" t="s">
        <v>65</v>
      </c>
      <c r="C136" s="371">
        <v>1.0</v>
      </c>
      <c r="D136" s="371">
        <v>1.917377462E7</v>
      </c>
      <c r="E136" s="372">
        <v>1549598.0</v>
      </c>
      <c r="F136" s="372">
        <v>2324389.0</v>
      </c>
      <c r="G136" s="372">
        <v>6068790.0</v>
      </c>
      <c r="H136" s="360"/>
      <c r="I136" s="6">
        <f t="shared" si="4"/>
        <v>2.911655262E7</v>
      </c>
    </row>
    <row r="137" spans="8:8">
      <c r="A137" s="3" t="s">
        <v>148</v>
      </c>
      <c r="B137" s="4" t="s">
        <v>65</v>
      </c>
      <c r="C137" s="371">
        <v>1.0</v>
      </c>
      <c r="D137" s="371">
        <v>1.733014192E7</v>
      </c>
      <c r="E137" s="372">
        <v>1549598.0</v>
      </c>
      <c r="F137" s="372">
        <v>2324389.0</v>
      </c>
      <c r="G137" s="372">
        <v>6068790.0</v>
      </c>
      <c r="H137" s="360"/>
      <c r="I137" s="6">
        <f t="shared" si="4"/>
        <v>2.727291992E7</v>
      </c>
    </row>
    <row r="138" spans="8:8">
      <c r="A138" s="3" t="s">
        <v>149</v>
      </c>
      <c r="B138" s="4" t="s">
        <v>65</v>
      </c>
      <c r="C138" s="371">
        <v>1.0</v>
      </c>
      <c r="D138" s="371">
        <v>1.917377462E7</v>
      </c>
      <c r="E138" s="372">
        <v>1549598.0</v>
      </c>
      <c r="F138" s="372">
        <v>2324389.0</v>
      </c>
      <c r="G138" s="372">
        <v>6068790.0</v>
      </c>
      <c r="H138" s="360"/>
      <c r="I138" s="6">
        <f t="shared" si="4"/>
        <v>2.911655262E7</v>
      </c>
    </row>
    <row r="139" spans="8:8">
      <c r="A139" s="3" t="s">
        <v>150</v>
      </c>
      <c r="B139" s="4" t="s">
        <v>65</v>
      </c>
      <c r="C139" s="371">
        <v>1.0</v>
      </c>
      <c r="D139" s="371">
        <v>2.5749394580000002E7</v>
      </c>
      <c r="E139" s="372">
        <v>1549598.0</v>
      </c>
      <c r="F139" s="372">
        <v>2324389.0</v>
      </c>
      <c r="G139" s="372">
        <v>6068790.0</v>
      </c>
      <c r="H139" s="360"/>
      <c r="I139" s="6">
        <f t="shared" si="4"/>
        <v>3.569217258E7</v>
      </c>
    </row>
    <row r="140" spans="8:8">
      <c r="A140" s="3" t="s">
        <v>151</v>
      </c>
      <c r="B140" s="4" t="s">
        <v>65</v>
      </c>
      <c r="C140" s="371">
        <v>1.0</v>
      </c>
      <c r="D140" s="371">
        <v>3.4660282019999996E7</v>
      </c>
      <c r="E140" s="372">
        <v>1549598.0</v>
      </c>
      <c r="F140" s="372">
        <v>2324389.0</v>
      </c>
      <c r="G140" s="372">
        <v>6068790.0</v>
      </c>
      <c r="H140" s="360"/>
      <c r="I140" s="6">
        <f t="shared" si="4"/>
        <v>4.4603060019999996E7</v>
      </c>
    </row>
    <row r="141" spans="8:8">
      <c r="A141" s="3" t="s">
        <v>152</v>
      </c>
      <c r="B141" s="4" t="s">
        <v>65</v>
      </c>
      <c r="C141" s="371">
        <v>1.0</v>
      </c>
      <c r="D141" s="371">
        <v>3.834754742E7</v>
      </c>
      <c r="E141" s="372">
        <v>1549598.0</v>
      </c>
      <c r="F141" s="372">
        <v>2324389.0</v>
      </c>
      <c r="G141" s="372">
        <v>6068790.0</v>
      </c>
      <c r="H141" s="360"/>
      <c r="I141" s="6">
        <f t="shared" si="4"/>
        <v>4.829032542E7</v>
      </c>
    </row>
    <row r="142" spans="8:8">
      <c r="A142" s="3" t="s">
        <v>153</v>
      </c>
      <c r="B142" s="4" t="s">
        <v>65</v>
      </c>
      <c r="C142" s="371">
        <v>1.0</v>
      </c>
      <c r="D142" s="371">
        <v>7.989072182000001E7</v>
      </c>
      <c r="E142" s="372">
        <v>1549598.0</v>
      </c>
      <c r="F142" s="372">
        <v>2324389.0</v>
      </c>
      <c r="G142" s="372">
        <v>6068790.0</v>
      </c>
      <c r="H142" s="360"/>
      <c r="I142" s="6">
        <f t="shared" si="4"/>
        <v>8.983349982000001E7</v>
      </c>
    </row>
    <row r="143" spans="8:8">
      <c r="A143" s="3" t="s">
        <v>154</v>
      </c>
      <c r="B143" s="4" t="s">
        <v>65</v>
      </c>
      <c r="C143" s="371">
        <v>1.0</v>
      </c>
      <c r="D143" s="371">
        <v>1.536360098E7</v>
      </c>
      <c r="E143" s="372">
        <v>1549598.0</v>
      </c>
      <c r="F143" s="372">
        <v>2324389.0</v>
      </c>
      <c r="G143" s="372">
        <v>6068790.0</v>
      </c>
      <c r="H143" s="360"/>
      <c r="I143" s="6">
        <f t="shared" si="4"/>
        <v>2.530637898E7</v>
      </c>
    </row>
    <row r="144" spans="8:8">
      <c r="A144" s="3" t="s">
        <v>155</v>
      </c>
      <c r="B144" s="4" t="s">
        <v>65</v>
      </c>
      <c r="C144" s="371">
        <v>1.0</v>
      </c>
      <c r="D144" s="371">
        <v>1.628541642E7</v>
      </c>
      <c r="E144" s="372">
        <v>1549598.0</v>
      </c>
      <c r="F144" s="372">
        <v>2324389.0</v>
      </c>
      <c r="G144" s="372">
        <v>6068790.0</v>
      </c>
      <c r="H144" s="360"/>
      <c r="I144" s="6">
        <f t="shared" si="4"/>
        <v>2.622819442E7</v>
      </c>
    </row>
    <row r="145" spans="8:8">
      <c r="A145" s="3" t="s">
        <v>156</v>
      </c>
      <c r="B145" s="4" t="s">
        <v>65</v>
      </c>
      <c r="C145" s="371">
        <v>1.0</v>
      </c>
      <c r="D145" s="371">
        <v>1.733014192E7</v>
      </c>
      <c r="E145" s="372">
        <v>1549598.0</v>
      </c>
      <c r="F145" s="372">
        <v>2324389.0</v>
      </c>
      <c r="G145" s="372">
        <v>6068790.0</v>
      </c>
      <c r="H145" s="360"/>
      <c r="I145" s="6">
        <f t="shared" si="4"/>
        <v>2.727291992E7</v>
      </c>
    </row>
    <row r="146" spans="8:8">
      <c r="A146" s="3" t="s">
        <v>157</v>
      </c>
      <c r="B146" s="4" t="s">
        <v>65</v>
      </c>
      <c r="C146" s="371">
        <v>1.0</v>
      </c>
      <c r="D146" s="371">
        <v>1.628541642E7</v>
      </c>
      <c r="E146" s="372">
        <v>1549598.0</v>
      </c>
      <c r="F146" s="372">
        <v>2324389.0</v>
      </c>
      <c r="G146" s="372">
        <v>6068790.0</v>
      </c>
      <c r="H146" s="360"/>
      <c r="I146" s="6">
        <f t="shared" si="4"/>
        <v>2.622819442E7</v>
      </c>
    </row>
    <row r="147" spans="8:8">
      <c r="A147" s="3" t="s">
        <v>158</v>
      </c>
      <c r="B147" s="4" t="s">
        <v>65</v>
      </c>
      <c r="C147" s="371">
        <v>1.0</v>
      </c>
      <c r="D147" s="371">
        <v>1.733014192E7</v>
      </c>
      <c r="E147" s="372">
        <v>1549598.0</v>
      </c>
      <c r="F147" s="372">
        <v>2324389.0</v>
      </c>
      <c r="G147" s="372">
        <v>6068790.0</v>
      </c>
      <c r="H147" s="360"/>
      <c r="I147" s="6">
        <f t="shared" si="4"/>
        <v>2.727291992E7</v>
      </c>
    </row>
    <row r="148" spans="8:8">
      <c r="A148" s="3" t="s">
        <v>159</v>
      </c>
      <c r="B148" s="4" t="s">
        <v>65</v>
      </c>
      <c r="C148" s="371">
        <v>1.0</v>
      </c>
      <c r="D148" s="371">
        <v>1.917377462E7</v>
      </c>
      <c r="E148" s="372">
        <v>1549598.0</v>
      </c>
      <c r="F148" s="372">
        <v>2324389.0</v>
      </c>
      <c r="G148" s="372">
        <v>6068790.0</v>
      </c>
      <c r="H148" s="360"/>
      <c r="I148" s="6">
        <f t="shared" si="4"/>
        <v>2.911655262E7</v>
      </c>
    </row>
    <row r="149" spans="8:8">
      <c r="A149" s="3" t="s">
        <v>160</v>
      </c>
      <c r="B149" s="4" t="s">
        <v>65</v>
      </c>
      <c r="C149" s="371">
        <v>1.0</v>
      </c>
      <c r="D149" s="371">
        <v>1.733014192E7</v>
      </c>
      <c r="E149" s="372">
        <v>1549598.0</v>
      </c>
      <c r="F149" s="372">
        <v>2324389.0</v>
      </c>
      <c r="G149" s="372">
        <v>6068790.0</v>
      </c>
      <c r="H149" s="360"/>
      <c r="I149" s="6">
        <f t="shared" si="4"/>
        <v>2.727291992E7</v>
      </c>
    </row>
    <row r="150" spans="8:8">
      <c r="A150" s="15" t="s">
        <v>161</v>
      </c>
      <c r="B150" s="16" t="s">
        <v>65</v>
      </c>
      <c r="C150" s="371">
        <v>1.0</v>
      </c>
      <c r="D150" s="371">
        <v>1.917377462E7</v>
      </c>
      <c r="E150" s="372">
        <v>1549598.0</v>
      </c>
      <c r="F150" s="372">
        <v>2324389.0</v>
      </c>
      <c r="G150" s="372">
        <v>6068790.0</v>
      </c>
      <c r="H150" s="360"/>
      <c r="I150" s="6">
        <f t="shared" si="4"/>
        <v>2.911655262E7</v>
      </c>
    </row>
    <row r="151" spans="8:8">
      <c r="A151" s="15" t="s">
        <v>162</v>
      </c>
      <c r="B151" s="16" t="s">
        <v>65</v>
      </c>
      <c r="C151" s="371">
        <v>1.0</v>
      </c>
      <c r="D151" s="371">
        <v>3.4660282019999996E7</v>
      </c>
      <c r="E151" s="372">
        <v>1549598.0</v>
      </c>
      <c r="F151" s="372">
        <v>2324389.0</v>
      </c>
      <c r="G151" s="372">
        <v>6068790.0</v>
      </c>
      <c r="H151" s="360"/>
      <c r="I151" s="6">
        <f t="shared" si="4"/>
        <v>4.4603060019999996E7</v>
      </c>
    </row>
    <row r="152" spans="8:8">
      <c r="A152" s="15" t="s">
        <v>163</v>
      </c>
      <c r="B152" s="16" t="s">
        <v>65</v>
      </c>
      <c r="C152" s="371">
        <v>1.0</v>
      </c>
      <c r="D152" s="371">
        <v>3.834754742E7</v>
      </c>
      <c r="E152" s="372">
        <v>1549598.0</v>
      </c>
      <c r="F152" s="372">
        <v>2324389.0</v>
      </c>
      <c r="G152" s="372">
        <v>6068790.0</v>
      </c>
      <c r="H152" s="360"/>
      <c r="I152" s="6">
        <f t="shared" si="4"/>
        <v>4.829032542E7</v>
      </c>
    </row>
    <row r="153" spans="8:8">
      <c r="A153" s="3" t="s">
        <v>164</v>
      </c>
      <c r="B153" s="4" t="s">
        <v>65</v>
      </c>
      <c r="C153" s="371">
        <v>1.0</v>
      </c>
      <c r="D153" s="371">
        <v>1.4994874440000001E7</v>
      </c>
      <c r="E153" s="372">
        <v>1549598.0</v>
      </c>
      <c r="F153" s="372">
        <v>2324389.0</v>
      </c>
      <c r="G153" s="372">
        <v>6068790.0</v>
      </c>
      <c r="H153" s="360"/>
      <c r="I153" s="6">
        <f t="shared" si="4"/>
        <v>2.493765244E7</v>
      </c>
    </row>
    <row r="154" spans="8:8">
      <c r="A154" s="3" t="s">
        <v>165</v>
      </c>
      <c r="B154" s="4" t="s">
        <v>65</v>
      </c>
      <c r="C154" s="371">
        <v>1.0</v>
      </c>
      <c r="D154" s="371">
        <v>1.683850714E7</v>
      </c>
      <c r="E154" s="372">
        <v>1549598.0</v>
      </c>
      <c r="F154" s="372">
        <v>2324389.0</v>
      </c>
      <c r="G154" s="372">
        <v>6068790.0</v>
      </c>
      <c r="H154" s="360"/>
      <c r="I154" s="6">
        <f t="shared" si="4"/>
        <v>2.678128514E7</v>
      </c>
    </row>
    <row r="155" spans="8:8">
      <c r="A155" s="3" t="s">
        <v>166</v>
      </c>
      <c r="B155" s="4" t="s">
        <v>65</v>
      </c>
      <c r="C155" s="371">
        <v>1.0</v>
      </c>
      <c r="D155" s="371">
        <v>1.628541642E7</v>
      </c>
      <c r="E155" s="372">
        <v>1549598.0</v>
      </c>
      <c r="F155" s="372">
        <v>2324389.0</v>
      </c>
      <c r="G155" s="372">
        <v>6068790.0</v>
      </c>
      <c r="H155" s="360"/>
      <c r="I155" s="6">
        <f t="shared" si="4"/>
        <v>2.622819442E7</v>
      </c>
    </row>
    <row r="156" spans="8:8">
      <c r="A156" s="3" t="s">
        <v>167</v>
      </c>
      <c r="B156" s="4" t="s">
        <v>65</v>
      </c>
      <c r="C156" s="371">
        <v>1.0</v>
      </c>
      <c r="D156" s="371">
        <v>1.733014192E7</v>
      </c>
      <c r="E156" s="372">
        <v>1549598.0</v>
      </c>
      <c r="F156" s="372">
        <v>2324389.0</v>
      </c>
      <c r="G156" s="372">
        <v>6068790.0</v>
      </c>
      <c r="H156" s="360"/>
      <c r="I156" s="6">
        <f t="shared" si="4"/>
        <v>2.727291992E7</v>
      </c>
    </row>
    <row r="157" spans="8:8">
      <c r="A157" s="3" t="s">
        <v>168</v>
      </c>
      <c r="B157" s="4" t="s">
        <v>65</v>
      </c>
      <c r="C157" s="371">
        <v>1.0</v>
      </c>
      <c r="D157" s="371">
        <v>3.257083284E7</v>
      </c>
      <c r="E157" s="372">
        <v>1549598.0</v>
      </c>
      <c r="F157" s="372">
        <v>2324389.0</v>
      </c>
      <c r="G157" s="372">
        <v>6068790.0</v>
      </c>
      <c r="H157" s="360"/>
      <c r="I157" s="6">
        <f t="shared" si="4"/>
        <v>4.251361084E7</v>
      </c>
    </row>
    <row r="158" spans="8:8">
      <c r="A158" s="3" t="s">
        <v>169</v>
      </c>
      <c r="B158" s="4" t="s">
        <v>65</v>
      </c>
      <c r="C158" s="371">
        <v>1.0</v>
      </c>
      <c r="D158" s="371">
        <v>3.4660282019999996E7</v>
      </c>
      <c r="E158" s="372">
        <v>1549598.0</v>
      </c>
      <c r="F158" s="372">
        <v>2324389.0</v>
      </c>
      <c r="G158" s="372">
        <v>6068790.0</v>
      </c>
      <c r="H158" s="360"/>
      <c r="I158" s="6">
        <f t="shared" si="4"/>
        <v>4.4603060019999996E7</v>
      </c>
    </row>
    <row r="159" spans="8:8">
      <c r="A159" s="3" t="s">
        <v>170</v>
      </c>
      <c r="B159" s="4" t="s">
        <v>65</v>
      </c>
      <c r="C159" s="371">
        <v>1.0</v>
      </c>
      <c r="D159" s="371">
        <v>1.628541642E7</v>
      </c>
      <c r="E159" s="372">
        <v>1549598.0</v>
      </c>
      <c r="F159" s="372">
        <v>2324389.0</v>
      </c>
      <c r="G159" s="372">
        <v>6068790.0</v>
      </c>
      <c r="H159" s="360"/>
      <c r="I159" s="6">
        <f t="shared" si="4"/>
        <v>2.622819442E7</v>
      </c>
    </row>
    <row r="160" spans="8:8">
      <c r="A160" s="3" t="s">
        <v>171</v>
      </c>
      <c r="B160" s="4" t="s">
        <v>65</v>
      </c>
      <c r="C160" s="371">
        <v>1.0</v>
      </c>
      <c r="D160" s="371">
        <v>1.733014192E7</v>
      </c>
      <c r="E160" s="372">
        <v>1549598.0</v>
      </c>
      <c r="F160" s="372">
        <v>2324389.0</v>
      </c>
      <c r="G160" s="372">
        <v>6068790.0</v>
      </c>
      <c r="H160" s="360"/>
      <c r="I160" s="6">
        <f t="shared" si="4"/>
        <v>2.727291992E7</v>
      </c>
    </row>
    <row r="161" spans="8:8">
      <c r="A161" s="3" t="s">
        <v>172</v>
      </c>
      <c r="B161" s="4" t="s">
        <v>65</v>
      </c>
      <c r="C161" s="371">
        <v>1.0</v>
      </c>
      <c r="D161" s="371">
        <v>1.917377462E7</v>
      </c>
      <c r="E161" s="372">
        <v>1549598.0</v>
      </c>
      <c r="F161" s="372">
        <v>2324389.0</v>
      </c>
      <c r="G161" s="372">
        <v>6068790.0</v>
      </c>
      <c r="H161" s="360"/>
      <c r="I161" s="6">
        <f t="shared" si="4"/>
        <v>2.911655262E7</v>
      </c>
    </row>
    <row r="162" spans="8:8">
      <c r="A162" s="3" t="s">
        <v>173</v>
      </c>
      <c r="B162" s="4" t="s">
        <v>65</v>
      </c>
      <c r="C162" s="371">
        <v>1.0</v>
      </c>
      <c r="D162" s="371">
        <v>3.257083284E7</v>
      </c>
      <c r="E162" s="372">
        <v>1549598.0</v>
      </c>
      <c r="F162" s="372">
        <v>2324389.0</v>
      </c>
      <c r="G162" s="372">
        <v>6068790.0</v>
      </c>
      <c r="H162" s="360"/>
      <c r="I162" s="6">
        <f t="shared" si="4"/>
        <v>4.251361084E7</v>
      </c>
    </row>
    <row r="163" spans="8:8">
      <c r="A163" s="3" t="s">
        <v>174</v>
      </c>
      <c r="B163" s="4" t="s">
        <v>65</v>
      </c>
      <c r="C163" s="371">
        <v>1.0</v>
      </c>
      <c r="D163" s="371">
        <v>3.4660282019999996E7</v>
      </c>
      <c r="E163" s="372">
        <v>1549598.0</v>
      </c>
      <c r="F163" s="372">
        <v>2324389.0</v>
      </c>
      <c r="G163" s="372">
        <v>6068790.0</v>
      </c>
      <c r="H163" s="360"/>
      <c r="I163" s="6">
        <f t="shared" si="4"/>
        <v>4.4603060019999996E7</v>
      </c>
    </row>
    <row r="164" spans="8:8">
      <c r="A164" s="3" t="s">
        <v>175</v>
      </c>
      <c r="B164" s="4" t="s">
        <v>65</v>
      </c>
      <c r="C164" s="371">
        <v>1.0</v>
      </c>
      <c r="D164" s="371">
        <v>3.834754742E7</v>
      </c>
      <c r="E164" s="372">
        <v>1549598.0</v>
      </c>
      <c r="F164" s="372">
        <v>2324389.0</v>
      </c>
      <c r="G164" s="372">
        <v>6068790.0</v>
      </c>
      <c r="H164" s="360"/>
      <c r="I164" s="6">
        <f t="shared" si="4"/>
        <v>4.829032542E7</v>
      </c>
    </row>
    <row r="165" spans="8:8">
      <c r="A165" s="3" t="s">
        <v>176</v>
      </c>
      <c r="B165" s="4" t="s">
        <v>65</v>
      </c>
      <c r="C165" s="371">
        <v>1.0</v>
      </c>
      <c r="D165" s="371">
        <v>1.5179238620000001E7</v>
      </c>
      <c r="E165" s="372">
        <v>1549598.0</v>
      </c>
      <c r="F165" s="372">
        <v>2324389.0</v>
      </c>
      <c r="G165" s="372">
        <v>6068790.0</v>
      </c>
      <c r="H165" s="360"/>
      <c r="I165" s="6">
        <f t="shared" si="4"/>
        <v>2.512201662E7</v>
      </c>
    </row>
    <row r="166" spans="8:8">
      <c r="A166" s="3" t="s">
        <v>177</v>
      </c>
      <c r="B166" s="4" t="s">
        <v>65</v>
      </c>
      <c r="C166" s="371">
        <v>1.0</v>
      </c>
      <c r="D166" s="371">
        <v>1.917377462E7</v>
      </c>
      <c r="E166" s="372">
        <v>1549598.0</v>
      </c>
      <c r="F166" s="372">
        <v>2324389.0</v>
      </c>
      <c r="G166" s="372">
        <v>6068790.0</v>
      </c>
      <c r="H166" s="360"/>
      <c r="I166" s="6">
        <f t="shared" si="4"/>
        <v>2.911655262E7</v>
      </c>
    </row>
    <row r="167" spans="8:8">
      <c r="A167" s="3" t="s">
        <v>178</v>
      </c>
      <c r="B167" s="4" t="s">
        <v>65</v>
      </c>
      <c r="C167" s="371">
        <v>5.660733078E7</v>
      </c>
      <c r="D167" s="371">
        <v>2.880367763E8</v>
      </c>
      <c r="E167" s="372">
        <v>1549598.0</v>
      </c>
      <c r="F167" s="372">
        <v>2324389.0</v>
      </c>
      <c r="G167" s="372">
        <v>6068790.0</v>
      </c>
      <c r="H167" s="360"/>
      <c r="I167" s="6">
        <f t="shared" si="4"/>
        <v>3.5458688408000004E8</v>
      </c>
    </row>
    <row r="168" spans="8:8">
      <c r="A168" s="3" t="s">
        <v>179</v>
      </c>
      <c r="B168" s="4" t="s">
        <v>65</v>
      </c>
      <c r="C168" s="371">
        <v>1.0</v>
      </c>
      <c r="D168" s="371">
        <v>3.693409538E7</v>
      </c>
      <c r="E168" s="372">
        <v>1549598.0</v>
      </c>
      <c r="F168" s="372">
        <v>2324389.0</v>
      </c>
      <c r="G168" s="372">
        <v>6068790.0</v>
      </c>
      <c r="H168" s="360"/>
      <c r="I168" s="6">
        <f t="shared" si="4"/>
        <v>4.687687338E7</v>
      </c>
    </row>
    <row r="169" spans="8:8">
      <c r="A169" s="3" t="s">
        <v>180</v>
      </c>
      <c r="B169" s="4" t="s">
        <v>65</v>
      </c>
      <c r="C169" s="371">
        <v>1.0</v>
      </c>
      <c r="D169" s="371">
        <v>1.733014192E7</v>
      </c>
      <c r="E169" s="372">
        <v>1549598.0</v>
      </c>
      <c r="F169" s="372">
        <v>2324389.0</v>
      </c>
      <c r="G169" s="372">
        <v>6068790.0</v>
      </c>
      <c r="H169" s="360"/>
      <c r="I169" s="6">
        <f t="shared" si="4"/>
        <v>2.727291992E7</v>
      </c>
    </row>
    <row r="170" spans="8:8">
      <c r="A170" s="3" t="s">
        <v>181</v>
      </c>
      <c r="B170" s="4" t="s">
        <v>65</v>
      </c>
      <c r="C170" s="371">
        <v>1.0</v>
      </c>
      <c r="D170" s="371">
        <v>3.4660282019999996E7</v>
      </c>
      <c r="E170" s="372">
        <v>1549598.0</v>
      </c>
      <c r="F170" s="372">
        <v>2324389.0</v>
      </c>
      <c r="G170" s="372">
        <v>6068790.0</v>
      </c>
      <c r="H170" s="360"/>
      <c r="I170" s="6">
        <f t="shared" si="4"/>
        <v>4.4603060019999996E7</v>
      </c>
    </row>
    <row r="171" spans="8:8">
      <c r="A171" s="3" t="s">
        <v>182</v>
      </c>
      <c r="B171" s="4" t="s">
        <v>65</v>
      </c>
      <c r="C171" s="371">
        <v>1.0</v>
      </c>
      <c r="D171" s="371">
        <v>1.628541642E7</v>
      </c>
      <c r="E171" s="372">
        <v>1549598.0</v>
      </c>
      <c r="F171" s="372">
        <v>2324389.0</v>
      </c>
      <c r="G171" s="372">
        <v>6068790.0</v>
      </c>
      <c r="H171" s="360"/>
      <c r="I171" s="6">
        <f t="shared" si="4"/>
        <v>2.622819442E7</v>
      </c>
    </row>
    <row r="172" spans="8:8">
      <c r="A172" s="3" t="s">
        <v>183</v>
      </c>
      <c r="B172" s="4" t="s">
        <v>65</v>
      </c>
      <c r="C172" s="371">
        <v>1.0</v>
      </c>
      <c r="D172" s="371">
        <v>1.733014192E7</v>
      </c>
      <c r="E172" s="372">
        <v>1549598.0</v>
      </c>
      <c r="F172" s="372">
        <v>2324389.0</v>
      </c>
      <c r="G172" s="372">
        <v>6068790.0</v>
      </c>
      <c r="H172" s="360"/>
      <c r="I172" s="6">
        <f t="shared" si="4"/>
        <v>2.727291992E7</v>
      </c>
    </row>
    <row r="173" spans="8:8">
      <c r="A173" s="3" t="s">
        <v>184</v>
      </c>
      <c r="B173" s="4" t="s">
        <v>65</v>
      </c>
      <c r="C173" s="371">
        <v>1.0</v>
      </c>
      <c r="D173" s="371">
        <v>1.917377462E7</v>
      </c>
      <c r="E173" s="372">
        <v>1549598.0</v>
      </c>
      <c r="F173" s="372">
        <v>2324389.0</v>
      </c>
      <c r="G173" s="372">
        <v>6068790.0</v>
      </c>
      <c r="H173" s="360"/>
      <c r="I173" s="6">
        <f t="shared" si="4"/>
        <v>2.911655262E7</v>
      </c>
    </row>
    <row r="174" spans="8:8">
      <c r="A174" s="3" t="s">
        <v>185</v>
      </c>
      <c r="B174" s="4" t="s">
        <v>65</v>
      </c>
      <c r="C174" s="371">
        <v>1.0</v>
      </c>
      <c r="D174" s="371">
        <v>3.257083284E7</v>
      </c>
      <c r="E174" s="372">
        <v>1549598.0</v>
      </c>
      <c r="F174" s="372">
        <v>2324389.0</v>
      </c>
      <c r="G174" s="372">
        <v>6068790.0</v>
      </c>
      <c r="H174" s="360"/>
      <c r="I174" s="6">
        <f t="shared" si="4"/>
        <v>4.251361084E7</v>
      </c>
    </row>
    <row r="175" spans="8:8">
      <c r="A175" s="3" t="s">
        <v>186</v>
      </c>
      <c r="B175" s="4" t="s">
        <v>65</v>
      </c>
      <c r="C175" s="371">
        <v>1.0</v>
      </c>
      <c r="D175" s="371">
        <v>3.4660282019999996E7</v>
      </c>
      <c r="E175" s="372">
        <v>1549598.0</v>
      </c>
      <c r="F175" s="372">
        <v>2324389.0</v>
      </c>
      <c r="G175" s="372">
        <v>6068790.0</v>
      </c>
      <c r="H175" s="360"/>
      <c r="I175" s="6">
        <f t="shared" si="4"/>
        <v>4.4603060019999996E7</v>
      </c>
    </row>
    <row r="176" spans="8:8">
      <c r="A176" s="3" t="s">
        <v>187</v>
      </c>
      <c r="B176" s="4" t="s">
        <v>65</v>
      </c>
      <c r="C176" s="371">
        <v>1.0</v>
      </c>
      <c r="D176" s="371">
        <v>3.834754742E7</v>
      </c>
      <c r="E176" s="372">
        <v>1549598.0</v>
      </c>
      <c r="F176" s="372">
        <v>2324389.0</v>
      </c>
      <c r="G176" s="372">
        <v>6068790.0</v>
      </c>
      <c r="H176" s="360"/>
      <c r="I176" s="6">
        <f t="shared" si="4"/>
        <v>4.829032542E7</v>
      </c>
    </row>
    <row r="177" spans="8:8">
      <c r="A177" s="15" t="s">
        <v>188</v>
      </c>
      <c r="B177" s="16" t="s">
        <v>65</v>
      </c>
      <c r="C177" s="371">
        <v>1.0</v>
      </c>
      <c r="D177" s="371">
        <v>1.628541642E7</v>
      </c>
      <c r="E177" s="372">
        <v>1549598.0</v>
      </c>
      <c r="F177" s="372">
        <v>2324389.0</v>
      </c>
      <c r="G177" s="372">
        <v>6068790.0</v>
      </c>
      <c r="H177" s="360"/>
      <c r="I177" s="6">
        <f t="shared" si="4"/>
        <v>2.622819442E7</v>
      </c>
    </row>
    <row r="178" spans="8:8">
      <c r="A178" s="3" t="s">
        <v>189</v>
      </c>
      <c r="B178" s="4" t="s">
        <v>65</v>
      </c>
      <c r="C178" s="371">
        <v>1.0</v>
      </c>
      <c r="D178" s="371">
        <v>1.733014192E7</v>
      </c>
      <c r="E178" s="372">
        <v>1549598.0</v>
      </c>
      <c r="F178" s="372">
        <v>2324389.0</v>
      </c>
      <c r="G178" s="372">
        <v>6068790.0</v>
      </c>
      <c r="H178" s="360"/>
      <c r="I178" s="6">
        <f t="shared" si="4"/>
        <v>2.727291992E7</v>
      </c>
    </row>
    <row r="179" spans="8:8">
      <c r="A179" s="3" t="s">
        <v>190</v>
      </c>
      <c r="B179" s="16" t="s">
        <v>65</v>
      </c>
      <c r="C179" s="371">
        <v>1.0</v>
      </c>
      <c r="D179" s="371">
        <v>1.628541642E7</v>
      </c>
      <c r="E179" s="372">
        <v>1549598.0</v>
      </c>
      <c r="F179" s="372">
        <v>2324389.0</v>
      </c>
      <c r="G179" s="372">
        <v>6068790.0</v>
      </c>
      <c r="H179" s="360"/>
      <c r="I179" s="6">
        <f t="shared" si="5" ref="I179:I183">SUM(C179:H179)</f>
        <v>2.622819442E7</v>
      </c>
    </row>
    <row r="180" spans="8:8" s="49" ht="15.0" customFormat="1">
      <c r="A180" s="3" t="s">
        <v>191</v>
      </c>
      <c r="B180" s="4" t="s">
        <v>65</v>
      </c>
      <c r="C180" s="371">
        <v>1.0</v>
      </c>
      <c r="D180" s="371">
        <v>1.733014192E7</v>
      </c>
      <c r="E180" s="372">
        <v>1549598.0</v>
      </c>
      <c r="F180" s="372">
        <v>2324389.0</v>
      </c>
      <c r="G180" s="372">
        <v>6068790.0</v>
      </c>
      <c r="H180" s="360"/>
      <c r="I180" s="17">
        <f t="shared" si="5"/>
        <v>2.727291992E7</v>
      </c>
    </row>
    <row r="181" spans="8:8">
      <c r="A181" s="3" t="s">
        <v>192</v>
      </c>
      <c r="B181" s="4" t="s">
        <v>65</v>
      </c>
      <c r="C181" s="371">
        <v>1.0</v>
      </c>
      <c r="D181" s="371">
        <v>1.917377462E7</v>
      </c>
      <c r="E181" s="372">
        <v>1549598.0</v>
      </c>
      <c r="F181" s="372">
        <v>2324389.0</v>
      </c>
      <c r="G181" s="372">
        <v>6068790.0</v>
      </c>
      <c r="H181" s="360"/>
      <c r="I181" s="6">
        <f t="shared" si="5"/>
        <v>2.911655262E7</v>
      </c>
    </row>
    <row r="182" spans="8:8">
      <c r="A182" s="3" t="s">
        <v>193</v>
      </c>
      <c r="B182" s="4" t="s">
        <v>65</v>
      </c>
      <c r="C182" s="371">
        <v>1.0</v>
      </c>
      <c r="D182" s="371">
        <v>1.628541642E7</v>
      </c>
      <c r="E182" s="372">
        <v>1549598.0</v>
      </c>
      <c r="F182" s="372">
        <v>2324389.0</v>
      </c>
      <c r="G182" s="372">
        <v>6068790.0</v>
      </c>
      <c r="H182" s="360"/>
      <c r="I182" s="6">
        <f t="shared" si="5"/>
        <v>2.622819442E7</v>
      </c>
    </row>
    <row r="183" spans="8:8">
      <c r="A183" s="3" t="s">
        <v>194</v>
      </c>
      <c r="B183" s="4" t="s">
        <v>65</v>
      </c>
      <c r="C183" s="371">
        <v>1.0</v>
      </c>
      <c r="D183" s="371">
        <v>1.733014192E7</v>
      </c>
      <c r="E183" s="372">
        <v>1549598.0</v>
      </c>
      <c r="F183" s="372">
        <v>2324389.0</v>
      </c>
      <c r="G183" s="372">
        <v>6068790.0</v>
      </c>
      <c r="H183" s="360"/>
      <c r="I183" s="6">
        <f t="shared" si="5"/>
        <v>2.727291992E7</v>
      </c>
    </row>
    <row r="184" spans="8:8">
      <c r="A184" s="3" t="s">
        <v>197</v>
      </c>
      <c r="B184" s="4" t="s">
        <v>196</v>
      </c>
      <c r="C184" s="371">
        <v>1.0</v>
      </c>
      <c r="D184" s="371">
        <v>4.0347741980000004E7</v>
      </c>
      <c r="E184" s="372">
        <v>1549598.0</v>
      </c>
      <c r="F184" s="372">
        <v>2324389.0</v>
      </c>
      <c r="G184" s="360"/>
      <c r="H184" s="360"/>
      <c r="I184" s="6">
        <f t="shared" si="6" ref="I184:I240">SUM(C184:F184)</f>
        <v>4.4221729980000004E7</v>
      </c>
    </row>
    <row r="185" spans="8:8">
      <c r="A185" s="3" t="s">
        <v>198</v>
      </c>
      <c r="B185" s="4" t="s">
        <v>196</v>
      </c>
      <c r="C185" s="371">
        <v>1.0</v>
      </c>
      <c r="D185" s="371">
        <v>3.013186085E8</v>
      </c>
      <c r="E185" s="372">
        <v>1549598.0</v>
      </c>
      <c r="F185" s="372">
        <v>2324389.0</v>
      </c>
      <c r="G185" s="360"/>
      <c r="H185" s="360"/>
      <c r="I185" s="6">
        <f t="shared" si="6"/>
        <v>3.051925965E8</v>
      </c>
    </row>
    <row r="186" spans="8:8">
      <c r="A186" s="3" t="s">
        <v>199</v>
      </c>
      <c r="B186" s="4" t="s">
        <v>196</v>
      </c>
      <c r="C186" s="371">
        <v>1.0</v>
      </c>
      <c r="D186" s="371">
        <v>8.630267282000001E7</v>
      </c>
      <c r="E186" s="372">
        <v>1549598.0</v>
      </c>
      <c r="F186" s="372">
        <v>2324389.0</v>
      </c>
      <c r="G186" s="360"/>
      <c r="H186" s="360"/>
      <c r="I186" s="6">
        <f t="shared" si="6"/>
        <v>9.017666082000001E7</v>
      </c>
      <c r="J186" s="238"/>
    </row>
    <row r="187" spans="8:8">
      <c r="A187" s="3" t="s">
        <v>201</v>
      </c>
      <c r="B187" s="4" t="s">
        <v>196</v>
      </c>
      <c r="C187" s="371">
        <v>1.0</v>
      </c>
      <c r="D187" s="371">
        <v>8.630267282000001E7</v>
      </c>
      <c r="E187" s="372">
        <v>1549598.0</v>
      </c>
      <c r="F187" s="372">
        <v>2324389.0</v>
      </c>
      <c r="G187" s="360"/>
      <c r="H187" s="360"/>
      <c r="I187" s="6">
        <f t="shared" si="6"/>
        <v>9.017666082000001E7</v>
      </c>
    </row>
    <row r="188" spans="8:8">
      <c r="A188" s="3" t="s">
        <v>202</v>
      </c>
      <c r="B188" s="16" t="s">
        <v>196</v>
      </c>
      <c r="C188" s="371">
        <v>1.0</v>
      </c>
      <c r="D188" s="371">
        <v>8.630267282000001E7</v>
      </c>
      <c r="E188" s="372">
        <v>1549598.0</v>
      </c>
      <c r="F188" s="372">
        <v>2324389.0</v>
      </c>
      <c r="G188" s="360"/>
      <c r="H188" s="360"/>
      <c r="I188" s="6">
        <f t="shared" si="6"/>
        <v>9.017666082000001E7</v>
      </c>
    </row>
    <row r="189" spans="8:8">
      <c r="A189" s="3" t="s">
        <v>203</v>
      </c>
      <c r="B189" s="4" t="s">
        <v>196</v>
      </c>
      <c r="C189" s="371">
        <v>1.0</v>
      </c>
      <c r="D189" s="371">
        <v>8.630267282000001E7</v>
      </c>
      <c r="E189" s="372">
        <v>1549598.0</v>
      </c>
      <c r="F189" s="372">
        <v>2324389.0</v>
      </c>
      <c r="G189" s="360"/>
      <c r="H189" s="360"/>
      <c r="I189" s="6">
        <f t="shared" si="6"/>
        <v>9.017666082000001E7</v>
      </c>
    </row>
    <row r="190" spans="8:8">
      <c r="A190" s="3" t="s">
        <v>204</v>
      </c>
      <c r="B190" s="4" t="s">
        <v>196</v>
      </c>
      <c r="C190" s="371">
        <v>1.0</v>
      </c>
      <c r="D190" s="371">
        <v>8.630267282000001E7</v>
      </c>
      <c r="E190" s="372">
        <v>1549598.0</v>
      </c>
      <c r="F190" s="372">
        <v>2324389.0</v>
      </c>
      <c r="G190" s="360"/>
      <c r="H190" s="360"/>
      <c r="I190" s="6">
        <f t="shared" si="6"/>
        <v>9.017666082000001E7</v>
      </c>
      <c r="L190" s="233"/>
    </row>
    <row r="191" spans="8:8">
      <c r="A191" s="3" t="s">
        <v>206</v>
      </c>
      <c r="B191" s="4" t="s">
        <v>196</v>
      </c>
      <c r="C191" s="371">
        <v>1.0</v>
      </c>
      <c r="D191" s="371">
        <v>8.630267282000001E7</v>
      </c>
      <c r="E191" s="372">
        <v>1549598.0</v>
      </c>
      <c r="F191" s="372">
        <v>2324389.0</v>
      </c>
      <c r="G191" s="360"/>
      <c r="H191" s="360"/>
      <c r="I191" s="6">
        <f t="shared" si="6"/>
        <v>9.017666082000001E7</v>
      </c>
    </row>
    <row r="192" spans="8:8">
      <c r="A192" s="3" t="s">
        <v>207</v>
      </c>
      <c r="B192" s="4" t="s">
        <v>196</v>
      </c>
      <c r="C192" s="371">
        <v>1.0</v>
      </c>
      <c r="D192" s="371">
        <v>8.630267282000001E7</v>
      </c>
      <c r="E192" s="372">
        <v>1549598.0</v>
      </c>
      <c r="F192" s="372">
        <v>2324389.0</v>
      </c>
      <c r="G192" s="360"/>
      <c r="H192" s="360"/>
      <c r="I192" s="6">
        <f t="shared" si="6"/>
        <v>9.017666082000001E7</v>
      </c>
      <c r="J192" s="233"/>
      <c r="K192" s="76"/>
    </row>
    <row r="193" spans="8:8">
      <c r="A193" s="3" t="s">
        <v>208</v>
      </c>
      <c r="B193" s="4" t="s">
        <v>196</v>
      </c>
      <c r="C193" s="371">
        <v>1.0</v>
      </c>
      <c r="D193" s="371">
        <v>8.630267282000001E7</v>
      </c>
      <c r="E193" s="372">
        <v>1549598.0</v>
      </c>
      <c r="F193" s="372">
        <v>2324389.0</v>
      </c>
      <c r="G193" s="360"/>
      <c r="H193" s="360"/>
      <c r="I193" s="6">
        <f t="shared" si="6"/>
        <v>9.017666082000001E7</v>
      </c>
    </row>
    <row r="194" spans="8:8">
      <c r="A194" s="3" t="s">
        <v>209</v>
      </c>
      <c r="B194" s="4" t="s">
        <v>196</v>
      </c>
      <c r="C194" s="371">
        <v>1.0</v>
      </c>
      <c r="D194" s="371">
        <v>8.630267282000001E7</v>
      </c>
      <c r="E194" s="372">
        <v>1549598.0</v>
      </c>
      <c r="F194" s="372">
        <v>2324389.0</v>
      </c>
      <c r="G194" s="360"/>
      <c r="H194" s="360"/>
      <c r="I194" s="6">
        <f t="shared" si="6"/>
        <v>9.017666082000001E7</v>
      </c>
    </row>
    <row r="195" spans="8:8">
      <c r="A195" s="3" t="s">
        <v>210</v>
      </c>
      <c r="B195" s="4" t="s">
        <v>196</v>
      </c>
      <c r="C195" s="371">
        <v>1.0</v>
      </c>
      <c r="D195" s="371">
        <v>8.630267282000001E7</v>
      </c>
      <c r="E195" s="372">
        <v>1549598.0</v>
      </c>
      <c r="F195" s="372">
        <v>2324389.0</v>
      </c>
      <c r="G195" s="360"/>
      <c r="H195" s="360"/>
      <c r="I195" s="6">
        <f t="shared" si="6"/>
        <v>9.017666082000001E7</v>
      </c>
    </row>
    <row r="196" spans="8:8">
      <c r="A196" s="3" t="s">
        <v>211</v>
      </c>
      <c r="B196" s="4" t="s">
        <v>196</v>
      </c>
      <c r="C196" s="371">
        <v>1.0</v>
      </c>
      <c r="D196" s="371">
        <v>8.630267282000001E7</v>
      </c>
      <c r="E196" s="372">
        <v>1549598.0</v>
      </c>
      <c r="F196" s="372">
        <v>2324389.0</v>
      </c>
      <c r="G196" s="360"/>
      <c r="H196" s="360"/>
      <c r="I196" s="6">
        <f t="shared" si="6"/>
        <v>9.017666082000001E7</v>
      </c>
    </row>
    <row r="197" spans="8:8">
      <c r="A197" s="3" t="s">
        <v>212</v>
      </c>
      <c r="B197" s="4" t="s">
        <v>196</v>
      </c>
      <c r="C197" s="371">
        <v>1.0</v>
      </c>
      <c r="D197" s="371">
        <v>8.630267282000001E7</v>
      </c>
      <c r="E197" s="372">
        <v>1549598.0</v>
      </c>
      <c r="F197" s="372">
        <v>2324389.0</v>
      </c>
      <c r="G197" s="360"/>
      <c r="H197" s="360"/>
      <c r="I197" s="6">
        <f t="shared" si="6"/>
        <v>9.017666082000001E7</v>
      </c>
    </row>
    <row r="198" spans="8:8">
      <c r="A198" s="3" t="s">
        <v>214</v>
      </c>
      <c r="B198" s="4" t="s">
        <v>196</v>
      </c>
      <c r="C198" s="371">
        <v>1.0</v>
      </c>
      <c r="D198" s="371">
        <v>8.630267282000001E7</v>
      </c>
      <c r="E198" s="372">
        <v>1549598.0</v>
      </c>
      <c r="F198" s="372">
        <v>2324389.0</v>
      </c>
      <c r="G198" s="360"/>
      <c r="H198" s="360"/>
      <c r="I198" s="6">
        <f t="shared" si="6"/>
        <v>9.017666082000001E7</v>
      </c>
    </row>
    <row r="199" spans="8:8">
      <c r="A199" s="3" t="s">
        <v>215</v>
      </c>
      <c r="B199" s="4" t="s">
        <v>196</v>
      </c>
      <c r="C199" s="371">
        <v>1.0</v>
      </c>
      <c r="D199" s="371">
        <v>8.630267282000001E7</v>
      </c>
      <c r="E199" s="372">
        <v>1549598.0</v>
      </c>
      <c r="F199" s="372">
        <v>2324389.0</v>
      </c>
      <c r="G199" s="360"/>
      <c r="H199" s="360"/>
      <c r="I199" s="6">
        <f t="shared" si="6"/>
        <v>9.017666082000001E7</v>
      </c>
    </row>
    <row r="200" spans="8:8">
      <c r="A200" s="3" t="s">
        <v>216</v>
      </c>
      <c r="B200" s="4" t="s">
        <v>196</v>
      </c>
      <c r="C200" s="371">
        <v>1.0</v>
      </c>
      <c r="D200" s="371">
        <v>8.630267282000001E7</v>
      </c>
      <c r="E200" s="372">
        <v>1549598.0</v>
      </c>
      <c r="F200" s="372">
        <v>2324389.0</v>
      </c>
      <c r="G200" s="360"/>
      <c r="H200" s="360"/>
      <c r="I200" s="6">
        <f t="shared" si="6"/>
        <v>9.017666082000001E7</v>
      </c>
    </row>
    <row r="201" spans="8:8">
      <c r="A201" s="3" t="s">
        <v>217</v>
      </c>
      <c r="B201" s="4" t="s">
        <v>196</v>
      </c>
      <c r="C201" s="371">
        <v>1.0</v>
      </c>
      <c r="D201" s="371">
        <v>8.630267282000001E7</v>
      </c>
      <c r="E201" s="372">
        <v>1549598.0</v>
      </c>
      <c r="F201" s="372">
        <v>2324389.0</v>
      </c>
      <c r="G201" s="360"/>
      <c r="H201" s="360"/>
      <c r="I201" s="6">
        <f t="shared" si="6"/>
        <v>9.017666082000001E7</v>
      </c>
    </row>
    <row r="202" spans="8:8">
      <c r="A202" s="3" t="s">
        <v>218</v>
      </c>
      <c r="B202" s="4" t="s">
        <v>196</v>
      </c>
      <c r="C202" s="371">
        <v>1.0</v>
      </c>
      <c r="D202" s="371">
        <v>8.630267282000001E7</v>
      </c>
      <c r="E202" s="372">
        <v>1549598.0</v>
      </c>
      <c r="F202" s="372">
        <v>2324389.0</v>
      </c>
      <c r="G202" s="360"/>
      <c r="H202" s="360"/>
      <c r="I202" s="6">
        <f t="shared" si="6"/>
        <v>9.017666082000001E7</v>
      </c>
    </row>
    <row r="203" spans="8:8">
      <c r="A203" s="3" t="s">
        <v>219</v>
      </c>
      <c r="B203" s="4" t="s">
        <v>196</v>
      </c>
      <c r="C203" s="371">
        <v>1.0</v>
      </c>
      <c r="D203" s="371">
        <v>8.630267282000001E7</v>
      </c>
      <c r="E203" s="372">
        <v>1549598.0</v>
      </c>
      <c r="F203" s="372">
        <v>2324389.0</v>
      </c>
      <c r="G203" s="360"/>
      <c r="H203" s="360"/>
      <c r="I203" s="6">
        <f t="shared" si="6"/>
        <v>9.017666082000001E7</v>
      </c>
    </row>
    <row r="204" spans="8:8">
      <c r="A204" s="3" t="s">
        <v>220</v>
      </c>
      <c r="B204" s="4" t="s">
        <v>196</v>
      </c>
      <c r="C204" s="371">
        <v>1.0</v>
      </c>
      <c r="D204" s="371">
        <v>8.630267282000001E7</v>
      </c>
      <c r="E204" s="372">
        <v>1549598.0</v>
      </c>
      <c r="F204" s="372">
        <v>2324389.0</v>
      </c>
      <c r="G204" s="360"/>
      <c r="H204" s="360"/>
      <c r="I204" s="6">
        <f t="shared" si="6"/>
        <v>9.017666082000001E7</v>
      </c>
    </row>
    <row r="205" spans="8:8">
      <c r="A205" s="15" t="s">
        <v>221</v>
      </c>
      <c r="B205" s="4" t="s">
        <v>196</v>
      </c>
      <c r="C205" s="371">
        <v>1.0</v>
      </c>
      <c r="D205" s="371">
        <v>8.630267282000001E7</v>
      </c>
      <c r="E205" s="372">
        <v>1549598.0</v>
      </c>
      <c r="F205" s="372">
        <v>2324389.0</v>
      </c>
      <c r="G205" s="360"/>
      <c r="H205" s="360"/>
      <c r="I205" s="6">
        <f t="shared" si="6"/>
        <v>9.017666082000001E7</v>
      </c>
    </row>
    <row r="206" spans="8:8">
      <c r="A206" s="3" t="s">
        <v>222</v>
      </c>
      <c r="B206" s="4" t="s">
        <v>196</v>
      </c>
      <c r="C206" s="371">
        <v>1.0</v>
      </c>
      <c r="D206" s="371">
        <v>1.7260534564000002E8</v>
      </c>
      <c r="E206" s="372">
        <v>1549598.0</v>
      </c>
      <c r="F206" s="372">
        <v>2324389.0</v>
      </c>
      <c r="G206" s="360"/>
      <c r="H206" s="360"/>
      <c r="I206" s="6">
        <f t="shared" si="6"/>
        <v>1.7647933364000002E8</v>
      </c>
    </row>
    <row r="207" spans="8:8">
      <c r="A207" s="3" t="s">
        <v>223</v>
      </c>
      <c r="B207" s="4" t="s">
        <v>196</v>
      </c>
      <c r="C207" s="371">
        <v>1.0</v>
      </c>
      <c r="D207" s="371">
        <v>8.630267282000001E7</v>
      </c>
      <c r="E207" s="372">
        <v>1549598.0</v>
      </c>
      <c r="F207" s="372">
        <v>2324389.0</v>
      </c>
      <c r="G207" s="360"/>
      <c r="H207" s="360"/>
      <c r="I207" s="6">
        <f t="shared" si="6"/>
        <v>9.017666082000001E7</v>
      </c>
    </row>
    <row r="208" spans="8:8">
      <c r="A208" s="3" t="s">
        <v>224</v>
      </c>
      <c r="B208" s="4" t="s">
        <v>196</v>
      </c>
      <c r="C208" s="371">
        <v>1.0</v>
      </c>
      <c r="D208" s="371">
        <v>8.630267282000001E7</v>
      </c>
      <c r="E208" s="372">
        <v>1549598.0</v>
      </c>
      <c r="F208" s="372">
        <v>2324389.0</v>
      </c>
      <c r="G208" s="360"/>
      <c r="H208" s="360"/>
      <c r="I208" s="6">
        <f t="shared" si="6"/>
        <v>9.017666082000001E7</v>
      </c>
    </row>
    <row r="209" spans="8:8">
      <c r="A209" s="3" t="s">
        <v>225</v>
      </c>
      <c r="B209" s="4" t="s">
        <v>196</v>
      </c>
      <c r="C209" s="371">
        <v>1.0</v>
      </c>
      <c r="D209" s="371">
        <v>8.630267282000001E7</v>
      </c>
      <c r="E209" s="372">
        <v>1549598.0</v>
      </c>
      <c r="F209" s="372">
        <v>2324389.0</v>
      </c>
      <c r="G209" s="360"/>
      <c r="H209" s="360"/>
      <c r="I209" s="6">
        <f t="shared" si="6"/>
        <v>9.017666082000001E7</v>
      </c>
    </row>
    <row r="210" spans="8:8">
      <c r="A210" s="3" t="s">
        <v>226</v>
      </c>
      <c r="B210" s="4" t="s">
        <v>196</v>
      </c>
      <c r="C210" s="371">
        <v>1.0</v>
      </c>
      <c r="D210" s="371">
        <v>1.1342413082000001E8</v>
      </c>
      <c r="E210" s="372">
        <v>1549598.0</v>
      </c>
      <c r="F210" s="372">
        <v>2324389.0</v>
      </c>
      <c r="G210" s="360"/>
      <c r="H210" s="360"/>
      <c r="I210" s="6">
        <f t="shared" si="6"/>
        <v>1.1729811882000001E8</v>
      </c>
    </row>
    <row r="211" spans="8:8">
      <c r="A211" s="3" t="s">
        <v>228</v>
      </c>
      <c r="B211" s="4" t="s">
        <v>196</v>
      </c>
      <c r="C211" s="371">
        <v>1.0</v>
      </c>
      <c r="D211" s="371">
        <v>8.630267282000001E7</v>
      </c>
      <c r="E211" s="372">
        <v>1549598.0</v>
      </c>
      <c r="F211" s="372">
        <v>2324389.0</v>
      </c>
      <c r="G211" s="360"/>
      <c r="H211" s="360"/>
      <c r="I211" s="6">
        <f t="shared" si="6"/>
        <v>9.017666082000001E7</v>
      </c>
    </row>
    <row r="212" spans="8:8">
      <c r="A212" s="3" t="s">
        <v>229</v>
      </c>
      <c r="B212" s="4" t="s">
        <v>196</v>
      </c>
      <c r="C212" s="371">
        <v>1.0</v>
      </c>
      <c r="D212" s="371">
        <v>8.630267282000001E7</v>
      </c>
      <c r="E212" s="372">
        <v>1549598.0</v>
      </c>
      <c r="F212" s="372">
        <v>2324389.0</v>
      </c>
      <c r="G212" s="360"/>
      <c r="H212" s="360"/>
      <c r="I212" s="6">
        <f t="shared" si="6"/>
        <v>9.017666082000001E7</v>
      </c>
    </row>
    <row r="213" spans="8:8">
      <c r="A213" s="3" t="s">
        <v>230</v>
      </c>
      <c r="B213" s="4" t="s">
        <v>196</v>
      </c>
      <c r="C213" s="371">
        <v>1.0</v>
      </c>
      <c r="D213" s="371">
        <v>8.630267282000001E7</v>
      </c>
      <c r="E213" s="372">
        <v>1549598.0</v>
      </c>
      <c r="F213" s="372">
        <v>2324389.0</v>
      </c>
      <c r="G213" s="360"/>
      <c r="H213" s="360"/>
      <c r="I213" s="6">
        <f t="shared" si="6"/>
        <v>9.017666082000001E7</v>
      </c>
    </row>
    <row r="214" spans="8:8">
      <c r="A214" s="3" t="s">
        <v>231</v>
      </c>
      <c r="B214" s="4" t="s">
        <v>196</v>
      </c>
      <c r="C214" s="371">
        <v>1.0</v>
      </c>
      <c r="D214" s="371">
        <v>8.630267282000001E7</v>
      </c>
      <c r="E214" s="372">
        <v>1549598.0</v>
      </c>
      <c r="F214" s="372">
        <v>2324389.0</v>
      </c>
      <c r="G214" s="360"/>
      <c r="H214" s="360"/>
      <c r="I214" s="6">
        <f t="shared" si="6"/>
        <v>9.017666082000001E7</v>
      </c>
    </row>
    <row r="215" spans="8:8">
      <c r="A215" s="3" t="s">
        <v>232</v>
      </c>
      <c r="B215" s="4" t="s">
        <v>196</v>
      </c>
      <c r="C215" s="371">
        <v>1.0</v>
      </c>
      <c r="D215" s="371">
        <v>8.630267282000001E7</v>
      </c>
      <c r="E215" s="372">
        <v>1549598.0</v>
      </c>
      <c r="F215" s="372">
        <v>2324389.0</v>
      </c>
      <c r="G215" s="360"/>
      <c r="H215" s="360"/>
      <c r="I215" s="6">
        <f t="shared" si="6"/>
        <v>9.017666082000001E7</v>
      </c>
    </row>
    <row r="216" spans="8:8">
      <c r="A216" s="3" t="s">
        <v>233</v>
      </c>
      <c r="B216" s="4" t="s">
        <v>196</v>
      </c>
      <c r="C216" s="371">
        <v>1.0</v>
      </c>
      <c r="D216" s="371">
        <v>8.630267282000001E7</v>
      </c>
      <c r="E216" s="372">
        <v>1549598.0</v>
      </c>
      <c r="F216" s="372">
        <v>2324389.0</v>
      </c>
      <c r="G216" s="360"/>
      <c r="H216" s="360"/>
      <c r="I216" s="6">
        <f t="shared" si="6"/>
        <v>9.017666082000001E7</v>
      </c>
    </row>
    <row r="217" spans="8:8">
      <c r="A217" s="3" t="s">
        <v>234</v>
      </c>
      <c r="B217" s="4" t="s">
        <v>196</v>
      </c>
      <c r="C217" s="371">
        <v>1.0</v>
      </c>
      <c r="D217" s="371">
        <v>8.630267282000001E7</v>
      </c>
      <c r="E217" s="372">
        <v>1549598.0</v>
      </c>
      <c r="F217" s="372">
        <v>2324389.0</v>
      </c>
      <c r="G217" s="360"/>
      <c r="H217" s="360"/>
      <c r="I217" s="6">
        <f t="shared" si="6"/>
        <v>9.017666082000001E7</v>
      </c>
    </row>
    <row r="218" spans="8:8">
      <c r="A218" s="3" t="s">
        <v>235</v>
      </c>
      <c r="B218" s="4" t="s">
        <v>196</v>
      </c>
      <c r="C218" s="371">
        <v>1.0</v>
      </c>
      <c r="D218" s="371">
        <v>8.630267282000001E7</v>
      </c>
      <c r="E218" s="372">
        <v>1549598.0</v>
      </c>
      <c r="F218" s="372">
        <v>2324389.0</v>
      </c>
      <c r="G218" s="360"/>
      <c r="H218" s="360"/>
      <c r="I218" s="6">
        <f t="shared" si="6"/>
        <v>9.017666082000001E7</v>
      </c>
    </row>
    <row r="219" spans="8:8">
      <c r="A219" s="3" t="s">
        <v>236</v>
      </c>
      <c r="B219" s="4" t="s">
        <v>196</v>
      </c>
      <c r="C219" s="371">
        <v>1.0</v>
      </c>
      <c r="D219" s="371">
        <v>8.630267282000001E7</v>
      </c>
      <c r="E219" s="372">
        <v>1549598.0</v>
      </c>
      <c r="F219" s="372">
        <v>2324389.0</v>
      </c>
      <c r="G219" s="360"/>
      <c r="H219" s="360"/>
      <c r="I219" s="6">
        <f t="shared" si="6"/>
        <v>9.017666082000001E7</v>
      </c>
    </row>
    <row r="220" spans="8:8">
      <c r="A220" s="3" t="s">
        <v>237</v>
      </c>
      <c r="B220" s="4" t="s">
        <v>196</v>
      </c>
      <c r="C220" s="371">
        <v>1.0</v>
      </c>
      <c r="D220" s="371">
        <v>8.630267282000001E7</v>
      </c>
      <c r="E220" s="372">
        <v>1549598.0</v>
      </c>
      <c r="F220" s="372">
        <v>2324389.0</v>
      </c>
      <c r="G220" s="360"/>
      <c r="H220" s="360"/>
      <c r="I220" s="6">
        <f t="shared" si="6"/>
        <v>9.017666082000001E7</v>
      </c>
    </row>
    <row r="221" spans="8:8">
      <c r="A221" s="3" t="s">
        <v>238</v>
      </c>
      <c r="B221" s="4" t="s">
        <v>196</v>
      </c>
      <c r="C221" s="371">
        <v>1.0</v>
      </c>
      <c r="D221" s="371">
        <v>8.630267282000001E7</v>
      </c>
      <c r="E221" s="372">
        <v>1549598.0</v>
      </c>
      <c r="F221" s="372">
        <v>2324389.0</v>
      </c>
      <c r="G221" s="360"/>
      <c r="H221" s="360"/>
      <c r="I221" s="6">
        <f t="shared" si="6"/>
        <v>9.017666082000001E7</v>
      </c>
    </row>
    <row r="222" spans="8:8">
      <c r="A222" s="3" t="s">
        <v>239</v>
      </c>
      <c r="B222" s="4" t="s">
        <v>196</v>
      </c>
      <c r="C222" s="371">
        <v>1.0</v>
      </c>
      <c r="D222" s="371">
        <v>8.630267282000001E7</v>
      </c>
      <c r="E222" s="372">
        <v>1549598.0</v>
      </c>
      <c r="F222" s="372">
        <v>2324389.0</v>
      </c>
      <c r="G222" s="360"/>
      <c r="H222" s="360"/>
      <c r="I222" s="6">
        <f t="shared" si="6"/>
        <v>9.017666082000001E7</v>
      </c>
    </row>
    <row r="223" spans="8:8">
      <c r="A223" s="3" t="s">
        <v>240</v>
      </c>
      <c r="B223" s="4" t="s">
        <v>196</v>
      </c>
      <c r="C223" s="371">
        <v>1.0</v>
      </c>
      <c r="D223" s="371">
        <v>8.630267282000001E7</v>
      </c>
      <c r="E223" s="372">
        <v>1549598.0</v>
      </c>
      <c r="F223" s="372">
        <v>2324389.0</v>
      </c>
      <c r="G223" s="360"/>
      <c r="H223" s="360"/>
      <c r="I223" s="6">
        <f t="shared" si="6"/>
        <v>9.017666082000001E7</v>
      </c>
    </row>
    <row r="224" spans="8:8">
      <c r="A224" s="3" t="s">
        <v>241</v>
      </c>
      <c r="B224" s="16" t="s">
        <v>196</v>
      </c>
      <c r="C224" s="371">
        <v>1.0</v>
      </c>
      <c r="D224" s="371">
        <v>8.630267282000001E7</v>
      </c>
      <c r="E224" s="372">
        <v>1549598.0</v>
      </c>
      <c r="F224" s="372">
        <v>2324389.0</v>
      </c>
      <c r="G224" s="360"/>
      <c r="H224" s="360"/>
      <c r="I224" s="6">
        <f t="shared" si="6"/>
        <v>9.017666082000001E7</v>
      </c>
    </row>
    <row r="225" spans="8:8">
      <c r="A225" s="3" t="s">
        <v>242</v>
      </c>
      <c r="B225" s="4" t="s">
        <v>196</v>
      </c>
      <c r="C225" s="371">
        <v>1.0</v>
      </c>
      <c r="D225" s="371">
        <v>8.630267282000001E7</v>
      </c>
      <c r="E225" s="372">
        <v>1549598.0</v>
      </c>
      <c r="F225" s="372">
        <v>2324389.0</v>
      </c>
      <c r="G225" s="360"/>
      <c r="H225" s="360"/>
      <c r="I225" s="6">
        <f t="shared" si="6"/>
        <v>9.017666082000001E7</v>
      </c>
    </row>
    <row r="226" spans="8:8">
      <c r="A226" s="3" t="s">
        <v>243</v>
      </c>
      <c r="B226" s="4" t="s">
        <v>196</v>
      </c>
      <c r="C226" s="371">
        <v>1.0</v>
      </c>
      <c r="D226" s="371">
        <v>8.630267282000001E7</v>
      </c>
      <c r="E226" s="372">
        <v>1549598.0</v>
      </c>
      <c r="F226" s="372">
        <v>2324389.0</v>
      </c>
      <c r="G226" s="360"/>
      <c r="H226" s="360"/>
      <c r="I226" s="6">
        <f t="shared" si="6"/>
        <v>9.017666082000001E7</v>
      </c>
    </row>
    <row r="227" spans="8:8" s="49" ht="15.0" customFormat="1">
      <c r="A227" s="3" t="s">
        <v>244</v>
      </c>
      <c r="B227" s="4" t="s">
        <v>196</v>
      </c>
      <c r="C227" s="371">
        <v>1.0</v>
      </c>
      <c r="D227" s="371">
        <v>8.630267282000001E7</v>
      </c>
      <c r="E227" s="372">
        <v>1549598.0</v>
      </c>
      <c r="F227" s="372">
        <v>2324389.0</v>
      </c>
      <c r="G227" s="360"/>
      <c r="H227" s="360"/>
      <c r="I227" s="17">
        <f t="shared" si="6"/>
        <v>9.017666082000001E7</v>
      </c>
    </row>
    <row r="228" spans="8:8">
      <c r="A228" s="3" t="s">
        <v>246</v>
      </c>
      <c r="B228" s="4" t="s">
        <v>196</v>
      </c>
      <c r="C228" s="371">
        <v>1.0</v>
      </c>
      <c r="D228" s="371">
        <v>8.630267282000001E7</v>
      </c>
      <c r="E228" s="372">
        <v>1549598.0</v>
      </c>
      <c r="F228" s="372">
        <v>2324389.0</v>
      </c>
      <c r="G228" s="360"/>
      <c r="H228" s="360"/>
      <c r="I228" s="6">
        <f t="shared" si="6"/>
        <v>9.017666082000001E7</v>
      </c>
    </row>
    <row r="229" spans="8:8">
      <c r="A229" s="3" t="s">
        <v>247</v>
      </c>
      <c r="B229" s="4" t="s">
        <v>196</v>
      </c>
      <c r="C229" s="371">
        <v>1.0</v>
      </c>
      <c r="D229" s="371">
        <v>8.630267282000001E7</v>
      </c>
      <c r="E229" s="372">
        <v>1549598.0</v>
      </c>
      <c r="F229" s="372">
        <v>2324389.0</v>
      </c>
      <c r="G229" s="360"/>
      <c r="H229" s="360"/>
      <c r="I229" s="6">
        <f t="shared" si="6"/>
        <v>9.017666082000001E7</v>
      </c>
    </row>
    <row r="230" spans="8:8">
      <c r="A230" s="3" t="s">
        <v>248</v>
      </c>
      <c r="B230" s="4" t="s">
        <v>196</v>
      </c>
      <c r="C230" s="371">
        <v>1.0</v>
      </c>
      <c r="D230" s="371">
        <v>8.630267282000001E7</v>
      </c>
      <c r="E230" s="372">
        <v>1549598.0</v>
      </c>
      <c r="F230" s="372">
        <v>2324389.0</v>
      </c>
      <c r="G230" s="360"/>
      <c r="H230" s="360"/>
      <c r="I230" s="6">
        <f t="shared" si="6"/>
        <v>9.017666082000001E7</v>
      </c>
    </row>
    <row r="231" spans="8:8">
      <c r="A231" s="3" t="s">
        <v>249</v>
      </c>
      <c r="B231" s="4" t="s">
        <v>196</v>
      </c>
      <c r="C231" s="371">
        <v>1.0</v>
      </c>
      <c r="D231" s="371">
        <v>8.630267282000001E7</v>
      </c>
      <c r="E231" s="372">
        <v>1549598.0</v>
      </c>
      <c r="F231" s="372">
        <v>2324389.0</v>
      </c>
      <c r="G231" s="360"/>
      <c r="H231" s="360"/>
      <c r="I231" s="6">
        <f t="shared" si="6"/>
        <v>9.017666082000001E7</v>
      </c>
    </row>
    <row r="232" spans="8:8">
      <c r="A232" s="3" t="s">
        <v>250</v>
      </c>
      <c r="B232" s="4" t="s">
        <v>196</v>
      </c>
      <c r="C232" s="371">
        <v>1.0</v>
      </c>
      <c r="D232" s="371">
        <v>8.630267282000001E7</v>
      </c>
      <c r="E232" s="372">
        <v>1549598.0</v>
      </c>
      <c r="F232" s="372">
        <v>2324389.0</v>
      </c>
      <c r="G232" s="360"/>
      <c r="H232" s="360"/>
      <c r="I232" s="6">
        <f t="shared" si="6"/>
        <v>9.017666082000001E7</v>
      </c>
    </row>
    <row r="233" spans="8:8">
      <c r="A233" s="3" t="s">
        <v>251</v>
      </c>
      <c r="B233" s="4" t="s">
        <v>196</v>
      </c>
      <c r="C233" s="371">
        <v>1.0</v>
      </c>
      <c r="D233" s="371">
        <v>8.630267282000001E7</v>
      </c>
      <c r="E233" s="372">
        <v>1549598.0</v>
      </c>
      <c r="F233" s="372">
        <v>2324389.0</v>
      </c>
      <c r="G233" s="360"/>
      <c r="H233" s="360"/>
      <c r="I233" s="6">
        <f t="shared" si="6"/>
        <v>9.017666082000001E7</v>
      </c>
    </row>
    <row r="234" spans="8:8">
      <c r="A234" s="3" t="s">
        <v>252</v>
      </c>
      <c r="B234" s="4" t="s">
        <v>196</v>
      </c>
      <c r="C234" s="371">
        <v>1.0</v>
      </c>
      <c r="D234" s="371">
        <v>8.630267282000001E7</v>
      </c>
      <c r="E234" s="372">
        <v>1549598.0</v>
      </c>
      <c r="F234" s="372">
        <v>2324389.0</v>
      </c>
      <c r="G234" s="360"/>
      <c r="H234" s="360"/>
      <c r="I234" s="6">
        <f t="shared" si="6"/>
        <v>9.017666082000001E7</v>
      </c>
    </row>
    <row r="235" spans="8:8">
      <c r="A235" s="3" t="s">
        <v>253</v>
      </c>
      <c r="B235" s="4" t="s">
        <v>196</v>
      </c>
      <c r="C235" s="371">
        <v>1.0</v>
      </c>
      <c r="D235" s="371">
        <v>8.630267282000001E7</v>
      </c>
      <c r="E235" s="372">
        <v>1549598.0</v>
      </c>
      <c r="F235" s="372">
        <v>2324389.0</v>
      </c>
      <c r="G235" s="360"/>
      <c r="H235" s="360"/>
      <c r="I235" s="6">
        <f t="shared" si="6"/>
        <v>9.017666082000001E7</v>
      </c>
    </row>
    <row r="236" spans="8:8">
      <c r="A236" s="3" t="s">
        <v>254</v>
      </c>
      <c r="B236" s="4" t="s">
        <v>196</v>
      </c>
      <c r="C236" s="371">
        <v>1.0</v>
      </c>
      <c r="D236" s="371">
        <v>8.630267282000001E7</v>
      </c>
      <c r="E236" s="372">
        <v>1549598.0</v>
      </c>
      <c r="F236" s="372">
        <v>2324389.0</v>
      </c>
      <c r="G236" s="360"/>
      <c r="H236" s="360"/>
      <c r="I236" s="6">
        <f t="shared" si="6"/>
        <v>9.017666082000001E7</v>
      </c>
    </row>
    <row r="237" spans="8:8">
      <c r="A237" s="3" t="s">
        <v>255</v>
      </c>
      <c r="B237" s="4" t="s">
        <v>196</v>
      </c>
      <c r="C237" s="371">
        <v>1.0</v>
      </c>
      <c r="D237" s="371">
        <v>8.630267282000001E7</v>
      </c>
      <c r="E237" s="372">
        <v>1549598.0</v>
      </c>
      <c r="F237" s="372">
        <v>2324389.0</v>
      </c>
      <c r="G237" s="360"/>
      <c r="H237" s="360"/>
      <c r="I237" s="6">
        <f t="shared" si="6"/>
        <v>9.017666082000001E7</v>
      </c>
    </row>
    <row r="238" spans="8:8">
      <c r="A238" s="3" t="s">
        <v>256</v>
      </c>
      <c r="B238" s="4" t="s">
        <v>196</v>
      </c>
      <c r="C238" s="371">
        <v>1.0</v>
      </c>
      <c r="D238" s="371">
        <v>8.630267282000001E7</v>
      </c>
      <c r="E238" s="372">
        <v>1549598.0</v>
      </c>
      <c r="F238" s="372">
        <v>2324389.0</v>
      </c>
      <c r="G238" s="360"/>
      <c r="H238" s="360"/>
      <c r="I238" s="6">
        <f t="shared" si="6"/>
        <v>9.017666082000001E7</v>
      </c>
    </row>
    <row r="239" spans="8:8">
      <c r="A239" s="3" t="s">
        <v>257</v>
      </c>
      <c r="B239" s="4" t="s">
        <v>196</v>
      </c>
      <c r="C239" s="371">
        <v>1.0</v>
      </c>
      <c r="D239" s="371">
        <v>8.630267282000001E7</v>
      </c>
      <c r="E239" s="372">
        <v>1549598.0</v>
      </c>
      <c r="F239" s="372">
        <v>2324389.0</v>
      </c>
      <c r="G239" s="360"/>
      <c r="H239" s="360"/>
      <c r="I239" s="6">
        <f t="shared" si="6"/>
        <v>9.017666082000001E7</v>
      </c>
    </row>
    <row r="240" spans="8:8">
      <c r="A240" s="3" t="s">
        <v>258</v>
      </c>
      <c r="B240" s="4" t="s">
        <v>196</v>
      </c>
      <c r="C240" s="371">
        <v>1.0</v>
      </c>
      <c r="D240" s="371">
        <v>8.630267282000001E7</v>
      </c>
      <c r="E240" s="372">
        <v>1549598.0</v>
      </c>
      <c r="F240" s="372">
        <v>2324389.0</v>
      </c>
      <c r="G240" s="360"/>
      <c r="H240" s="360"/>
      <c r="I240" s="6">
        <f t="shared" si="6"/>
        <v>9.017666082000001E7</v>
      </c>
    </row>
    <row r="241" spans="8:8">
      <c r="A241" s="3" t="s">
        <v>259</v>
      </c>
      <c r="B241" s="4" t="s">
        <v>196</v>
      </c>
      <c r="C241" s="371">
        <v>1.0</v>
      </c>
      <c r="D241" s="371">
        <v>8.630267282000001E7</v>
      </c>
      <c r="E241" s="372">
        <v>1549598.0</v>
      </c>
      <c r="F241" s="372">
        <v>2324389.0</v>
      </c>
      <c r="G241" s="360"/>
      <c r="H241" s="360"/>
      <c r="I241" s="6">
        <f>SUM(C241:H241)</f>
        <v>9.017666082000001E7</v>
      </c>
    </row>
    <row r="242" spans="8:8">
      <c r="A242" s="3" t="s">
        <v>260</v>
      </c>
      <c r="B242" s="4" t="s">
        <v>196</v>
      </c>
      <c r="C242" s="371">
        <v>3.582243028E7</v>
      </c>
      <c r="D242" s="371">
        <v>1.0365727007999998E8</v>
      </c>
      <c r="E242" s="372">
        <v>1549598.0</v>
      </c>
      <c r="F242" s="372">
        <v>2324389.0</v>
      </c>
      <c r="G242" s="360"/>
      <c r="H242" s="360"/>
      <c r="I242" s="6">
        <f>SUM(C242:H242)</f>
        <v>1.4335368735999998E8</v>
      </c>
    </row>
    <row r="243" spans="8:8">
      <c r="A243" s="3" t="s">
        <v>262</v>
      </c>
      <c r="B243" s="4" t="s">
        <v>196</v>
      </c>
      <c r="C243" s="371">
        <v>1.0</v>
      </c>
      <c r="D243" s="371">
        <v>1.0356320702000001E8</v>
      </c>
      <c r="E243" s="372">
        <v>1549598.0</v>
      </c>
      <c r="F243" s="372">
        <v>2324389.0</v>
      </c>
      <c r="G243" s="360"/>
      <c r="H243" s="360"/>
      <c r="I243" s="6">
        <f t="shared" si="7" ref="I243:I255">SUM(C243:F243)</f>
        <v>1.0743719502000001E8</v>
      </c>
    </row>
    <row r="244" spans="8:8">
      <c r="A244" s="3" t="s">
        <v>265</v>
      </c>
      <c r="B244" s="4" t="s">
        <v>196</v>
      </c>
      <c r="C244" s="371">
        <v>1.0</v>
      </c>
      <c r="D244" s="371">
        <v>8.630267282000001E7</v>
      </c>
      <c r="E244" s="372">
        <v>1549598.0</v>
      </c>
      <c r="F244" s="372">
        <v>2324389.0</v>
      </c>
      <c r="G244" s="360"/>
      <c r="H244" s="360"/>
      <c r="I244" s="6">
        <f t="shared" si="7"/>
        <v>9.017666082000001E7</v>
      </c>
    </row>
    <row r="245" spans="8:8">
      <c r="A245" s="3" t="s">
        <v>266</v>
      </c>
      <c r="B245" s="4" t="s">
        <v>196</v>
      </c>
      <c r="C245" s="371">
        <v>1.0</v>
      </c>
      <c r="D245" s="371">
        <v>8.630267282000001E7</v>
      </c>
      <c r="E245" s="372">
        <v>1549598.0</v>
      </c>
      <c r="F245" s="372">
        <v>2324389.0</v>
      </c>
      <c r="G245" s="360"/>
      <c r="H245" s="360"/>
      <c r="I245" s="6">
        <f t="shared" si="7"/>
        <v>9.017666082000001E7</v>
      </c>
    </row>
    <row r="246" spans="8:8">
      <c r="A246" s="3" t="s">
        <v>267</v>
      </c>
      <c r="B246" s="4" t="s">
        <v>196</v>
      </c>
      <c r="C246" s="371">
        <v>1.0</v>
      </c>
      <c r="D246" s="371">
        <v>8.630267282000001E7</v>
      </c>
      <c r="E246" s="372">
        <v>1549598.0</v>
      </c>
      <c r="F246" s="372">
        <v>2324389.0</v>
      </c>
      <c r="G246" s="360"/>
      <c r="H246" s="360"/>
      <c r="I246" s="6">
        <f t="shared" si="7"/>
        <v>9.017666082000001E7</v>
      </c>
    </row>
    <row r="247" spans="8:8">
      <c r="A247" s="3" t="s">
        <v>268</v>
      </c>
      <c r="B247" s="4" t="s">
        <v>196</v>
      </c>
      <c r="C247" s="371">
        <v>1.0</v>
      </c>
      <c r="D247" s="371">
        <v>8.630267282000001E7</v>
      </c>
      <c r="E247" s="372">
        <v>1549598.0</v>
      </c>
      <c r="F247" s="372">
        <v>2324389.0</v>
      </c>
      <c r="G247" s="360"/>
      <c r="H247" s="360"/>
      <c r="I247" s="6">
        <f t="shared" si="7"/>
        <v>9.017666082000001E7</v>
      </c>
    </row>
    <row r="248" spans="8:8">
      <c r="A248" s="3" t="s">
        <v>269</v>
      </c>
      <c r="B248" s="4" t="s">
        <v>196</v>
      </c>
      <c r="C248" s="371">
        <v>1.0</v>
      </c>
      <c r="D248" s="371">
        <v>8.630267282000001E7</v>
      </c>
      <c r="E248" s="372">
        <v>1549598.0</v>
      </c>
      <c r="F248" s="372">
        <v>2324389.0</v>
      </c>
      <c r="G248" s="360"/>
      <c r="H248" s="360"/>
      <c r="I248" s="6">
        <f t="shared" si="7"/>
        <v>9.017666082000001E7</v>
      </c>
    </row>
    <row r="249" spans="8:8">
      <c r="A249" s="3" t="s">
        <v>270</v>
      </c>
      <c r="B249" s="4" t="s">
        <v>196</v>
      </c>
      <c r="C249" s="371">
        <v>1.0</v>
      </c>
      <c r="D249" s="371">
        <v>8.630267282000001E7</v>
      </c>
      <c r="E249" s="372">
        <v>1549598.0</v>
      </c>
      <c r="F249" s="372">
        <v>2324389.0</v>
      </c>
      <c r="G249" s="360"/>
      <c r="H249" s="360"/>
      <c r="I249" s="6">
        <f t="shared" si="7"/>
        <v>9.017666082000001E7</v>
      </c>
    </row>
    <row r="250" spans="8:8">
      <c r="A250" s="3" t="s">
        <v>271</v>
      </c>
      <c r="B250" s="4" t="s">
        <v>196</v>
      </c>
      <c r="C250" s="371">
        <v>1.0</v>
      </c>
      <c r="D250" s="371">
        <v>8.630267282000001E7</v>
      </c>
      <c r="E250" s="372">
        <v>1549598.0</v>
      </c>
      <c r="F250" s="372">
        <v>2324389.0</v>
      </c>
      <c r="G250" s="360"/>
      <c r="H250" s="360"/>
      <c r="I250" s="6">
        <f t="shared" si="7"/>
        <v>9.017666082000001E7</v>
      </c>
    </row>
    <row r="251" spans="8:8">
      <c r="A251" s="3" t="s">
        <v>272</v>
      </c>
      <c r="B251" s="4" t="s">
        <v>196</v>
      </c>
      <c r="C251" s="371">
        <v>1.0</v>
      </c>
      <c r="D251" s="371">
        <v>8.630267282000001E7</v>
      </c>
      <c r="E251" s="372">
        <v>1549598.0</v>
      </c>
      <c r="F251" s="372">
        <v>2324389.0</v>
      </c>
      <c r="G251" s="360"/>
      <c r="H251" s="360"/>
      <c r="I251" s="6">
        <f t="shared" si="7"/>
        <v>9.017666082000001E7</v>
      </c>
    </row>
    <row r="252" spans="8:8">
      <c r="A252" s="3" t="s">
        <v>273</v>
      </c>
      <c r="B252" s="4" t="s">
        <v>196</v>
      </c>
      <c r="C252" s="371">
        <v>1.0</v>
      </c>
      <c r="D252" s="371">
        <v>8.630267282000001E7</v>
      </c>
      <c r="E252" s="372">
        <v>1549598.0</v>
      </c>
      <c r="F252" s="372">
        <v>2324389.0</v>
      </c>
      <c r="G252" s="360"/>
      <c r="H252" s="360"/>
      <c r="I252" s="6">
        <f t="shared" si="7"/>
        <v>9.017666082000001E7</v>
      </c>
    </row>
    <row r="253" spans="8:8">
      <c r="A253" s="3" t="s">
        <v>274</v>
      </c>
      <c r="B253" s="4" t="s">
        <v>196</v>
      </c>
      <c r="C253" s="371">
        <v>1.0</v>
      </c>
      <c r="D253" s="371">
        <v>8.630267282000001E7</v>
      </c>
      <c r="E253" s="372">
        <v>1549598.0</v>
      </c>
      <c r="F253" s="372">
        <v>2324389.0</v>
      </c>
      <c r="G253" s="360"/>
      <c r="H253" s="360"/>
      <c r="I253" s="6">
        <f t="shared" si="7"/>
        <v>9.017666082000001E7</v>
      </c>
    </row>
    <row r="254" spans="8:8">
      <c r="A254" s="3" t="s">
        <v>275</v>
      </c>
      <c r="B254" s="4" t="s">
        <v>196</v>
      </c>
      <c r="C254" s="371">
        <v>1.0</v>
      </c>
      <c r="D254" s="371">
        <v>8.630267282000001E7</v>
      </c>
      <c r="E254" s="372">
        <v>1549598.0</v>
      </c>
      <c r="F254" s="372">
        <v>2324389.0</v>
      </c>
      <c r="G254" s="360"/>
      <c r="H254" s="360"/>
      <c r="I254" s="6">
        <f t="shared" si="7"/>
        <v>9.017666082000001E7</v>
      </c>
    </row>
    <row r="255" spans="8:8">
      <c r="A255" s="3" t="s">
        <v>276</v>
      </c>
      <c r="B255" s="4" t="s">
        <v>196</v>
      </c>
      <c r="C255" s="371">
        <v>1.0</v>
      </c>
      <c r="D255" s="371">
        <v>8.630267282000001E7</v>
      </c>
      <c r="E255" s="372">
        <v>1549598.0</v>
      </c>
      <c r="F255" s="372">
        <v>2324389.0</v>
      </c>
      <c r="G255" s="360"/>
      <c r="H255" s="360"/>
      <c r="I255" s="6">
        <f t="shared" si="7"/>
        <v>9.017666082000001E7</v>
      </c>
    </row>
    <row r="256" spans="8:8">
      <c r="A256" s="334" t="s">
        <v>407</v>
      </c>
      <c r="B256" s="4" t="s">
        <v>196</v>
      </c>
      <c r="C256" s="371">
        <v>1.0</v>
      </c>
      <c r="D256" s="371">
        <v>1.7260534564000002E8</v>
      </c>
      <c r="E256" s="372">
        <v>1549598.0</v>
      </c>
      <c r="F256" s="372">
        <v>2324389.0</v>
      </c>
      <c r="G256" s="360"/>
      <c r="H256" s="360"/>
      <c r="I256" s="6">
        <f t="shared" si="8" ref="I256:I270">SUM(C256:H256)</f>
        <v>1.7647933364000002E8</v>
      </c>
    </row>
    <row r="257" spans="8:8">
      <c r="A257" s="334" t="s">
        <v>408</v>
      </c>
      <c r="B257" s="4" t="s">
        <v>196</v>
      </c>
      <c r="C257" s="371">
        <v>1.0</v>
      </c>
      <c r="D257" s="371">
        <v>1.7260534564000002E8</v>
      </c>
      <c r="E257" s="372">
        <v>1549598.0</v>
      </c>
      <c r="F257" s="372">
        <v>2324389.0</v>
      </c>
      <c r="G257" s="360"/>
      <c r="H257" s="360"/>
      <c r="I257" s="6">
        <f t="shared" si="8"/>
        <v>1.7647933364000002E8</v>
      </c>
    </row>
    <row r="258" spans="8:8">
      <c r="A258" s="15" t="s">
        <v>277</v>
      </c>
      <c r="B258" s="4" t="s">
        <v>196</v>
      </c>
      <c r="C258" s="371">
        <v>1.0</v>
      </c>
      <c r="D258" s="371">
        <v>8.630267282000001E7</v>
      </c>
      <c r="E258" s="372">
        <v>1549598.0</v>
      </c>
      <c r="F258" s="372">
        <v>2324389.0</v>
      </c>
      <c r="G258" s="360"/>
      <c r="H258" s="360"/>
      <c r="I258" s="6">
        <f t="shared" si="8"/>
        <v>9.017666082000001E7</v>
      </c>
    </row>
    <row r="259" spans="8:8">
      <c r="A259" s="3" t="s">
        <v>280</v>
      </c>
      <c r="B259" s="4" t="s">
        <v>196</v>
      </c>
      <c r="C259" s="371">
        <v>3.582242846E7</v>
      </c>
      <c r="D259" s="371">
        <v>1.0365727007999998E8</v>
      </c>
      <c r="E259" s="372">
        <v>1549598.0</v>
      </c>
      <c r="F259" s="372">
        <v>2324389.0</v>
      </c>
      <c r="G259" s="360"/>
      <c r="H259" s="360"/>
      <c r="I259" s="6">
        <f t="shared" si="8"/>
        <v>1.4335368554E8</v>
      </c>
    </row>
    <row r="260" spans="8:8">
      <c r="A260" s="207" t="s">
        <v>281</v>
      </c>
      <c r="B260" s="208" t="s">
        <v>282</v>
      </c>
      <c r="C260" s="371">
        <v>8.0E7</v>
      </c>
      <c r="D260" s="28"/>
      <c r="E260" s="372"/>
      <c r="F260" s="372"/>
      <c r="G260" s="360"/>
      <c r="H260" s="360"/>
      <c r="I260" s="210">
        <f t="shared" si="8"/>
        <v>8.0E7</v>
      </c>
    </row>
    <row r="261" spans="8:8">
      <c r="A261" s="207" t="s">
        <v>283</v>
      </c>
      <c r="B261" s="208" t="s">
        <v>282</v>
      </c>
      <c r="C261" s="371">
        <v>8.0E7</v>
      </c>
      <c r="D261" s="28"/>
      <c r="E261" s="372"/>
      <c r="F261" s="372"/>
      <c r="G261" s="360"/>
      <c r="H261" s="360"/>
      <c r="I261" s="210">
        <f t="shared" si="8"/>
        <v>8.0E7</v>
      </c>
    </row>
    <row r="262" spans="8:8">
      <c r="A262" s="207" t="s">
        <v>284</v>
      </c>
      <c r="B262" s="208" t="s">
        <v>285</v>
      </c>
      <c r="C262" s="372">
        <v>442916.0</v>
      </c>
      <c r="D262" s="28"/>
      <c r="E262" s="372"/>
      <c r="F262" s="372"/>
      <c r="G262" s="360"/>
      <c r="H262" s="360"/>
      <c r="I262" s="210">
        <f t="shared" si="8"/>
        <v>442916.0</v>
      </c>
    </row>
    <row r="263" spans="8:8">
      <c r="A263" s="207" t="s">
        <v>286</v>
      </c>
      <c r="B263" s="208" t="s">
        <v>285</v>
      </c>
      <c r="C263" s="372">
        <v>668805.0</v>
      </c>
      <c r="D263" s="28"/>
      <c r="E263" s="372"/>
      <c r="F263" s="372"/>
      <c r="G263" s="360"/>
      <c r="H263" s="360"/>
      <c r="I263" s="210">
        <f t="shared" si="8"/>
        <v>668805.0</v>
      </c>
    </row>
    <row r="264" spans="8:8">
      <c r="A264" s="15" t="s">
        <v>4</v>
      </c>
      <c r="B264" s="16" t="s">
        <v>285</v>
      </c>
      <c r="C264" s="372">
        <v>1549598.0</v>
      </c>
      <c r="D264" s="28"/>
      <c r="E264" s="372"/>
      <c r="F264" s="372"/>
      <c r="G264" s="360"/>
      <c r="H264" s="360"/>
      <c r="I264" s="210">
        <f t="shared" si="8"/>
        <v>1549598.0</v>
      </c>
    </row>
    <row r="265" spans="8:8">
      <c r="A265" s="15" t="s">
        <v>406</v>
      </c>
      <c r="B265" s="16" t="s">
        <v>285</v>
      </c>
      <c r="C265" s="372">
        <v>6068790.0</v>
      </c>
      <c r="D265" s="28"/>
      <c r="E265" s="372"/>
      <c r="F265" s="372"/>
      <c r="G265" s="360"/>
      <c r="H265" s="360"/>
      <c r="I265" s="210">
        <f t="shared" si="8"/>
        <v>6068790.0</v>
      </c>
    </row>
    <row r="266" spans="8:8">
      <c r="A266" s="207" t="s">
        <v>287</v>
      </c>
      <c r="B266" s="16" t="s">
        <v>285</v>
      </c>
      <c r="C266" s="372">
        <v>4648776.0</v>
      </c>
      <c r="D266" s="28"/>
      <c r="E266" s="372"/>
      <c r="F266" s="372"/>
      <c r="G266" s="360"/>
      <c r="H266" s="360"/>
      <c r="I266" s="210">
        <f t="shared" si="8"/>
        <v>4648776.0</v>
      </c>
    </row>
    <row r="267" spans="8:8">
      <c r="A267" s="15" t="s">
        <v>319</v>
      </c>
      <c r="B267" s="16" t="s">
        <v>285</v>
      </c>
      <c r="C267" s="372">
        <v>2810808.0</v>
      </c>
      <c r="D267" s="28"/>
      <c r="E267" s="372"/>
      <c r="F267" s="372"/>
      <c r="G267" s="360"/>
      <c r="H267" s="360"/>
      <c r="I267" s="210">
        <f t="shared" si="8"/>
        <v>2810808.0</v>
      </c>
    </row>
    <row r="268" spans="8:8">
      <c r="A268" s="15" t="s">
        <v>5</v>
      </c>
      <c r="B268" s="16" t="s">
        <v>285</v>
      </c>
      <c r="C268" s="372">
        <v>2324389.0</v>
      </c>
      <c r="D268" s="28"/>
      <c r="E268" s="372"/>
      <c r="F268" s="372"/>
      <c r="G268" s="360"/>
      <c r="H268" s="360"/>
      <c r="I268" s="210">
        <f t="shared" si="8"/>
        <v>2324389.0</v>
      </c>
    </row>
    <row r="269" spans="8:8">
      <c r="A269" s="15" t="s">
        <v>288</v>
      </c>
      <c r="B269" s="16" t="s">
        <v>285</v>
      </c>
      <c r="C269" s="372">
        <v>7760206.0</v>
      </c>
      <c r="D269" s="28"/>
      <c r="E269" s="372"/>
      <c r="F269" s="372"/>
      <c r="G269" s="360"/>
      <c r="H269" s="360"/>
      <c r="I269" s="210">
        <f t="shared" si="8"/>
        <v>7760206.0</v>
      </c>
    </row>
    <row r="270" spans="8:8">
      <c r="A270" s="207" t="s">
        <v>291</v>
      </c>
      <c r="B270" s="208" t="s">
        <v>290</v>
      </c>
      <c r="C270" s="372">
        <v>2.8466831119999997E7</v>
      </c>
      <c r="D270" s="371"/>
      <c r="E270" s="372">
        <v>1549598.0</v>
      </c>
      <c r="F270" s="372">
        <v>2324389.0</v>
      </c>
      <c r="G270" s="360"/>
      <c r="H270" s="360"/>
      <c r="I270" s="210">
        <f t="shared" si="8"/>
        <v>3.2340818119999997E7</v>
      </c>
    </row>
    <row r="271" spans="8:8">
      <c r="A271" s="39"/>
      <c r="C271" s="161"/>
      <c r="D271" s="39"/>
    </row>
    <row r="272" spans="8:8">
      <c r="A272" s="39"/>
      <c r="C272" s="161"/>
      <c r="D272" s="39"/>
    </row>
    <row r="273" spans="8:8">
      <c r="A273" s="39"/>
    </row>
    <row r="274" spans="8:8">
      <c r="A274" s="39"/>
    </row>
    <row r="276" spans="8:8">
      <c r="A276" s="38" t="s">
        <v>351</v>
      </c>
    </row>
    <row r="285" spans="8:8">
      <c r="H285" s="351"/>
    </row>
    <row r="286" spans="8:8" s="49" ht="15.0" customFormat="1">
      <c r="A286" s="38"/>
      <c r="B286" s="39"/>
      <c r="C286" s="40"/>
      <c r="D286" s="163"/>
      <c r="E286" s="163"/>
      <c r="F286" s="163"/>
      <c r="G286" s="314"/>
      <c r="H286" s="351"/>
    </row>
    <row r="294" spans="8:8" s="49" ht="15.0" customFormat="1">
      <c r="A294" s="38"/>
      <c r="B294" s="39"/>
      <c r="C294" s="40"/>
      <c r="D294" s="163"/>
      <c r="E294" s="163"/>
      <c r="F294" s="163"/>
      <c r="G294" s="314"/>
      <c r="H294" s="351"/>
    </row>
    <row r="297" spans="8:8" s="49" ht="15.0" customFormat="1">
      <c r="A297" s="38"/>
      <c r="B297" s="39"/>
      <c r="C297" s="40"/>
      <c r="D297" s="163"/>
      <c r="E297" s="163"/>
      <c r="F297" s="163"/>
      <c r="G297" s="314"/>
      <c r="H297" s="351"/>
    </row>
    <row r="298" spans="8:8" s="49" ht="15.0" customFormat="1">
      <c r="A298" s="38"/>
      <c r="B298" s="39"/>
      <c r="C298" s="40"/>
      <c r="D298" s="163"/>
      <c r="E298" s="163"/>
      <c r="F298" s="163"/>
      <c r="G298" s="314"/>
      <c r="H298" s="351"/>
    </row>
    <row r="299" spans="8:8">
      <c r="H299" s="248"/>
    </row>
    <row r="300" spans="8:8">
      <c r="H300" s="248"/>
    </row>
  </sheetData>
  <pageMargins left="0.49" right="0.21" top="0.26" bottom="0.24" header="0.17" footer="0.15"/>
</worksheet>
</file>

<file path=xl/worksheets/sheet30.xml><?xml version="1.0" encoding="utf-8"?>
<worksheet xmlns:r="http://schemas.openxmlformats.org/officeDocument/2006/relationships" xmlns="http://schemas.openxmlformats.org/spreadsheetml/2006/main">
  <dimension ref="A1:M300"/>
  <sheetViews>
    <sheetView workbookViewId="0">
      <pane ySplit="1" topLeftCell="A35" state="frozen" activePane="bottomLeft"/>
      <selection pane="bottomLeft" activeCell="A37" sqref="A37:XFD37"/>
    </sheetView>
  </sheetViews>
  <sheetFormatPr defaultRowHeight="15.0" defaultColWidth="10"/>
  <cols>
    <col min="1" max="1" customWidth="1" width="65.28516" style="38"/>
    <col min="2" max="2" customWidth="1" width="14.285156" style="39"/>
    <col min="3" max="3" customWidth="1" width="14.5703125" style="40"/>
    <col min="4" max="5" customWidth="1" width="18.140625" style="163"/>
    <col min="6" max="6" customWidth="1" width="19.710938" style="163"/>
    <col min="7" max="7" customWidth="1" width="14.5703125" style="314"/>
    <col min="8" max="8" customWidth="1" width="19.710938" style="244"/>
    <col min="9" max="9" customWidth="1" width="15.7109375" style="39"/>
    <col min="10" max="10" customWidth="1" width="11.425781" style="39"/>
    <col min="11" max="11" customWidth="1" bestFit="1" width="41.710938" style="39"/>
    <col min="12" max="16384" customWidth="0" width="11.425781" style="39"/>
  </cols>
  <sheetData>
    <row r="1" spans="8:8" ht="15.75">
      <c r="A1" s="364" t="s">
        <v>0</v>
      </c>
      <c r="B1" s="365" t="s">
        <v>1</v>
      </c>
      <c r="C1" s="366" t="s">
        <v>416</v>
      </c>
      <c r="D1" s="366" t="s">
        <v>3</v>
      </c>
      <c r="E1" s="367" t="s">
        <v>4</v>
      </c>
      <c r="F1" s="367" t="s">
        <v>5</v>
      </c>
      <c r="G1" s="367" t="s">
        <v>406</v>
      </c>
      <c r="H1" s="367" t="s">
        <v>319</v>
      </c>
      <c r="I1" s="368" t="s">
        <v>425</v>
      </c>
    </row>
    <row r="2" spans="8:8">
      <c r="A2" s="10" t="s">
        <v>7</v>
      </c>
      <c r="B2" s="11" t="s">
        <v>8</v>
      </c>
      <c r="C2" s="369">
        <v>1.0</v>
      </c>
      <c r="D2" s="369">
        <v>5.058004497E7</v>
      </c>
      <c r="E2" s="372">
        <v>2014478.0</v>
      </c>
      <c r="F2" s="372">
        <v>3654051.0</v>
      </c>
      <c r="G2" s="316"/>
      <c r="H2" s="362"/>
      <c r="I2" s="13">
        <f>SUM(C2:H2)</f>
        <v>5.624857497E7</v>
      </c>
    </row>
    <row r="3" spans="8:8">
      <c r="A3" s="3" t="s">
        <v>9</v>
      </c>
      <c r="B3" s="4" t="s">
        <v>8</v>
      </c>
      <c r="C3" s="371">
        <v>1.0</v>
      </c>
      <c r="D3" s="369">
        <v>5.0580044970000006E7</v>
      </c>
      <c r="E3" s="372">
        <v>2014478.0</v>
      </c>
      <c r="F3" s="372">
        <v>3654051.0</v>
      </c>
      <c r="G3" s="329"/>
      <c r="H3" s="329"/>
      <c r="I3" s="6">
        <f>SUM(C3:F3)</f>
        <v>5.6248574970000006E7</v>
      </c>
    </row>
    <row r="4" spans="8:8">
      <c r="A4" s="3" t="s">
        <v>10</v>
      </c>
      <c r="B4" s="4" t="s">
        <v>8</v>
      </c>
      <c r="C4" s="371">
        <v>1.0</v>
      </c>
      <c r="D4" s="369">
        <v>5.0580044970000006E7</v>
      </c>
      <c r="E4" s="372">
        <v>2014478.0</v>
      </c>
      <c r="F4" s="372">
        <v>3654051.0</v>
      </c>
      <c r="G4" s="329"/>
      <c r="H4" s="329"/>
      <c r="I4" s="6">
        <f>SUM(C4:F4)</f>
        <v>5.6248574970000006E7</v>
      </c>
    </row>
    <row r="5" spans="8:8">
      <c r="A5" s="3" t="s">
        <v>11</v>
      </c>
      <c r="B5" s="4" t="s">
        <v>8</v>
      </c>
      <c r="C5" s="371">
        <v>1.0</v>
      </c>
      <c r="D5" s="369">
        <v>3.9770601779999994E7</v>
      </c>
      <c r="E5" s="372">
        <v>2014478.0</v>
      </c>
      <c r="F5" s="372">
        <v>3654051.0</v>
      </c>
      <c r="G5" s="329"/>
      <c r="H5" s="329"/>
      <c r="I5" s="6">
        <f>SUM(C5:H5)</f>
        <v>4.5439131779999994E7</v>
      </c>
    </row>
    <row r="6" spans="8:8">
      <c r="A6" s="18" t="s">
        <v>426</v>
      </c>
      <c r="B6" s="16" t="s">
        <v>13</v>
      </c>
      <c r="C6" s="371">
        <v>2.9116181009999994E7</v>
      </c>
      <c r="D6" s="369">
        <v>1.997897307E7</v>
      </c>
      <c r="E6" s="372">
        <v>2014478.0</v>
      </c>
      <c r="F6" s="372">
        <v>3654051.0</v>
      </c>
      <c r="G6" s="360"/>
      <c r="H6" s="372">
        <v>3654051.0</v>
      </c>
      <c r="I6" s="6">
        <f>SUM(C6:H6)</f>
        <v>5.841773408E7</v>
      </c>
      <c r="J6" s="71"/>
      <c r="K6" s="71"/>
    </row>
    <row r="7" spans="8:8" s="49" ht="15.0" customFormat="1">
      <c r="A7" s="206" t="s">
        <v>433</v>
      </c>
      <c r="B7" s="16" t="s">
        <v>13</v>
      </c>
      <c r="C7" s="378"/>
      <c r="D7" s="379"/>
      <c r="E7" s="372"/>
      <c r="F7" s="372"/>
      <c r="G7" s="360"/>
      <c r="H7" s="372"/>
      <c r="I7" s="43">
        <f>58417734.08*2</f>
        <v>1.1683546816E8</v>
      </c>
      <c r="J7" s="312"/>
      <c r="K7" s="312"/>
    </row>
    <row r="8" spans="8:8">
      <c r="A8" s="3" t="s">
        <v>15</v>
      </c>
      <c r="B8" s="4" t="s">
        <v>13</v>
      </c>
      <c r="C8" s="371">
        <v>2.9116181009999994E7</v>
      </c>
      <c r="D8" s="369">
        <v>1.997897307E7</v>
      </c>
      <c r="E8" s="372">
        <v>2014478.0</v>
      </c>
      <c r="F8" s="372">
        <v>3654051.0</v>
      </c>
      <c r="G8" s="360"/>
      <c r="H8" s="372">
        <v>3654051.0</v>
      </c>
      <c r="I8" s="6">
        <f t="shared" si="0" ref="I8:I13">SUM(C8:H8)</f>
        <v>5.841773408E7</v>
      </c>
      <c r="J8" s="71"/>
      <c r="K8" s="71"/>
    </row>
    <row r="9" spans="8:8">
      <c r="A9" s="3" t="s">
        <v>16</v>
      </c>
      <c r="B9" s="4" t="s">
        <v>13</v>
      </c>
      <c r="C9" s="371">
        <v>2.9116181009999994E7</v>
      </c>
      <c r="D9" s="369">
        <v>1.997897307E7</v>
      </c>
      <c r="E9" s="372">
        <v>2014478.0</v>
      </c>
      <c r="F9" s="372">
        <v>3654051.0</v>
      </c>
      <c r="G9" s="360"/>
      <c r="H9" s="372">
        <v>3654051.0</v>
      </c>
      <c r="I9" s="6">
        <f t="shared" si="0"/>
        <v>5.841773408E7</v>
      </c>
      <c r="J9" s="71"/>
      <c r="K9" s="71"/>
    </row>
    <row r="10" spans="8:8">
      <c r="A10" s="3" t="s">
        <v>17</v>
      </c>
      <c r="B10" s="4" t="s">
        <v>13</v>
      </c>
      <c r="C10" s="371">
        <v>1.0139129868E8</v>
      </c>
      <c r="D10" s="369">
        <v>4.566622263E7</v>
      </c>
      <c r="E10" s="372">
        <v>2014478.0</v>
      </c>
      <c r="F10" s="372">
        <v>3654051.0</v>
      </c>
      <c r="G10" s="360"/>
      <c r="H10" s="372">
        <v>3654051.0</v>
      </c>
      <c r="I10" s="6">
        <f t="shared" si="0"/>
        <v>1.5638010131E8</v>
      </c>
      <c r="J10" s="71"/>
      <c r="K10" s="71"/>
    </row>
    <row r="11" spans="8:8">
      <c r="A11" s="3" t="s">
        <v>18</v>
      </c>
      <c r="B11" s="4" t="s">
        <v>13</v>
      </c>
      <c r="C11" s="371">
        <v>3.452715147E7</v>
      </c>
      <c r="D11" s="369">
        <v>4.566622263E7</v>
      </c>
      <c r="E11" s="372">
        <v>2014478.0</v>
      </c>
      <c r="F11" s="372">
        <v>3654051.0</v>
      </c>
      <c r="G11" s="360"/>
      <c r="H11" s="372">
        <v>3654051.0</v>
      </c>
      <c r="I11" s="6">
        <f t="shared" si="0"/>
        <v>8.95159541E7</v>
      </c>
      <c r="J11" s="71"/>
      <c r="K11" s="71"/>
    </row>
    <row r="12" spans="8:8">
      <c r="A12" s="3" t="s">
        <v>19</v>
      </c>
      <c r="B12" s="4" t="s">
        <v>13</v>
      </c>
      <c r="C12" s="371">
        <v>3.452715147E7</v>
      </c>
      <c r="D12" s="369">
        <v>4.566622263E7</v>
      </c>
      <c r="E12" s="372">
        <v>2014478.0</v>
      </c>
      <c r="F12" s="372">
        <v>3654051.0</v>
      </c>
      <c r="G12" s="360"/>
      <c r="H12" s="372">
        <v>3654051.0</v>
      </c>
      <c r="I12" s="6">
        <f t="shared" si="0"/>
        <v>8.95159541E7</v>
      </c>
      <c r="J12" s="71"/>
      <c r="K12" s="71"/>
    </row>
    <row r="13" spans="8:8">
      <c r="A13" s="3" t="s">
        <v>20</v>
      </c>
      <c r="B13" s="4" t="s">
        <v>13</v>
      </c>
      <c r="C13" s="371">
        <v>3.452715147E7</v>
      </c>
      <c r="D13" s="369">
        <v>4.566622263E7</v>
      </c>
      <c r="E13" s="372">
        <v>2014478.0</v>
      </c>
      <c r="F13" s="372">
        <v>3654051.0</v>
      </c>
      <c r="G13" s="360"/>
      <c r="H13" s="372">
        <v>3654051.0</v>
      </c>
      <c r="I13" s="6">
        <f t="shared" si="0"/>
        <v>8.95159541E7</v>
      </c>
    </row>
    <row r="14" spans="8:8">
      <c r="A14" s="206" t="s">
        <v>21</v>
      </c>
      <c r="B14" s="4" t="s">
        <v>13</v>
      </c>
      <c r="C14" s="371">
        <v>3.452715147E7</v>
      </c>
      <c r="D14" s="369">
        <v>4.566622263E7</v>
      </c>
      <c r="E14" s="372">
        <v>2014478.0</v>
      </c>
      <c r="F14" s="372">
        <v>3654051.0</v>
      </c>
      <c r="G14" s="360"/>
      <c r="H14" s="372">
        <v>3654051.0</v>
      </c>
      <c r="I14" s="6">
        <f>SUM(C14:H14)*2</f>
        <v>1.790319082E8</v>
      </c>
    </row>
    <row r="15" spans="8:8">
      <c r="A15" s="15" t="s">
        <v>22</v>
      </c>
      <c r="B15" s="16" t="s">
        <v>13</v>
      </c>
      <c r="C15" s="371">
        <v>3.452715147E7</v>
      </c>
      <c r="D15" s="369">
        <v>4.566622263E7</v>
      </c>
      <c r="E15" s="372">
        <v>2014478.0</v>
      </c>
      <c r="F15" s="372">
        <v>3654051.0</v>
      </c>
      <c r="G15" s="360"/>
      <c r="H15" s="372">
        <v>3654051.0</v>
      </c>
      <c r="I15" s="6">
        <f>SUM(C15:H15)</f>
        <v>8.95159541E7</v>
      </c>
    </row>
    <row r="16" spans="8:8">
      <c r="A16" s="206" t="s">
        <v>23</v>
      </c>
      <c r="B16" s="16" t="s">
        <v>13</v>
      </c>
      <c r="C16" s="371">
        <v>3.452715147E7</v>
      </c>
      <c r="D16" s="369">
        <v>4.566622263E7</v>
      </c>
      <c r="E16" s="372">
        <v>2014478.0</v>
      </c>
      <c r="F16" s="372">
        <v>3654051.0</v>
      </c>
      <c r="G16" s="360"/>
      <c r="H16" s="372">
        <v>3654051.0</v>
      </c>
      <c r="I16" s="6">
        <f>SUM(C16:H16)*2</f>
        <v>1.790319082E8</v>
      </c>
    </row>
    <row r="17" spans="8:8">
      <c r="A17" s="3" t="s">
        <v>24</v>
      </c>
      <c r="B17" s="16" t="s">
        <v>13</v>
      </c>
      <c r="C17" s="371">
        <v>3.452715147E7</v>
      </c>
      <c r="D17" s="369">
        <v>4.566622263E7</v>
      </c>
      <c r="E17" s="372">
        <v>2014478.0</v>
      </c>
      <c r="F17" s="372">
        <v>3654051.0</v>
      </c>
      <c r="G17" s="360"/>
      <c r="H17" s="372">
        <v>3654051.0</v>
      </c>
      <c r="I17" s="6">
        <f t="shared" si="1" ref="I17:I50">SUM(C17:H17)</f>
        <v>8.95159541E7</v>
      </c>
    </row>
    <row r="18" spans="8:8">
      <c r="A18" s="3" t="s">
        <v>25</v>
      </c>
      <c r="B18" s="4" t="s">
        <v>13</v>
      </c>
      <c r="C18" s="371">
        <v>3.452715147E7</v>
      </c>
      <c r="D18" s="369">
        <v>4.566622263E7</v>
      </c>
      <c r="E18" s="372">
        <v>2014478.0</v>
      </c>
      <c r="F18" s="372">
        <v>3654051.0</v>
      </c>
      <c r="G18" s="360"/>
      <c r="H18" s="372">
        <v>3654051.0</v>
      </c>
      <c r="I18" s="6">
        <f t="shared" si="1"/>
        <v>8.95159541E7</v>
      </c>
    </row>
    <row r="19" spans="8:8">
      <c r="A19" s="3" t="s">
        <v>26</v>
      </c>
      <c r="B19" s="4" t="s">
        <v>13</v>
      </c>
      <c r="C19" s="371">
        <v>3.452715147E7</v>
      </c>
      <c r="D19" s="369">
        <v>4.566622263E7</v>
      </c>
      <c r="E19" s="372">
        <v>2014478.0</v>
      </c>
      <c r="F19" s="372">
        <v>3654051.0</v>
      </c>
      <c r="G19" s="360"/>
      <c r="H19" s="372">
        <v>3654051.0</v>
      </c>
      <c r="I19" s="6">
        <f t="shared" si="1"/>
        <v>8.95159541E7</v>
      </c>
    </row>
    <row r="20" spans="8:8">
      <c r="A20" s="3" t="s">
        <v>27</v>
      </c>
      <c r="B20" s="4" t="s">
        <v>13</v>
      </c>
      <c r="C20" s="371">
        <v>3.452715147E7</v>
      </c>
      <c r="D20" s="369">
        <v>4.566622263E7</v>
      </c>
      <c r="E20" s="372">
        <v>2014478.0</v>
      </c>
      <c r="F20" s="372">
        <v>3654051.0</v>
      </c>
      <c r="G20" s="360"/>
      <c r="H20" s="372">
        <v>3654051.0</v>
      </c>
      <c r="I20" s="6">
        <f t="shared" si="1"/>
        <v>8.95159541E7</v>
      </c>
    </row>
    <row r="21" spans="8:8">
      <c r="A21" s="3" t="s">
        <v>28</v>
      </c>
      <c r="B21" s="4" t="s">
        <v>13</v>
      </c>
      <c r="C21" s="371">
        <v>3.452715147E7</v>
      </c>
      <c r="D21" s="369">
        <v>4.566622263E7</v>
      </c>
      <c r="E21" s="372">
        <v>2014478.0</v>
      </c>
      <c r="F21" s="372">
        <v>3654051.0</v>
      </c>
      <c r="G21" s="360"/>
      <c r="H21" s="372">
        <v>3654051.0</v>
      </c>
      <c r="I21" s="6">
        <f t="shared" si="1"/>
        <v>8.95159541E7</v>
      </c>
    </row>
    <row r="22" spans="8:8">
      <c r="A22" s="3" t="s">
        <v>29</v>
      </c>
      <c r="B22" s="4" t="s">
        <v>13</v>
      </c>
      <c r="C22" s="371">
        <v>3.452715147E7</v>
      </c>
      <c r="D22" s="369">
        <v>4.566622263E7</v>
      </c>
      <c r="E22" s="372">
        <v>2014478.0</v>
      </c>
      <c r="F22" s="372">
        <v>3654051.0</v>
      </c>
      <c r="G22" s="360"/>
      <c r="H22" s="372">
        <v>3654051.0</v>
      </c>
      <c r="I22" s="6">
        <f t="shared" si="1"/>
        <v>8.95159541E7</v>
      </c>
    </row>
    <row r="23" spans="8:8">
      <c r="A23" s="14" t="s">
        <v>427</v>
      </c>
      <c r="B23" s="4" t="s">
        <v>13</v>
      </c>
      <c r="C23" s="371">
        <v>3.452715147E7</v>
      </c>
      <c r="D23" s="369">
        <v>4.566622263E7</v>
      </c>
      <c r="E23" s="372">
        <v>2014478.0</v>
      </c>
      <c r="F23" s="372">
        <v>3654051.0</v>
      </c>
      <c r="G23" s="360"/>
      <c r="H23" s="372">
        <v>3654051.0</v>
      </c>
      <c r="I23" s="6">
        <f t="shared" si="1"/>
        <v>8.95159541E7</v>
      </c>
    </row>
    <row r="24" spans="8:8">
      <c r="A24" s="3" t="s">
        <v>31</v>
      </c>
      <c r="B24" s="4" t="s">
        <v>13</v>
      </c>
      <c r="C24" s="371">
        <v>3.452715147E7</v>
      </c>
      <c r="D24" s="369">
        <v>4.566622263E7</v>
      </c>
      <c r="E24" s="372">
        <v>2014478.0</v>
      </c>
      <c r="F24" s="372">
        <v>3654051.0</v>
      </c>
      <c r="G24" s="360"/>
      <c r="H24" s="372">
        <v>3654051.0</v>
      </c>
      <c r="I24" s="6">
        <f t="shared" si="1"/>
        <v>8.95159541E7</v>
      </c>
    </row>
    <row r="25" spans="8:8">
      <c r="A25" s="3" t="s">
        <v>32</v>
      </c>
      <c r="B25" s="4" t="s">
        <v>13</v>
      </c>
      <c r="C25" s="371">
        <v>3.452715147E7</v>
      </c>
      <c r="D25" s="369">
        <v>4.566622263E7</v>
      </c>
      <c r="E25" s="372">
        <v>2014478.0</v>
      </c>
      <c r="F25" s="372">
        <v>3654051.0</v>
      </c>
      <c r="G25" s="360"/>
      <c r="H25" s="372">
        <v>3654051.0</v>
      </c>
      <c r="I25" s="6">
        <f t="shared" si="1"/>
        <v>8.95159541E7</v>
      </c>
    </row>
    <row r="26" spans="8:8">
      <c r="A26" s="3" t="s">
        <v>33</v>
      </c>
      <c r="B26" s="4" t="s">
        <v>13</v>
      </c>
      <c r="C26" s="371">
        <v>3.452715147E7</v>
      </c>
      <c r="D26" s="369">
        <v>4.566622263E7</v>
      </c>
      <c r="E26" s="372">
        <v>2014478.0</v>
      </c>
      <c r="F26" s="372">
        <v>3654051.0</v>
      </c>
      <c r="G26" s="360"/>
      <c r="H26" s="372">
        <v>3654051.0</v>
      </c>
      <c r="I26" s="6">
        <f t="shared" si="1"/>
        <v>8.95159541E7</v>
      </c>
    </row>
    <row r="27" spans="8:8">
      <c r="A27" s="3" t="s">
        <v>34</v>
      </c>
      <c r="B27" s="4" t="s">
        <v>13</v>
      </c>
      <c r="C27" s="371">
        <v>2.9116181009999994E7</v>
      </c>
      <c r="D27" s="369">
        <v>1.997897307E7</v>
      </c>
      <c r="E27" s="372">
        <v>2014478.0</v>
      </c>
      <c r="F27" s="372">
        <v>3654051.0</v>
      </c>
      <c r="G27" s="360"/>
      <c r="H27" s="372">
        <v>3654051.0</v>
      </c>
      <c r="I27" s="6">
        <f t="shared" si="1"/>
        <v>5.841773408E7</v>
      </c>
    </row>
    <row r="28" spans="8:8">
      <c r="A28" s="3" t="s">
        <v>35</v>
      </c>
      <c r="B28" s="4" t="s">
        <v>13</v>
      </c>
      <c r="C28" s="371">
        <v>2.9116181009999994E7</v>
      </c>
      <c r="D28" s="369">
        <v>1.997897307E7</v>
      </c>
      <c r="E28" s="372">
        <v>2014478.0</v>
      </c>
      <c r="F28" s="372">
        <v>3654051.0</v>
      </c>
      <c r="G28" s="360"/>
      <c r="H28" s="372">
        <v>3654051.0</v>
      </c>
      <c r="I28" s="6">
        <f t="shared" si="1"/>
        <v>5.841773408E7</v>
      </c>
    </row>
    <row r="29" spans="8:8">
      <c r="A29" s="3" t="s">
        <v>36</v>
      </c>
      <c r="B29" s="4" t="s">
        <v>13</v>
      </c>
      <c r="C29" s="371">
        <v>2.9116181009999994E7</v>
      </c>
      <c r="D29" s="369">
        <v>1.997897307E7</v>
      </c>
      <c r="E29" s="372">
        <v>2014478.0</v>
      </c>
      <c r="F29" s="372">
        <v>3654051.0</v>
      </c>
      <c r="G29" s="360"/>
      <c r="H29" s="372">
        <v>3654051.0</v>
      </c>
      <c r="I29" s="6">
        <f t="shared" si="1"/>
        <v>5.841773408E7</v>
      </c>
    </row>
    <row r="30" spans="8:8">
      <c r="A30" s="14" t="s">
        <v>428</v>
      </c>
      <c r="B30" s="4" t="s">
        <v>13</v>
      </c>
      <c r="C30" s="371">
        <v>2.9116181009999994E7</v>
      </c>
      <c r="D30" s="369">
        <v>1.997897307E7</v>
      </c>
      <c r="E30" s="372">
        <v>2014478.0</v>
      </c>
      <c r="F30" s="372">
        <v>3654051.0</v>
      </c>
      <c r="G30" s="360"/>
      <c r="H30" s="372">
        <v>3654051.0</v>
      </c>
      <c r="I30" s="6">
        <f t="shared" si="1"/>
        <v>5.841773408E7</v>
      </c>
    </row>
    <row r="31" spans="8:8">
      <c r="A31" s="3" t="s">
        <v>38</v>
      </c>
      <c r="B31" s="4" t="s">
        <v>13</v>
      </c>
      <c r="C31" s="371">
        <v>2.9116181009999994E7</v>
      </c>
      <c r="D31" s="369">
        <v>1.997897307E7</v>
      </c>
      <c r="E31" s="372">
        <v>2014478.0</v>
      </c>
      <c r="F31" s="372">
        <v>3654051.0</v>
      </c>
      <c r="G31" s="360"/>
      <c r="H31" s="372">
        <v>3654051.0</v>
      </c>
      <c r="I31" s="6">
        <f t="shared" si="1"/>
        <v>5.841773408E7</v>
      </c>
    </row>
    <row r="32" spans="8:8">
      <c r="A32" s="15" t="s">
        <v>39</v>
      </c>
      <c r="B32" s="4" t="s">
        <v>13</v>
      </c>
      <c r="C32" s="371">
        <v>2.9116181009999994E7</v>
      </c>
      <c r="D32" s="369">
        <v>1.997897307E7</v>
      </c>
      <c r="E32" s="372">
        <v>2014478.0</v>
      </c>
      <c r="F32" s="372">
        <v>3654051.0</v>
      </c>
      <c r="G32" s="360"/>
      <c r="H32" s="372">
        <v>3654051.0</v>
      </c>
      <c r="I32" s="6">
        <f t="shared" si="1"/>
        <v>5.841773408E7</v>
      </c>
    </row>
    <row r="33" spans="8:8" s="49" ht="15.0" customFormat="1">
      <c r="A33" s="3" t="s">
        <v>40</v>
      </c>
      <c r="B33" s="16" t="s">
        <v>13</v>
      </c>
      <c r="C33" s="371">
        <v>2.9116181009999994E7</v>
      </c>
      <c r="D33" s="369">
        <v>1.997897307E7</v>
      </c>
      <c r="E33" s="372">
        <v>2014478.0</v>
      </c>
      <c r="F33" s="372">
        <v>3654051.0</v>
      </c>
      <c r="G33" s="360"/>
      <c r="H33" s="372">
        <v>3654051.0</v>
      </c>
      <c r="I33" s="6">
        <f t="shared" si="1"/>
        <v>5.841773408E7</v>
      </c>
    </row>
    <row r="34" spans="8:8">
      <c r="A34" s="15" t="s">
        <v>41</v>
      </c>
      <c r="B34" s="16" t="s">
        <v>13</v>
      </c>
      <c r="C34" s="371">
        <v>2.9116181009999994E7</v>
      </c>
      <c r="D34" s="369">
        <v>1.997897307E7</v>
      </c>
      <c r="E34" s="372">
        <v>2014478.0</v>
      </c>
      <c r="F34" s="372">
        <v>3654051.0</v>
      </c>
      <c r="G34" s="360"/>
      <c r="H34" s="372">
        <v>3654051.0</v>
      </c>
      <c r="I34" s="6">
        <f t="shared" si="1"/>
        <v>5.841773408E7</v>
      </c>
    </row>
    <row r="35" spans="8:8" s="49" ht="15.0" customFormat="1">
      <c r="A35" s="14" t="s">
        <v>429</v>
      </c>
      <c r="B35" s="16" t="s">
        <v>13</v>
      </c>
      <c r="C35" s="371">
        <v>2.9116181009999994E7</v>
      </c>
      <c r="D35" s="369">
        <v>1.997897307E7</v>
      </c>
      <c r="E35" s="372">
        <v>2014478.0</v>
      </c>
      <c r="F35" s="372">
        <v>3654051.0</v>
      </c>
      <c r="G35" s="360"/>
      <c r="H35" s="372">
        <v>3654051.0</v>
      </c>
      <c r="I35" s="6">
        <f t="shared" si="1"/>
        <v>5.841773408E7</v>
      </c>
    </row>
    <row r="36" spans="8:8">
      <c r="A36" s="3" t="s">
        <v>43</v>
      </c>
      <c r="B36" s="4" t="s">
        <v>13</v>
      </c>
      <c r="C36" s="371">
        <v>2.9116181009999994E7</v>
      </c>
      <c r="D36" s="369">
        <v>1.997897307E7</v>
      </c>
      <c r="E36" s="372">
        <v>2014478.0</v>
      </c>
      <c r="F36" s="372">
        <v>3654051.0</v>
      </c>
      <c r="G36" s="360"/>
      <c r="H36" s="372">
        <v>3654051.0</v>
      </c>
      <c r="I36" s="6">
        <f t="shared" si="1"/>
        <v>5.841773408E7</v>
      </c>
    </row>
    <row r="37" spans="8:8">
      <c r="A37" s="14" t="s">
        <v>430</v>
      </c>
      <c r="B37" s="4" t="s">
        <v>13</v>
      </c>
      <c r="C37" s="371">
        <v>2.9116181009999994E7</v>
      </c>
      <c r="D37" s="369">
        <v>1.997897307E7</v>
      </c>
      <c r="E37" s="372">
        <v>2014478.0</v>
      </c>
      <c r="F37" s="372">
        <v>3654051.0</v>
      </c>
      <c r="G37" s="360"/>
      <c r="H37" s="372">
        <v>3654051.0</v>
      </c>
      <c r="I37" s="6">
        <f t="shared" si="1"/>
        <v>5.841773408E7</v>
      </c>
    </row>
    <row r="38" spans="8:8">
      <c r="A38" s="3" t="s">
        <v>45</v>
      </c>
      <c r="B38" s="4" t="s">
        <v>13</v>
      </c>
      <c r="C38" s="371">
        <v>6.583348464000001E7</v>
      </c>
      <c r="D38" s="369">
        <v>4.7568979080000006E7</v>
      </c>
      <c r="E38" s="372">
        <v>2014478.0</v>
      </c>
      <c r="F38" s="372">
        <v>3654051.0</v>
      </c>
      <c r="G38" s="360"/>
      <c r="H38" s="372">
        <v>3654051.0</v>
      </c>
      <c r="I38" s="6">
        <f t="shared" si="1"/>
        <v>1.2272504372000001E8</v>
      </c>
    </row>
    <row r="39" spans="8:8">
      <c r="A39" s="3" t="s">
        <v>46</v>
      </c>
      <c r="B39" s="4" t="s">
        <v>13</v>
      </c>
      <c r="C39" s="371">
        <v>6.583348464000001E7</v>
      </c>
      <c r="D39" s="369">
        <v>4.7568979080000006E7</v>
      </c>
      <c r="E39" s="372">
        <v>2014478.0</v>
      </c>
      <c r="F39" s="372">
        <v>3654051.0</v>
      </c>
      <c r="G39" s="360"/>
      <c r="H39" s="372">
        <v>3654051.0</v>
      </c>
      <c r="I39" s="6">
        <f t="shared" si="1"/>
        <v>1.2272504372000001E8</v>
      </c>
    </row>
    <row r="40" spans="8:8">
      <c r="A40" s="3" t="s">
        <v>47</v>
      </c>
      <c r="B40" s="4" t="s">
        <v>13</v>
      </c>
      <c r="C40" s="371">
        <v>9.263067576E7</v>
      </c>
      <c r="D40" s="369">
        <v>4.7568979080000006E7</v>
      </c>
      <c r="E40" s="372">
        <v>2014478.0</v>
      </c>
      <c r="F40" s="372">
        <v>3654051.0</v>
      </c>
      <c r="G40" s="360"/>
      <c r="H40" s="372">
        <v>3654051.0</v>
      </c>
      <c r="I40" s="6">
        <f t="shared" si="1"/>
        <v>1.4952223484E8</v>
      </c>
    </row>
    <row r="41" spans="8:8">
      <c r="A41" s="3" t="s">
        <v>48</v>
      </c>
      <c r="B41" s="4" t="s">
        <v>13</v>
      </c>
      <c r="C41" s="371">
        <v>2.9116181009999994E7</v>
      </c>
      <c r="D41" s="369">
        <v>4.7568979080000006E7</v>
      </c>
      <c r="E41" s="372">
        <v>2014478.0</v>
      </c>
      <c r="F41" s="372">
        <v>3654051.0</v>
      </c>
      <c r="G41" s="360"/>
      <c r="H41" s="372">
        <v>3654051.0</v>
      </c>
      <c r="I41" s="6">
        <f t="shared" si="1"/>
        <v>8.600774009E7</v>
      </c>
    </row>
    <row r="42" spans="8:8">
      <c r="A42" s="3" t="s">
        <v>49</v>
      </c>
      <c r="B42" s="4" t="s">
        <v>13</v>
      </c>
      <c r="C42" s="371">
        <v>2.9116181009999994E7</v>
      </c>
      <c r="D42" s="369">
        <v>1.997897307E7</v>
      </c>
      <c r="E42" s="372">
        <v>2014478.0</v>
      </c>
      <c r="F42" s="372">
        <v>3654051.0</v>
      </c>
      <c r="G42" s="360"/>
      <c r="H42" s="372">
        <v>3654051.0</v>
      </c>
      <c r="I42" s="6">
        <f t="shared" si="1"/>
        <v>5.841773408E7</v>
      </c>
    </row>
    <row r="43" spans="8:8">
      <c r="A43" s="18" t="s">
        <v>431</v>
      </c>
      <c r="B43" s="4" t="s">
        <v>13</v>
      </c>
      <c r="C43" s="371">
        <v>2.9116181009999994E7</v>
      </c>
      <c r="D43" s="369">
        <v>1.997897307E7</v>
      </c>
      <c r="E43" s="372">
        <v>2014478.0</v>
      </c>
      <c r="F43" s="372">
        <v>3654051.0</v>
      </c>
      <c r="G43" s="360"/>
      <c r="H43" s="372">
        <v>3654051.0</v>
      </c>
      <c r="I43" s="6">
        <f t="shared" si="1"/>
        <v>5.841773408E7</v>
      </c>
    </row>
    <row r="44" spans="8:8" s="49" ht="15.0" customFormat="1">
      <c r="A44" s="3" t="s">
        <v>51</v>
      </c>
      <c r="B44" s="16" t="s">
        <v>13</v>
      </c>
      <c r="C44" s="371">
        <v>2.9116181009999994E7</v>
      </c>
      <c r="D44" s="369">
        <v>1.997897307E7</v>
      </c>
      <c r="E44" s="372">
        <v>2014478.0</v>
      </c>
      <c r="F44" s="372">
        <v>3654051.0</v>
      </c>
      <c r="G44" s="360"/>
      <c r="H44" s="372">
        <v>3654051.0</v>
      </c>
      <c r="I44" s="6">
        <f t="shared" si="1"/>
        <v>5.841773408E7</v>
      </c>
    </row>
    <row r="45" spans="8:8">
      <c r="A45" s="3" t="s">
        <v>52</v>
      </c>
      <c r="B45" s="4" t="s">
        <v>13</v>
      </c>
      <c r="C45" s="371">
        <v>2.9116181009999994E7</v>
      </c>
      <c r="D45" s="369">
        <v>1.997897307E7</v>
      </c>
      <c r="E45" s="372">
        <v>2014478.0</v>
      </c>
      <c r="F45" s="372">
        <v>3654051.0</v>
      </c>
      <c r="G45" s="360"/>
      <c r="H45" s="372">
        <v>3654051.0</v>
      </c>
      <c r="I45" s="6">
        <f t="shared" si="1"/>
        <v>5.841773408E7</v>
      </c>
    </row>
    <row r="46" spans="8:8">
      <c r="A46" s="3" t="s">
        <v>53</v>
      </c>
      <c r="B46" s="4" t="s">
        <v>13</v>
      </c>
      <c r="C46" s="371">
        <v>2.9116181009999994E7</v>
      </c>
      <c r="D46" s="369">
        <v>1.997897307E7</v>
      </c>
      <c r="E46" s="372">
        <v>2014478.0</v>
      </c>
      <c r="F46" s="372">
        <v>3654051.0</v>
      </c>
      <c r="G46" s="360"/>
      <c r="H46" s="372">
        <v>3654051.0</v>
      </c>
      <c r="I46" s="6">
        <f t="shared" si="1"/>
        <v>5.841773408E7</v>
      </c>
    </row>
    <row r="47" spans="8:8">
      <c r="A47" s="3" t="s">
        <v>54</v>
      </c>
      <c r="B47" s="4" t="s">
        <v>13</v>
      </c>
      <c r="C47" s="371">
        <v>2.9116181009999994E7</v>
      </c>
      <c r="D47" s="369">
        <v>1.997897307E7</v>
      </c>
      <c r="E47" s="372">
        <v>2014478.0</v>
      </c>
      <c r="F47" s="372">
        <v>3654051.0</v>
      </c>
      <c r="G47" s="360"/>
      <c r="H47" s="372">
        <v>3654051.0</v>
      </c>
      <c r="I47" s="6">
        <f t="shared" si="1"/>
        <v>5.841773408E7</v>
      </c>
    </row>
    <row r="48" spans="8:8">
      <c r="A48" s="15" t="s">
        <v>55</v>
      </c>
      <c r="B48" s="4" t="s">
        <v>13</v>
      </c>
      <c r="C48" s="371">
        <v>2.9116181009999994E7</v>
      </c>
      <c r="D48" s="369">
        <v>1.997897307E7</v>
      </c>
      <c r="E48" s="372">
        <v>2014478.0</v>
      </c>
      <c r="F48" s="372">
        <v>3654051.0</v>
      </c>
      <c r="G48" s="360"/>
      <c r="H48" s="372">
        <v>3654051.0</v>
      </c>
      <c r="I48" s="6">
        <f t="shared" si="1"/>
        <v>5.841773408E7</v>
      </c>
    </row>
    <row r="49" spans="8:8" s="49" ht="15.0" customFormat="1">
      <c r="A49" s="3" t="s">
        <v>56</v>
      </c>
      <c r="B49" s="16" t="s">
        <v>13</v>
      </c>
      <c r="C49" s="371">
        <v>2.9116181009999994E7</v>
      </c>
      <c r="D49" s="369">
        <v>4.616989335E7</v>
      </c>
      <c r="E49" s="372">
        <v>2014478.0</v>
      </c>
      <c r="F49" s="372">
        <v>3654051.0</v>
      </c>
      <c r="G49" s="360"/>
      <c r="H49" s="372">
        <v>3654051.0</v>
      </c>
      <c r="I49" s="17">
        <f t="shared" si="1"/>
        <v>8.460865436E7</v>
      </c>
    </row>
    <row r="50" spans="8:8">
      <c r="A50" s="3" t="s">
        <v>57</v>
      </c>
      <c r="B50" s="4" t="s">
        <v>60</v>
      </c>
      <c r="C50" s="371">
        <v>1.0</v>
      </c>
      <c r="D50" s="369">
        <v>6.891150903E7</v>
      </c>
      <c r="E50" s="372">
        <v>2014478.0</v>
      </c>
      <c r="F50" s="372">
        <v>3654051.0</v>
      </c>
      <c r="G50" s="360"/>
      <c r="H50" s="360"/>
      <c r="I50" s="6">
        <f t="shared" si="1"/>
        <v>7.458003903E7</v>
      </c>
    </row>
    <row r="51" spans="8:8">
      <c r="A51" s="3" t="s">
        <v>58</v>
      </c>
      <c r="B51" s="4" t="s">
        <v>60</v>
      </c>
      <c r="C51" s="371">
        <v>1.0</v>
      </c>
      <c r="D51" s="369">
        <v>6.891150903E7</v>
      </c>
      <c r="E51" s="372">
        <v>2014478.0</v>
      </c>
      <c r="F51" s="372">
        <v>3654051.0</v>
      </c>
      <c r="G51" s="360"/>
      <c r="H51" s="360"/>
      <c r="I51" s="6">
        <f>SUM(C51:F51)</f>
        <v>7.458003903E7</v>
      </c>
    </row>
    <row r="52" spans="8:8">
      <c r="A52" s="3" t="s">
        <v>59</v>
      </c>
      <c r="B52" s="4" t="s">
        <v>60</v>
      </c>
      <c r="C52" s="371">
        <v>1.0</v>
      </c>
      <c r="D52" s="369">
        <v>6.891150903E7</v>
      </c>
      <c r="E52" s="372">
        <v>2014478.0</v>
      </c>
      <c r="F52" s="372">
        <v>3654051.0</v>
      </c>
      <c r="G52" s="360"/>
      <c r="H52" s="360"/>
      <c r="I52" s="6">
        <f>SUM(C52:F52)</f>
        <v>7.458003903E7</v>
      </c>
    </row>
    <row r="53" spans="8:8">
      <c r="A53" s="3" t="s">
        <v>61</v>
      </c>
      <c r="B53" s="4" t="s">
        <v>60</v>
      </c>
      <c r="C53" s="371">
        <v>4.602908856E7</v>
      </c>
      <c r="D53" s="369">
        <v>4.9181766269999996E7</v>
      </c>
      <c r="E53" s="372">
        <v>2014478.0</v>
      </c>
      <c r="F53" s="372">
        <v>3654051.0</v>
      </c>
      <c r="G53" s="360"/>
      <c r="H53" s="360"/>
      <c r="I53" s="6">
        <f>SUM(C53:F53)</f>
        <v>1.0087938383E8</v>
      </c>
    </row>
    <row r="54" spans="8:8">
      <c r="A54" s="3" t="s">
        <v>62</v>
      </c>
      <c r="B54" s="4" t="s">
        <v>60</v>
      </c>
      <c r="C54" s="371">
        <v>1.0</v>
      </c>
      <c r="D54" s="369">
        <v>4.9181766269999996E7</v>
      </c>
      <c r="E54" s="372">
        <v>2014478.0</v>
      </c>
      <c r="F54" s="372">
        <v>3654051.0</v>
      </c>
      <c r="G54" s="360"/>
      <c r="H54" s="360"/>
      <c r="I54" s="6">
        <f>SUM(C54:F54)</f>
        <v>5.4850296269999996E7</v>
      </c>
    </row>
    <row r="55" spans="8:8">
      <c r="A55" s="3" t="s">
        <v>63</v>
      </c>
      <c r="B55" s="4" t="s">
        <v>60</v>
      </c>
      <c r="C55" s="371">
        <v>1.0</v>
      </c>
      <c r="D55" s="369">
        <v>2.4889033259999998E7</v>
      </c>
      <c r="E55" s="372">
        <v>2014478.0</v>
      </c>
      <c r="F55" s="372">
        <v>3654051.0</v>
      </c>
      <c r="G55" s="360"/>
      <c r="H55" s="360"/>
      <c r="I55" s="6">
        <f>SUM(C55:F55)</f>
        <v>3.0557563259999998E7</v>
      </c>
    </row>
    <row r="56" spans="8:8">
      <c r="A56" s="3" t="s">
        <v>64</v>
      </c>
      <c r="B56" s="4" t="s">
        <v>65</v>
      </c>
      <c r="C56" s="371">
        <v>1.0</v>
      </c>
      <c r="D56" s="369">
        <v>2.442812463E7</v>
      </c>
      <c r="E56" s="372">
        <v>2014478.0</v>
      </c>
      <c r="F56" s="372">
        <v>3654051.0</v>
      </c>
      <c r="G56" s="372">
        <v>7889427.0</v>
      </c>
      <c r="H56" s="360"/>
      <c r="I56" s="6">
        <f t="shared" si="2" ref="I56:I61">SUM(C56:H56)</f>
        <v>3.7986081629999995E7</v>
      </c>
    </row>
    <row r="57" spans="8:8" ht="30.0">
      <c r="A57" s="373" t="s">
        <v>432</v>
      </c>
      <c r="B57" s="374" t="s">
        <v>65</v>
      </c>
      <c r="C57" s="375">
        <v>1.0</v>
      </c>
      <c r="D57" s="369">
        <v>2.5995212880000003E7</v>
      </c>
      <c r="E57" s="372">
        <v>2014478.0</v>
      </c>
      <c r="F57" s="372">
        <v>3654051.0</v>
      </c>
      <c r="G57" s="372">
        <v>7889427.0</v>
      </c>
      <c r="H57" s="376"/>
      <c r="I57" s="377">
        <f t="shared" si="2"/>
        <v>3.955316988E7</v>
      </c>
    </row>
    <row r="58" spans="8:8">
      <c r="A58" s="3" t="s">
        <v>67</v>
      </c>
      <c r="B58" s="4" t="s">
        <v>65</v>
      </c>
      <c r="C58" s="371">
        <v>1.0</v>
      </c>
      <c r="D58" s="369">
        <v>2.442812463E7</v>
      </c>
      <c r="E58" s="372">
        <v>2014478.0</v>
      </c>
      <c r="F58" s="372">
        <v>3654051.0</v>
      </c>
      <c r="G58" s="372">
        <v>7889427.0</v>
      </c>
      <c r="H58" s="360"/>
      <c r="I58" s="6">
        <f t="shared" si="2"/>
        <v>3.7986081629999995E7</v>
      </c>
    </row>
    <row r="59" spans="8:8">
      <c r="A59" s="3" t="s">
        <v>68</v>
      </c>
      <c r="B59" s="4" t="s">
        <v>65</v>
      </c>
      <c r="C59" s="371">
        <v>1.0</v>
      </c>
      <c r="D59" s="369">
        <v>2.5995212880000003E7</v>
      </c>
      <c r="E59" s="372">
        <v>2014478.0</v>
      </c>
      <c r="F59" s="372">
        <v>3654051.0</v>
      </c>
      <c r="G59" s="372">
        <v>7889427.0</v>
      </c>
      <c r="H59" s="360"/>
      <c r="I59" s="6">
        <f t="shared" si="2"/>
        <v>3.955316988E7</v>
      </c>
    </row>
    <row r="60" spans="8:8">
      <c r="A60" s="3" t="s">
        <v>69</v>
      </c>
      <c r="B60" s="4" t="s">
        <v>65</v>
      </c>
      <c r="C60" s="371">
        <v>1.0</v>
      </c>
      <c r="D60" s="369">
        <v>3.1710470610000003E7</v>
      </c>
      <c r="E60" s="372">
        <v>2014478.0</v>
      </c>
      <c r="F60" s="372">
        <v>3654051.0</v>
      </c>
      <c r="G60" s="372">
        <v>7889427.0</v>
      </c>
      <c r="H60" s="360"/>
      <c r="I60" s="6">
        <f t="shared" si="2"/>
        <v>4.526842761E7</v>
      </c>
    </row>
    <row r="61" spans="8:8">
      <c r="A61" s="3" t="s">
        <v>70</v>
      </c>
      <c r="B61" s="4" t="s">
        <v>65</v>
      </c>
      <c r="C61" s="371">
        <v>1.0</v>
      </c>
      <c r="D61" s="369">
        <v>2.442812463E7</v>
      </c>
      <c r="E61" s="372">
        <v>2014478.0</v>
      </c>
      <c r="F61" s="372">
        <v>3654051.0</v>
      </c>
      <c r="G61" s="372">
        <v>7889427.0</v>
      </c>
      <c r="H61" s="360"/>
      <c r="I61" s="6">
        <f t="shared" si="2"/>
        <v>3.7986081629999995E7</v>
      </c>
    </row>
    <row r="62" spans="8:8">
      <c r="A62" s="15" t="s">
        <v>71</v>
      </c>
      <c r="B62" s="16" t="s">
        <v>65</v>
      </c>
      <c r="C62" s="371">
        <v>1.0</v>
      </c>
      <c r="D62" s="369">
        <v>2.5995212880000003E7</v>
      </c>
      <c r="E62" s="372">
        <v>2014478.0</v>
      </c>
      <c r="F62" s="372">
        <v>3654051.0</v>
      </c>
      <c r="G62" s="372">
        <v>7889427.0</v>
      </c>
      <c r="H62" s="360"/>
      <c r="I62" s="6">
        <f t="shared" si="3" ref="I62:I74">SUM(C62:G62)</f>
        <v>3.955316988E7</v>
      </c>
    </row>
    <row r="63" spans="8:8">
      <c r="A63" s="15" t="s">
        <v>72</v>
      </c>
      <c r="B63" s="16" t="s">
        <v>65</v>
      </c>
      <c r="C63" s="371">
        <v>1.0</v>
      </c>
      <c r="D63" s="369">
        <v>2.876066193E7</v>
      </c>
      <c r="E63" s="372">
        <v>2014478.0</v>
      </c>
      <c r="F63" s="372">
        <v>3654051.0</v>
      </c>
      <c r="G63" s="372">
        <v>7889427.0</v>
      </c>
      <c r="H63" s="360"/>
      <c r="I63" s="6">
        <f t="shared" si="3"/>
        <v>4.231861893E7</v>
      </c>
    </row>
    <row r="64" spans="8:8">
      <c r="A64" s="3" t="s">
        <v>73</v>
      </c>
      <c r="B64" s="4" t="s">
        <v>65</v>
      </c>
      <c r="C64" s="371">
        <v>1.0</v>
      </c>
      <c r="D64" s="369">
        <v>2.442812463E7</v>
      </c>
      <c r="E64" s="372">
        <v>2014478.0</v>
      </c>
      <c r="F64" s="372">
        <v>3654051.0</v>
      </c>
      <c r="G64" s="372">
        <v>7889427.0</v>
      </c>
      <c r="H64" s="360"/>
      <c r="I64" s="6">
        <f t="shared" si="3"/>
        <v>3.7986081629999995E7</v>
      </c>
    </row>
    <row r="65" spans="8:8">
      <c r="A65" s="3" t="s">
        <v>74</v>
      </c>
      <c r="B65" s="4" t="s">
        <v>65</v>
      </c>
      <c r="C65" s="371">
        <v>1.0</v>
      </c>
      <c r="D65" s="369">
        <v>2.5995212880000003E7</v>
      </c>
      <c r="E65" s="372">
        <v>2014478.0</v>
      </c>
      <c r="F65" s="372">
        <v>3654051.0</v>
      </c>
      <c r="G65" s="372">
        <v>7889427.0</v>
      </c>
      <c r="H65" s="360"/>
      <c r="I65" s="6">
        <f t="shared" si="3"/>
        <v>3.955316988E7</v>
      </c>
    </row>
    <row r="66" spans="8:8">
      <c r="A66" s="3" t="s">
        <v>75</v>
      </c>
      <c r="B66" s="4" t="s">
        <v>65</v>
      </c>
      <c r="C66" s="371">
        <v>1.0</v>
      </c>
      <c r="D66" s="369">
        <v>4.009899894E7</v>
      </c>
      <c r="E66" s="372">
        <v>2014478.0</v>
      </c>
      <c r="F66" s="372">
        <v>3654051.0</v>
      </c>
      <c r="G66" s="372">
        <v>7889427.0</v>
      </c>
      <c r="H66" s="360"/>
      <c r="I66" s="6">
        <f t="shared" si="3"/>
        <v>5.365695594E7</v>
      </c>
    </row>
    <row r="67" spans="8:8">
      <c r="A67" s="3" t="s">
        <v>76</v>
      </c>
      <c r="B67" s="4" t="s">
        <v>65</v>
      </c>
      <c r="C67" s="371">
        <v>1.0</v>
      </c>
      <c r="D67" s="369">
        <v>2.442812463E7</v>
      </c>
      <c r="E67" s="372">
        <v>2014478.0</v>
      </c>
      <c r="F67" s="372">
        <v>3654051.0</v>
      </c>
      <c r="G67" s="372">
        <v>7889427.0</v>
      </c>
      <c r="H67" s="360"/>
      <c r="I67" s="6">
        <f t="shared" si="3"/>
        <v>3.7986081629999995E7</v>
      </c>
    </row>
    <row r="68" spans="8:8">
      <c r="A68" s="3" t="s">
        <v>77</v>
      </c>
      <c r="B68" s="4" t="s">
        <v>65</v>
      </c>
      <c r="C68" s="371">
        <v>1.0</v>
      </c>
      <c r="D68" s="369">
        <v>2.5995212880000003E7</v>
      </c>
      <c r="E68" s="372">
        <v>2014478.0</v>
      </c>
      <c r="F68" s="372">
        <v>3654051.0</v>
      </c>
      <c r="G68" s="372">
        <v>7889427.0</v>
      </c>
      <c r="H68" s="360"/>
      <c r="I68" s="6">
        <f t="shared" si="3"/>
        <v>3.955316988E7</v>
      </c>
    </row>
    <row r="69" spans="8:8">
      <c r="A69" s="3" t="s">
        <v>78</v>
      </c>
      <c r="B69" s="4" t="s">
        <v>65</v>
      </c>
      <c r="C69" s="371">
        <v>1.0</v>
      </c>
      <c r="D69" s="369">
        <v>2.876066193E7</v>
      </c>
      <c r="E69" s="372">
        <v>2014478.0</v>
      </c>
      <c r="F69" s="372">
        <v>3654051.0</v>
      </c>
      <c r="G69" s="372">
        <v>7889427.0</v>
      </c>
      <c r="H69" s="360"/>
      <c r="I69" s="6">
        <f t="shared" si="3"/>
        <v>4.231861893E7</v>
      </c>
    </row>
    <row r="70" spans="8:8">
      <c r="A70" s="3" t="s">
        <v>79</v>
      </c>
      <c r="B70" s="4" t="s">
        <v>65</v>
      </c>
      <c r="C70" s="371">
        <v>1.0</v>
      </c>
      <c r="D70" s="369">
        <v>3.1710470610000003E7</v>
      </c>
      <c r="E70" s="372">
        <v>2014478.0</v>
      </c>
      <c r="F70" s="372">
        <v>3654051.0</v>
      </c>
      <c r="G70" s="372">
        <v>7889427.0</v>
      </c>
      <c r="H70" s="360"/>
      <c r="I70" s="6">
        <f t="shared" si="3"/>
        <v>4.526842761E7</v>
      </c>
    </row>
    <row r="71" spans="8:8">
      <c r="A71" s="3" t="s">
        <v>80</v>
      </c>
      <c r="B71" s="4" t="s">
        <v>65</v>
      </c>
      <c r="C71" s="371">
        <v>1.0</v>
      </c>
      <c r="D71" s="369">
        <v>2.442812463E7</v>
      </c>
      <c r="E71" s="372">
        <v>2014478.0</v>
      </c>
      <c r="F71" s="372">
        <v>3654051.0</v>
      </c>
      <c r="G71" s="372">
        <v>7889427.0</v>
      </c>
      <c r="H71" s="360"/>
      <c r="I71" s="6">
        <f t="shared" si="3"/>
        <v>3.7986081629999995E7</v>
      </c>
    </row>
    <row r="72" spans="8:8">
      <c r="A72" s="3" t="s">
        <v>81</v>
      </c>
      <c r="B72" s="4" t="s">
        <v>65</v>
      </c>
      <c r="C72" s="371">
        <v>1.0</v>
      </c>
      <c r="D72" s="369">
        <v>2.5995212880000003E7</v>
      </c>
      <c r="E72" s="372">
        <v>2014478.0</v>
      </c>
      <c r="F72" s="372">
        <v>3654051.0</v>
      </c>
      <c r="G72" s="372">
        <v>7889427.0</v>
      </c>
      <c r="H72" s="360"/>
      <c r="I72" s="6">
        <f t="shared" si="3"/>
        <v>3.955316988E7</v>
      </c>
    </row>
    <row r="73" spans="8:8">
      <c r="A73" s="3" t="s">
        <v>82</v>
      </c>
      <c r="B73" s="4" t="s">
        <v>65</v>
      </c>
      <c r="C73" s="371">
        <v>1.0</v>
      </c>
      <c r="D73" s="369">
        <v>4.885624926E7</v>
      </c>
      <c r="E73" s="372">
        <v>2014478.0</v>
      </c>
      <c r="F73" s="372">
        <v>3654051.0</v>
      </c>
      <c r="G73" s="372">
        <v>7889427.0</v>
      </c>
      <c r="H73" s="360"/>
      <c r="I73" s="6">
        <f t="shared" si="3"/>
        <v>6.241420626E7</v>
      </c>
    </row>
    <row r="74" spans="8:8">
      <c r="A74" s="3" t="s">
        <v>83</v>
      </c>
      <c r="B74" s="4" t="s">
        <v>65</v>
      </c>
      <c r="C74" s="371">
        <v>1.0</v>
      </c>
      <c r="D74" s="369">
        <v>5.1990423029999994E7</v>
      </c>
      <c r="E74" s="372">
        <v>2014478.0</v>
      </c>
      <c r="F74" s="372">
        <v>3654051.0</v>
      </c>
      <c r="G74" s="372">
        <v>7889427.0</v>
      </c>
      <c r="H74" s="360"/>
      <c r="I74" s="6">
        <f t="shared" si="3"/>
        <v>6.5548380029999994E7</v>
      </c>
    </row>
    <row r="75" spans="8:8">
      <c r="A75" s="3" t="s">
        <v>84</v>
      </c>
      <c r="B75" s="4" t="s">
        <v>65</v>
      </c>
      <c r="C75" s="371">
        <v>1.0</v>
      </c>
      <c r="D75" s="369">
        <v>2.5995212880000003E7</v>
      </c>
      <c r="E75" s="372">
        <v>2014478.0</v>
      </c>
      <c r="F75" s="372">
        <v>3654051.0</v>
      </c>
      <c r="G75" s="372">
        <v>7889427.0</v>
      </c>
      <c r="H75" s="360"/>
      <c r="I75" s="6">
        <f>SUM(C75:H75)</f>
        <v>3.955316988E7</v>
      </c>
    </row>
    <row r="76" spans="8:8">
      <c r="A76" s="3" t="s">
        <v>85</v>
      </c>
      <c r="B76" s="4" t="s">
        <v>65</v>
      </c>
      <c r="C76" s="371">
        <v>1.0</v>
      </c>
      <c r="D76" s="369">
        <v>5.1990423029999994E7</v>
      </c>
      <c r="E76" s="372">
        <v>2014478.0</v>
      </c>
      <c r="F76" s="372">
        <v>3654051.0</v>
      </c>
      <c r="G76" s="372">
        <v>7889427.0</v>
      </c>
      <c r="H76" s="360"/>
      <c r="I76" s="6">
        <f>SUM(C76:H76)</f>
        <v>6.5548380029999994E7</v>
      </c>
    </row>
    <row r="77" spans="8:8">
      <c r="A77" s="15" t="s">
        <v>86</v>
      </c>
      <c r="B77" s="16" t="s">
        <v>65</v>
      </c>
      <c r="C77" s="371">
        <v>1.0</v>
      </c>
      <c r="D77" s="369">
        <v>2.5995212880000003E7</v>
      </c>
      <c r="E77" s="372">
        <v>2014478.0</v>
      </c>
      <c r="F77" s="372">
        <v>3654051.0</v>
      </c>
      <c r="G77" s="372">
        <v>7889427.0</v>
      </c>
      <c r="H77" s="360"/>
      <c r="I77" s="6">
        <f t="shared" si="4" ref="I77:I114">SUM(C77:G77)</f>
        <v>3.955316988E7</v>
      </c>
    </row>
    <row r="78" spans="8:8" s="49" ht="15.0" customFormat="1">
      <c r="A78" s="15" t="s">
        <v>87</v>
      </c>
      <c r="B78" s="16" t="s">
        <v>65</v>
      </c>
      <c r="C78" s="371">
        <v>1.0</v>
      </c>
      <c r="D78" s="369">
        <v>2.876066193E7</v>
      </c>
      <c r="E78" s="372">
        <v>2014478.0</v>
      </c>
      <c r="F78" s="372">
        <v>3654051.0</v>
      </c>
      <c r="G78" s="372">
        <v>7889427.0</v>
      </c>
      <c r="H78" s="360"/>
      <c r="I78" s="17">
        <f t="shared" si="4"/>
        <v>4.231861893E7</v>
      </c>
    </row>
    <row r="79" spans="8:8">
      <c r="A79" s="15" t="s">
        <v>88</v>
      </c>
      <c r="B79" s="16" t="s">
        <v>65</v>
      </c>
      <c r="C79" s="371">
        <v>1.0</v>
      </c>
      <c r="D79" s="369">
        <v>3.1710470610000003E7</v>
      </c>
      <c r="E79" s="372">
        <v>2014478.0</v>
      </c>
      <c r="F79" s="372">
        <v>3654051.0</v>
      </c>
      <c r="G79" s="372">
        <v>7889427.0</v>
      </c>
      <c r="H79" s="360"/>
      <c r="I79" s="6">
        <f t="shared" si="4"/>
        <v>4.526842761E7</v>
      </c>
    </row>
    <row r="80" spans="8:8">
      <c r="A80" s="15" t="s">
        <v>89</v>
      </c>
      <c r="B80" s="16" t="s">
        <v>65</v>
      </c>
      <c r="C80" s="371">
        <v>1.0</v>
      </c>
      <c r="D80" s="369">
        <v>3.595082673E7</v>
      </c>
      <c r="E80" s="372">
        <v>2014478.0</v>
      </c>
      <c r="F80" s="372">
        <v>3654051.0</v>
      </c>
      <c r="G80" s="372">
        <v>7889427.0</v>
      </c>
      <c r="H80" s="360"/>
      <c r="I80" s="6">
        <f t="shared" si="4"/>
        <v>4.950878373E7</v>
      </c>
    </row>
    <row r="81" spans="8:8">
      <c r="A81" s="15" t="s">
        <v>90</v>
      </c>
      <c r="B81" s="16" t="s">
        <v>65</v>
      </c>
      <c r="C81" s="371">
        <v>1.0</v>
      </c>
      <c r="D81" s="369">
        <v>3.8624091870000005E7</v>
      </c>
      <c r="E81" s="372">
        <v>2014478.0</v>
      </c>
      <c r="F81" s="372">
        <v>3654051.0</v>
      </c>
      <c r="G81" s="372">
        <v>7889427.0</v>
      </c>
      <c r="H81" s="360"/>
      <c r="I81" s="6">
        <f t="shared" si="4"/>
        <v>5.2182048870000005E7</v>
      </c>
    </row>
    <row r="82" spans="8:8">
      <c r="A82" s="15" t="s">
        <v>91</v>
      </c>
      <c r="B82" s="16" t="s">
        <v>65</v>
      </c>
      <c r="C82" s="371">
        <v>1.0</v>
      </c>
      <c r="D82" s="369">
        <v>4.092863229E7</v>
      </c>
      <c r="E82" s="372">
        <v>2014478.0</v>
      </c>
      <c r="F82" s="372">
        <v>3654051.0</v>
      </c>
      <c r="G82" s="372">
        <v>7889427.0</v>
      </c>
      <c r="H82" s="360"/>
      <c r="I82" s="6">
        <f t="shared" si="4"/>
        <v>5.448658929E7</v>
      </c>
    </row>
    <row r="83" spans="8:8">
      <c r="A83" s="15" t="s">
        <v>92</v>
      </c>
      <c r="B83" s="16" t="s">
        <v>65</v>
      </c>
      <c r="C83" s="371">
        <v>1.0</v>
      </c>
      <c r="D83" s="369">
        <v>2.442812463E7</v>
      </c>
      <c r="E83" s="372">
        <v>2014478.0</v>
      </c>
      <c r="F83" s="372">
        <v>3654051.0</v>
      </c>
      <c r="G83" s="372">
        <v>7889427.0</v>
      </c>
      <c r="H83" s="360"/>
      <c r="I83" s="6">
        <f t="shared" si="4"/>
        <v>3.7986081629999995E7</v>
      </c>
    </row>
    <row r="84" spans="8:8">
      <c r="A84" s="15" t="s">
        <v>93</v>
      </c>
      <c r="B84" s="16" t="s">
        <v>65</v>
      </c>
      <c r="C84" s="371">
        <v>1.0</v>
      </c>
      <c r="D84" s="369">
        <v>2.5995212880000003E7</v>
      </c>
      <c r="E84" s="372">
        <v>2014478.0</v>
      </c>
      <c r="F84" s="372">
        <v>3654051.0</v>
      </c>
      <c r="G84" s="372">
        <v>7889427.0</v>
      </c>
      <c r="H84" s="360"/>
      <c r="I84" s="6">
        <f t="shared" si="4"/>
        <v>3.955316988E7</v>
      </c>
    </row>
    <row r="85" spans="8:8">
      <c r="A85" s="15" t="s">
        <v>94</v>
      </c>
      <c r="B85" s="16" t="s">
        <v>65</v>
      </c>
      <c r="C85" s="371">
        <v>1.0</v>
      </c>
      <c r="D85" s="369">
        <v>3.1710470610000003E7</v>
      </c>
      <c r="E85" s="372">
        <v>2014478.0</v>
      </c>
      <c r="F85" s="372">
        <v>3654051.0</v>
      </c>
      <c r="G85" s="372">
        <v>7889427.0</v>
      </c>
      <c r="H85" s="360"/>
      <c r="I85" s="6">
        <f t="shared" si="4"/>
        <v>4.526842761E7</v>
      </c>
    </row>
    <row r="86" spans="8:8">
      <c r="A86" s="15" t="s">
        <v>95</v>
      </c>
      <c r="B86" s="16" t="s">
        <v>65</v>
      </c>
      <c r="C86" s="371">
        <v>1.0</v>
      </c>
      <c r="D86" s="369">
        <v>2.5995212880000003E7</v>
      </c>
      <c r="E86" s="372">
        <v>2014478.0</v>
      </c>
      <c r="F86" s="372">
        <v>3654051.0</v>
      </c>
      <c r="G86" s="372">
        <v>7889427.0</v>
      </c>
      <c r="H86" s="360"/>
      <c r="I86" s="6">
        <f t="shared" si="4"/>
        <v>3.955316988E7</v>
      </c>
    </row>
    <row r="87" spans="8:8">
      <c r="A87" s="15" t="s">
        <v>96</v>
      </c>
      <c r="B87" s="16" t="s">
        <v>65</v>
      </c>
      <c r="C87" s="371">
        <v>1.0</v>
      </c>
      <c r="D87" s="369">
        <v>3.1710470610000003E7</v>
      </c>
      <c r="E87" s="372">
        <v>2014478.0</v>
      </c>
      <c r="F87" s="372">
        <v>3654051.0</v>
      </c>
      <c r="G87" s="372">
        <v>7889427.0</v>
      </c>
      <c r="H87" s="360"/>
      <c r="I87" s="6">
        <f t="shared" si="4"/>
        <v>4.526842761E7</v>
      </c>
    </row>
    <row r="88" spans="8:8">
      <c r="A88" s="15" t="s">
        <v>97</v>
      </c>
      <c r="B88" s="16" t="s">
        <v>65</v>
      </c>
      <c r="C88" s="371">
        <v>1.0</v>
      </c>
      <c r="D88" s="369">
        <v>2.442812463E7</v>
      </c>
      <c r="E88" s="372">
        <v>2014478.0</v>
      </c>
      <c r="F88" s="372">
        <v>3654051.0</v>
      </c>
      <c r="G88" s="372">
        <v>7889427.0</v>
      </c>
      <c r="H88" s="360"/>
      <c r="I88" s="6">
        <f t="shared" si="4"/>
        <v>3.7986081629999995E7</v>
      </c>
    </row>
    <row r="89" spans="8:8">
      <c r="A89" s="15" t="s">
        <v>98</v>
      </c>
      <c r="B89" s="16" t="s">
        <v>65</v>
      </c>
      <c r="C89" s="371">
        <v>1.0</v>
      </c>
      <c r="D89" s="369">
        <v>2.5995212880000003E7</v>
      </c>
      <c r="E89" s="372">
        <v>2014478.0</v>
      </c>
      <c r="F89" s="372">
        <v>3654051.0</v>
      </c>
      <c r="G89" s="372">
        <v>7889427.0</v>
      </c>
      <c r="H89" s="360"/>
      <c r="I89" s="6">
        <f t="shared" si="4"/>
        <v>3.955316988E7</v>
      </c>
    </row>
    <row r="90" spans="8:8" s="49" ht="15.0" customFormat="1">
      <c r="A90" s="15" t="s">
        <v>99</v>
      </c>
      <c r="B90" s="16" t="s">
        <v>65</v>
      </c>
      <c r="C90" s="371">
        <v>1.0</v>
      </c>
      <c r="D90" s="369">
        <v>3.1710470610000003E7</v>
      </c>
      <c r="E90" s="372">
        <v>2014478.0</v>
      </c>
      <c r="F90" s="372">
        <v>3654051.0</v>
      </c>
      <c r="G90" s="372">
        <v>7889427.0</v>
      </c>
      <c r="H90" s="360"/>
      <c r="I90" s="6">
        <f t="shared" si="4"/>
        <v>4.526842761E7</v>
      </c>
    </row>
    <row r="91" spans="8:8">
      <c r="A91" s="15" t="s">
        <v>100</v>
      </c>
      <c r="B91" s="16" t="s">
        <v>65</v>
      </c>
      <c r="C91" s="371">
        <v>1.0</v>
      </c>
      <c r="D91" s="369">
        <v>3.8624091870000005E7</v>
      </c>
      <c r="E91" s="372">
        <v>2014478.0</v>
      </c>
      <c r="F91" s="372">
        <v>3654051.0</v>
      </c>
      <c r="G91" s="372">
        <v>7889427.0</v>
      </c>
      <c r="H91" s="360"/>
      <c r="I91" s="6">
        <f t="shared" si="4"/>
        <v>5.2182048870000005E7</v>
      </c>
    </row>
    <row r="92" spans="8:8">
      <c r="A92" s="15" t="s">
        <v>101</v>
      </c>
      <c r="B92" s="16" t="s">
        <v>65</v>
      </c>
      <c r="C92" s="371">
        <v>1.0</v>
      </c>
      <c r="D92" s="369">
        <v>4.092863229E7</v>
      </c>
      <c r="E92" s="372">
        <v>2014478.0</v>
      </c>
      <c r="F92" s="372">
        <v>3654051.0</v>
      </c>
      <c r="G92" s="372">
        <v>7889427.0</v>
      </c>
      <c r="H92" s="360"/>
      <c r="I92" s="6">
        <f t="shared" si="4"/>
        <v>5.448658929E7</v>
      </c>
    </row>
    <row r="93" spans="8:8">
      <c r="A93" s="15" t="s">
        <v>102</v>
      </c>
      <c r="B93" s="16" t="s">
        <v>65</v>
      </c>
      <c r="C93" s="371">
        <v>1.0</v>
      </c>
      <c r="D93" s="369">
        <v>2.5718666610000003E7</v>
      </c>
      <c r="E93" s="372">
        <v>2014478.0</v>
      </c>
      <c r="F93" s="372">
        <v>3654051.0</v>
      </c>
      <c r="G93" s="372">
        <v>7889427.0</v>
      </c>
      <c r="H93" s="360"/>
      <c r="I93" s="6">
        <f t="shared" si="4"/>
        <v>3.927662361E7</v>
      </c>
    </row>
    <row r="94" spans="8:8">
      <c r="A94" s="15" t="s">
        <v>103</v>
      </c>
      <c r="B94" s="16" t="s">
        <v>65</v>
      </c>
      <c r="C94" s="371">
        <v>1.0</v>
      </c>
      <c r="D94" s="369">
        <v>2.442812463E7</v>
      </c>
      <c r="E94" s="372">
        <v>2014478.0</v>
      </c>
      <c r="F94" s="372">
        <v>3654051.0</v>
      </c>
      <c r="G94" s="372">
        <v>7889427.0</v>
      </c>
      <c r="H94" s="360"/>
      <c r="I94" s="6">
        <f t="shared" si="4"/>
        <v>3.7986081629999995E7</v>
      </c>
    </row>
    <row r="95" spans="8:8">
      <c r="A95" s="15" t="s">
        <v>104</v>
      </c>
      <c r="B95" s="16" t="s">
        <v>65</v>
      </c>
      <c r="C95" s="371">
        <v>1.0</v>
      </c>
      <c r="D95" s="369">
        <v>2.5995212880000003E7</v>
      </c>
      <c r="E95" s="372">
        <v>2014478.0</v>
      </c>
      <c r="F95" s="372">
        <v>3654051.0</v>
      </c>
      <c r="G95" s="372">
        <v>7889427.0</v>
      </c>
      <c r="H95" s="360"/>
      <c r="I95" s="6">
        <f t="shared" si="4"/>
        <v>3.955316988E7</v>
      </c>
    </row>
    <row r="96" spans="8:8" s="49" ht="15.0" customFormat="1">
      <c r="A96" s="3" t="s">
        <v>105</v>
      </c>
      <c r="B96" s="4" t="s">
        <v>65</v>
      </c>
      <c r="C96" s="371">
        <v>1.0</v>
      </c>
      <c r="D96" s="369">
        <v>2.876066193E7</v>
      </c>
      <c r="E96" s="372">
        <v>2014478.0</v>
      </c>
      <c r="F96" s="372">
        <v>3654051.0</v>
      </c>
      <c r="G96" s="372">
        <v>7889427.0</v>
      </c>
      <c r="H96" s="360"/>
      <c r="I96" s="17">
        <f t="shared" si="4"/>
        <v>4.231861893E7</v>
      </c>
    </row>
    <row r="97" spans="8:8">
      <c r="A97" s="3" t="s">
        <v>108</v>
      </c>
      <c r="B97" s="4" t="s">
        <v>65</v>
      </c>
      <c r="C97" s="371">
        <v>1.0</v>
      </c>
      <c r="D97" s="369">
        <v>2.5995212880000003E7</v>
      </c>
      <c r="E97" s="372">
        <v>2014478.0</v>
      </c>
      <c r="F97" s="372">
        <v>3654051.0</v>
      </c>
      <c r="G97" s="372">
        <v>7889427.0</v>
      </c>
      <c r="H97" s="360"/>
      <c r="I97" s="6">
        <f t="shared" si="4"/>
        <v>3.955316988E7</v>
      </c>
    </row>
    <row r="98" spans="8:8">
      <c r="A98" s="3" t="s">
        <v>109</v>
      </c>
      <c r="B98" s="4" t="s">
        <v>65</v>
      </c>
      <c r="C98" s="371">
        <v>1.0</v>
      </c>
      <c r="D98" s="369">
        <v>2.876066193E7</v>
      </c>
      <c r="E98" s="372">
        <v>2014478.0</v>
      </c>
      <c r="F98" s="372">
        <v>3654051.0</v>
      </c>
      <c r="G98" s="372">
        <v>7889427.0</v>
      </c>
      <c r="H98" s="360"/>
      <c r="I98" s="6">
        <f t="shared" si="4"/>
        <v>4.231861893E7</v>
      </c>
    </row>
    <row r="99" spans="8:8">
      <c r="A99" s="3" t="s">
        <v>110</v>
      </c>
      <c r="B99" s="4" t="s">
        <v>65</v>
      </c>
      <c r="C99" s="371">
        <v>8.491099617E7</v>
      </c>
      <c r="D99" s="369">
        <v>2.387503482E7</v>
      </c>
      <c r="E99" s="372">
        <v>2014478.0</v>
      </c>
      <c r="F99" s="372">
        <v>3654051.0</v>
      </c>
      <c r="G99" s="372">
        <v>7889427.0</v>
      </c>
      <c r="H99" s="360"/>
      <c r="I99" s="6">
        <f t="shared" si="4"/>
        <v>1.2234398699000001E8</v>
      </c>
    </row>
    <row r="100" spans="8:8">
      <c r="A100" s="3" t="s">
        <v>111</v>
      </c>
      <c r="B100" s="4" t="s">
        <v>65</v>
      </c>
      <c r="C100" s="371">
        <v>1.0</v>
      </c>
      <c r="D100" s="369">
        <v>2.442812463E7</v>
      </c>
      <c r="E100" s="372">
        <v>2014478.0</v>
      </c>
      <c r="F100" s="372">
        <v>3654051.0</v>
      </c>
      <c r="G100" s="372">
        <v>7889427.0</v>
      </c>
      <c r="H100" s="360"/>
      <c r="I100" s="6">
        <f t="shared" si="4"/>
        <v>3.7986081629999995E7</v>
      </c>
    </row>
    <row r="101" spans="8:8">
      <c r="A101" s="3" t="s">
        <v>112</v>
      </c>
      <c r="B101" s="4" t="s">
        <v>65</v>
      </c>
      <c r="C101" s="371">
        <v>1.0</v>
      </c>
      <c r="D101" s="369">
        <v>2.5995212880000003E7</v>
      </c>
      <c r="E101" s="372">
        <v>2014478.0</v>
      </c>
      <c r="F101" s="372">
        <v>3654051.0</v>
      </c>
      <c r="G101" s="372">
        <v>7889427.0</v>
      </c>
      <c r="H101" s="360"/>
      <c r="I101" s="6">
        <f t="shared" si="4"/>
        <v>3.955316988E7</v>
      </c>
    </row>
    <row r="102" spans="8:8">
      <c r="A102" s="3" t="s">
        <v>113</v>
      </c>
      <c r="B102" s="4" t="s">
        <v>65</v>
      </c>
      <c r="C102" s="371">
        <v>1.0</v>
      </c>
      <c r="D102" s="369">
        <v>2.876066193E7</v>
      </c>
      <c r="E102" s="372">
        <v>2014478.0</v>
      </c>
      <c r="F102" s="372">
        <v>3654051.0</v>
      </c>
      <c r="G102" s="372">
        <v>7889427.0</v>
      </c>
      <c r="H102" s="360"/>
      <c r="I102" s="6">
        <f t="shared" si="4"/>
        <v>4.231861893E7</v>
      </c>
    </row>
    <row r="103" spans="8:8">
      <c r="A103" s="3" t="s">
        <v>114</v>
      </c>
      <c r="B103" s="4" t="s">
        <v>65</v>
      </c>
      <c r="C103" s="371">
        <v>1.0</v>
      </c>
      <c r="D103" s="369">
        <v>2.442812463E7</v>
      </c>
      <c r="E103" s="372">
        <v>2014478.0</v>
      </c>
      <c r="F103" s="372">
        <v>3654051.0</v>
      </c>
      <c r="G103" s="372">
        <v>7889427.0</v>
      </c>
      <c r="H103" s="360"/>
      <c r="I103" s="6">
        <f t="shared" si="4"/>
        <v>3.7986081629999995E7</v>
      </c>
    </row>
    <row r="104" spans="8:8">
      <c r="A104" s="3" t="s">
        <v>115</v>
      </c>
      <c r="B104" s="4" t="s">
        <v>65</v>
      </c>
      <c r="C104" s="371">
        <v>1.0</v>
      </c>
      <c r="D104" s="369">
        <v>2.5995212880000003E7</v>
      </c>
      <c r="E104" s="372">
        <v>2014478.0</v>
      </c>
      <c r="F104" s="372">
        <v>3654051.0</v>
      </c>
      <c r="G104" s="372">
        <v>7889427.0</v>
      </c>
      <c r="H104" s="360"/>
      <c r="I104" s="6">
        <f t="shared" si="4"/>
        <v>3.955316988E7</v>
      </c>
    </row>
    <row r="105" spans="8:8">
      <c r="A105" s="3" t="s">
        <v>116</v>
      </c>
      <c r="B105" s="4" t="s">
        <v>65</v>
      </c>
      <c r="C105" s="371">
        <v>1.0</v>
      </c>
      <c r="D105" s="369">
        <v>2.876066193E7</v>
      </c>
      <c r="E105" s="372">
        <v>2014478.0</v>
      </c>
      <c r="F105" s="372">
        <v>3654051.0</v>
      </c>
      <c r="G105" s="372">
        <v>7889427.0</v>
      </c>
      <c r="H105" s="360"/>
      <c r="I105" s="6">
        <f t="shared" si="4"/>
        <v>4.231861893E7</v>
      </c>
    </row>
    <row r="106" spans="8:8">
      <c r="A106" s="3" t="s">
        <v>117</v>
      </c>
      <c r="B106" s="4" t="s">
        <v>65</v>
      </c>
      <c r="C106" s="371">
        <v>1.0</v>
      </c>
      <c r="D106" s="369">
        <v>2.5995212880000003E7</v>
      </c>
      <c r="E106" s="372">
        <v>2014478.0</v>
      </c>
      <c r="F106" s="372">
        <v>3654051.0</v>
      </c>
      <c r="G106" s="372">
        <v>7889427.0</v>
      </c>
      <c r="H106" s="360"/>
      <c r="I106" s="6">
        <f t="shared" si="4"/>
        <v>3.955316988E7</v>
      </c>
    </row>
    <row r="107" spans="8:8">
      <c r="A107" s="3" t="s">
        <v>118</v>
      </c>
      <c r="B107" s="4" t="s">
        <v>65</v>
      </c>
      <c r="C107" s="371">
        <v>1.0</v>
      </c>
      <c r="D107" s="369">
        <v>2.442812463E7</v>
      </c>
      <c r="E107" s="372">
        <v>2014478.0</v>
      </c>
      <c r="F107" s="372">
        <v>3654051.0</v>
      </c>
      <c r="G107" s="372">
        <v>7889427.0</v>
      </c>
      <c r="H107" s="360"/>
      <c r="I107" s="6">
        <f t="shared" si="4"/>
        <v>3.7986081629999995E7</v>
      </c>
    </row>
    <row r="108" spans="8:8">
      <c r="A108" s="3" t="s">
        <v>119</v>
      </c>
      <c r="B108" s="4" t="s">
        <v>65</v>
      </c>
      <c r="C108" s="371">
        <v>1.0</v>
      </c>
      <c r="D108" s="369">
        <v>2.5995212880000003E7</v>
      </c>
      <c r="E108" s="372">
        <v>2014478.0</v>
      </c>
      <c r="F108" s="372">
        <v>3654051.0</v>
      </c>
      <c r="G108" s="372">
        <v>7889427.0</v>
      </c>
      <c r="H108" s="360"/>
      <c r="I108" s="6">
        <f t="shared" si="4"/>
        <v>3.955316988E7</v>
      </c>
    </row>
    <row r="109" spans="8:8">
      <c r="A109" s="3" t="s">
        <v>120</v>
      </c>
      <c r="B109" s="4" t="s">
        <v>65</v>
      </c>
      <c r="C109" s="371">
        <v>1.0</v>
      </c>
      <c r="D109" s="369">
        <v>4.885624926E7</v>
      </c>
      <c r="E109" s="372">
        <v>2014478.0</v>
      </c>
      <c r="F109" s="372">
        <v>3654051.0</v>
      </c>
      <c r="G109" s="372">
        <v>7889427.0</v>
      </c>
      <c r="H109" s="360"/>
      <c r="I109" s="6">
        <f t="shared" si="4"/>
        <v>6.241420626E7</v>
      </c>
    </row>
    <row r="110" spans="8:8">
      <c r="A110" s="3" t="s">
        <v>121</v>
      </c>
      <c r="B110" s="4" t="s">
        <v>65</v>
      </c>
      <c r="C110" s="371">
        <v>1.0</v>
      </c>
      <c r="D110" s="369">
        <v>5.1990423029999994E7</v>
      </c>
      <c r="E110" s="372">
        <v>2014478.0</v>
      </c>
      <c r="F110" s="372">
        <v>3654051.0</v>
      </c>
      <c r="G110" s="372">
        <v>7889427.0</v>
      </c>
      <c r="H110" s="360"/>
      <c r="I110" s="6">
        <f t="shared" si="4"/>
        <v>6.5548380029999994E7</v>
      </c>
    </row>
    <row r="111" spans="8:8">
      <c r="A111" s="3" t="s">
        <v>122</v>
      </c>
      <c r="B111" s="4" t="s">
        <v>65</v>
      </c>
      <c r="C111" s="371">
        <v>1.0</v>
      </c>
      <c r="D111" s="369">
        <v>2.442812463E7</v>
      </c>
      <c r="E111" s="372">
        <v>2014478.0</v>
      </c>
      <c r="F111" s="372">
        <v>3654051.0</v>
      </c>
      <c r="G111" s="372">
        <v>7889427.0</v>
      </c>
      <c r="H111" s="360"/>
      <c r="I111" s="6">
        <f t="shared" si="4"/>
        <v>3.7986081629999995E7</v>
      </c>
    </row>
    <row r="112" spans="8:8">
      <c r="A112" s="3" t="s">
        <v>123</v>
      </c>
      <c r="B112" s="4" t="s">
        <v>65</v>
      </c>
      <c r="C112" s="371">
        <v>1.0</v>
      </c>
      <c r="D112" s="369">
        <v>2.5995212880000003E7</v>
      </c>
      <c r="E112" s="372">
        <v>2014478.0</v>
      </c>
      <c r="F112" s="372">
        <v>3654051.0</v>
      </c>
      <c r="G112" s="372">
        <v>7889427.0</v>
      </c>
      <c r="H112" s="360"/>
      <c r="I112" s="6">
        <f t="shared" si="4"/>
        <v>3.955316988E7</v>
      </c>
    </row>
    <row r="113" spans="8:8">
      <c r="A113" s="3" t="s">
        <v>124</v>
      </c>
      <c r="B113" s="4" t="s">
        <v>65</v>
      </c>
      <c r="C113" s="371">
        <v>1.0</v>
      </c>
      <c r="D113" s="369">
        <v>2.876066193E7</v>
      </c>
      <c r="E113" s="372">
        <v>2014478.0</v>
      </c>
      <c r="F113" s="372">
        <v>3654051.0</v>
      </c>
      <c r="G113" s="372">
        <v>7889427.0</v>
      </c>
      <c r="H113" s="360"/>
      <c r="I113" s="6">
        <f t="shared" si="4"/>
        <v>4.231861893E7</v>
      </c>
    </row>
    <row r="114" spans="8:8">
      <c r="A114" s="3" t="s">
        <v>125</v>
      </c>
      <c r="B114" s="4" t="s">
        <v>65</v>
      </c>
      <c r="C114" s="371">
        <v>1.0</v>
      </c>
      <c r="D114" s="369">
        <v>3.1710470610000003E7</v>
      </c>
      <c r="E114" s="372">
        <v>2014478.0</v>
      </c>
      <c r="F114" s="372">
        <v>3654051.0</v>
      </c>
      <c r="G114" s="372">
        <v>7889427.0</v>
      </c>
      <c r="H114" s="360"/>
      <c r="I114" s="6">
        <f t="shared" si="4"/>
        <v>4.526842761E7</v>
      </c>
    </row>
    <row r="115" spans="8:8">
      <c r="A115" s="3" t="s">
        <v>126</v>
      </c>
      <c r="B115" s="4" t="s">
        <v>65</v>
      </c>
      <c r="C115" s="371">
        <v>1.0</v>
      </c>
      <c r="D115" s="369">
        <v>3.595082673E7</v>
      </c>
      <c r="E115" s="372">
        <v>2014478.0</v>
      </c>
      <c r="F115" s="372">
        <v>3654051.0</v>
      </c>
      <c r="G115" s="372">
        <v>7889427.0</v>
      </c>
      <c r="H115" s="360"/>
      <c r="I115" s="6">
        <f t="shared" si="5" ref="I115:I178">SUM(C115:H115)</f>
        <v>4.950878373E7</v>
      </c>
    </row>
    <row r="116" spans="8:8">
      <c r="A116" s="3" t="s">
        <v>127</v>
      </c>
      <c r="B116" s="4" t="s">
        <v>65</v>
      </c>
      <c r="C116" s="371">
        <v>1.0</v>
      </c>
      <c r="D116" s="369">
        <v>4.885624926E7</v>
      </c>
      <c r="E116" s="372">
        <v>2014478.0</v>
      </c>
      <c r="F116" s="372">
        <v>3654051.0</v>
      </c>
      <c r="G116" s="372">
        <v>7889427.0</v>
      </c>
      <c r="H116" s="360"/>
      <c r="I116" s="6">
        <f t="shared" si="5"/>
        <v>6.241420626E7</v>
      </c>
    </row>
    <row r="117" spans="8:8">
      <c r="A117" s="3" t="s">
        <v>128</v>
      </c>
      <c r="B117" s="4" t="s">
        <v>65</v>
      </c>
      <c r="C117" s="371">
        <v>1.0</v>
      </c>
      <c r="D117" s="369">
        <v>5.1990423029999994E7</v>
      </c>
      <c r="E117" s="372">
        <v>2014478.0</v>
      </c>
      <c r="F117" s="372">
        <v>3654051.0</v>
      </c>
      <c r="G117" s="372">
        <v>7889427.0</v>
      </c>
      <c r="H117" s="360"/>
      <c r="I117" s="6">
        <f t="shared" si="5"/>
        <v>6.5548380029999994E7</v>
      </c>
    </row>
    <row r="118" spans="8:8">
      <c r="A118" s="3" t="s">
        <v>129</v>
      </c>
      <c r="B118" s="4" t="s">
        <v>65</v>
      </c>
      <c r="C118" s="371">
        <v>1.0</v>
      </c>
      <c r="D118" s="369">
        <v>5.752132113E7</v>
      </c>
      <c r="E118" s="372">
        <v>2014478.0</v>
      </c>
      <c r="F118" s="372">
        <v>3654051.0</v>
      </c>
      <c r="G118" s="372">
        <v>7889427.0</v>
      </c>
      <c r="H118" s="360"/>
      <c r="I118" s="6">
        <f t="shared" si="5"/>
        <v>7.107927813E7</v>
      </c>
    </row>
    <row r="119" spans="8:8">
      <c r="A119" s="3" t="s">
        <v>130</v>
      </c>
      <c r="B119" s="4" t="s">
        <v>65</v>
      </c>
      <c r="C119" s="371">
        <v>1.0</v>
      </c>
      <c r="D119" s="369">
        <v>6.3420941220000006E7</v>
      </c>
      <c r="E119" s="372">
        <v>2014478.0</v>
      </c>
      <c r="F119" s="372">
        <v>3654051.0</v>
      </c>
      <c r="G119" s="372">
        <v>7889427.0</v>
      </c>
      <c r="H119" s="360"/>
      <c r="I119" s="6">
        <f t="shared" si="5"/>
        <v>7.697889822E7</v>
      </c>
    </row>
    <row r="120" spans="8:8">
      <c r="A120" s="3" t="s">
        <v>131</v>
      </c>
      <c r="B120" s="4" t="s">
        <v>65</v>
      </c>
      <c r="C120" s="371">
        <v>1.0</v>
      </c>
      <c r="D120" s="369">
        <v>7.190165073E7</v>
      </c>
      <c r="E120" s="372">
        <v>2014478.0</v>
      </c>
      <c r="F120" s="372">
        <v>3654051.0</v>
      </c>
      <c r="G120" s="372">
        <v>7889427.0</v>
      </c>
      <c r="H120" s="360"/>
      <c r="I120" s="6">
        <f t="shared" si="5"/>
        <v>8.545960773E7</v>
      </c>
    </row>
    <row r="121" spans="8:8">
      <c r="A121" s="3" t="s">
        <v>132</v>
      </c>
      <c r="B121" s="4" t="s">
        <v>65</v>
      </c>
      <c r="C121" s="371">
        <v>1.0</v>
      </c>
      <c r="D121" s="369">
        <v>2.442812463E7</v>
      </c>
      <c r="E121" s="372">
        <v>2014478.0</v>
      </c>
      <c r="F121" s="372">
        <v>3654051.0</v>
      </c>
      <c r="G121" s="372">
        <v>7889427.0</v>
      </c>
      <c r="H121" s="360"/>
      <c r="I121" s="6">
        <f t="shared" si="5"/>
        <v>3.7986081629999995E7</v>
      </c>
    </row>
    <row r="122" spans="8:8">
      <c r="A122" s="3" t="s">
        <v>133</v>
      </c>
      <c r="B122" s="4" t="s">
        <v>65</v>
      </c>
      <c r="C122" s="371">
        <v>1.0</v>
      </c>
      <c r="D122" s="369">
        <v>2.5995212880000003E7</v>
      </c>
      <c r="E122" s="372">
        <v>2014478.0</v>
      </c>
      <c r="F122" s="372">
        <v>3654051.0</v>
      </c>
      <c r="G122" s="372">
        <v>7889427.0</v>
      </c>
      <c r="H122" s="360"/>
      <c r="I122" s="6">
        <f t="shared" si="5"/>
        <v>3.955316988E7</v>
      </c>
    </row>
    <row r="123" spans="8:8">
      <c r="A123" s="3" t="s">
        <v>134</v>
      </c>
      <c r="B123" s="4" t="s">
        <v>65</v>
      </c>
      <c r="C123" s="371">
        <v>1.0</v>
      </c>
      <c r="D123" s="369">
        <v>2.876066193E7</v>
      </c>
      <c r="E123" s="372">
        <v>2014478.0</v>
      </c>
      <c r="F123" s="372">
        <v>3654051.0</v>
      </c>
      <c r="G123" s="372">
        <v>7889427.0</v>
      </c>
      <c r="H123" s="360"/>
      <c r="I123" s="6">
        <f t="shared" si="5"/>
        <v>4.231861893E7</v>
      </c>
    </row>
    <row r="124" spans="8:8">
      <c r="A124" s="3" t="s">
        <v>135</v>
      </c>
      <c r="B124" s="4" t="s">
        <v>65</v>
      </c>
      <c r="C124" s="371">
        <v>1.0</v>
      </c>
      <c r="D124" s="369">
        <v>2.442812463E7</v>
      </c>
      <c r="E124" s="372">
        <v>2014478.0</v>
      </c>
      <c r="F124" s="372">
        <v>3654051.0</v>
      </c>
      <c r="G124" s="372">
        <v>7889427.0</v>
      </c>
      <c r="H124" s="360"/>
      <c r="I124" s="6">
        <f t="shared" si="5"/>
        <v>3.7986081629999995E7</v>
      </c>
    </row>
    <row r="125" spans="8:8">
      <c r="A125" s="3" t="s">
        <v>136</v>
      </c>
      <c r="B125" s="4" t="s">
        <v>65</v>
      </c>
      <c r="C125" s="371">
        <v>1.0</v>
      </c>
      <c r="D125" s="369">
        <v>2.5995212880000003E7</v>
      </c>
      <c r="E125" s="372">
        <v>2014478.0</v>
      </c>
      <c r="F125" s="372">
        <v>3654051.0</v>
      </c>
      <c r="G125" s="372">
        <v>7889427.0</v>
      </c>
      <c r="H125" s="360"/>
      <c r="I125" s="6">
        <f t="shared" si="5"/>
        <v>3.955316988E7</v>
      </c>
    </row>
    <row r="126" spans="8:8">
      <c r="A126" s="3" t="s">
        <v>137</v>
      </c>
      <c r="B126" s="4" t="s">
        <v>65</v>
      </c>
      <c r="C126" s="371">
        <v>1.0</v>
      </c>
      <c r="D126" s="369">
        <v>4.885624926E7</v>
      </c>
      <c r="E126" s="372">
        <v>2014478.0</v>
      </c>
      <c r="F126" s="372">
        <v>3654051.0</v>
      </c>
      <c r="G126" s="372">
        <v>7889427.0</v>
      </c>
      <c r="H126" s="360"/>
      <c r="I126" s="6">
        <f t="shared" si="5"/>
        <v>6.241420626E7</v>
      </c>
    </row>
    <row r="127" spans="8:8">
      <c r="A127" s="3" t="s">
        <v>138</v>
      </c>
      <c r="B127" s="4" t="s">
        <v>65</v>
      </c>
      <c r="C127" s="371">
        <v>1.0</v>
      </c>
      <c r="D127" s="369">
        <v>5.1990423029999994E7</v>
      </c>
      <c r="E127" s="372">
        <v>2014478.0</v>
      </c>
      <c r="F127" s="372">
        <v>3654051.0</v>
      </c>
      <c r="G127" s="372">
        <v>7889427.0</v>
      </c>
      <c r="H127" s="360"/>
      <c r="I127" s="6">
        <f t="shared" si="5"/>
        <v>6.5548380029999994E7</v>
      </c>
    </row>
    <row r="128" spans="8:8">
      <c r="A128" s="3" t="s">
        <v>139</v>
      </c>
      <c r="B128" s="4" t="s">
        <v>65</v>
      </c>
      <c r="C128" s="371">
        <v>1.0</v>
      </c>
      <c r="D128" s="369">
        <v>2.442812463E7</v>
      </c>
      <c r="E128" s="372">
        <v>2014478.0</v>
      </c>
      <c r="F128" s="372">
        <v>3654051.0</v>
      </c>
      <c r="G128" s="372">
        <v>7889427.0</v>
      </c>
      <c r="H128" s="360"/>
      <c r="I128" s="6">
        <f t="shared" si="5"/>
        <v>3.7986081629999995E7</v>
      </c>
    </row>
    <row r="129" spans="8:8">
      <c r="A129" s="3" t="s">
        <v>140</v>
      </c>
      <c r="B129" s="4" t="s">
        <v>65</v>
      </c>
      <c r="C129" s="371">
        <v>1.0</v>
      </c>
      <c r="D129" s="369">
        <v>2.5995212880000003E7</v>
      </c>
      <c r="E129" s="372">
        <v>2014478.0</v>
      </c>
      <c r="F129" s="372">
        <v>3654051.0</v>
      </c>
      <c r="G129" s="372">
        <v>7889427.0</v>
      </c>
      <c r="H129" s="360"/>
      <c r="I129" s="6">
        <f t="shared" si="5"/>
        <v>3.955316988E7</v>
      </c>
    </row>
    <row r="130" spans="8:8">
      <c r="A130" s="3" t="s">
        <v>141</v>
      </c>
      <c r="B130" s="4" t="s">
        <v>65</v>
      </c>
      <c r="C130" s="371">
        <v>1.0</v>
      </c>
      <c r="D130" s="369">
        <v>2.876066193E7</v>
      </c>
      <c r="E130" s="372">
        <v>2014478.0</v>
      </c>
      <c r="F130" s="372">
        <v>3654051.0</v>
      </c>
      <c r="G130" s="372">
        <v>7889427.0</v>
      </c>
      <c r="H130" s="360"/>
      <c r="I130" s="6">
        <f t="shared" si="5"/>
        <v>4.231861893E7</v>
      </c>
    </row>
    <row r="131" spans="8:8">
      <c r="A131" s="3" t="s">
        <v>142</v>
      </c>
      <c r="B131" s="4" t="s">
        <v>65</v>
      </c>
      <c r="C131" s="371">
        <v>1.0</v>
      </c>
      <c r="D131" s="369">
        <v>4.885624926E7</v>
      </c>
      <c r="E131" s="372">
        <v>2014478.0</v>
      </c>
      <c r="F131" s="372">
        <v>3654051.0</v>
      </c>
      <c r="G131" s="372">
        <v>7889427.0</v>
      </c>
      <c r="H131" s="360"/>
      <c r="I131" s="6">
        <f t="shared" si="5"/>
        <v>6.241420626E7</v>
      </c>
    </row>
    <row r="132" spans="8:8">
      <c r="A132" s="3" t="s">
        <v>143</v>
      </c>
      <c r="B132" s="4" t="s">
        <v>65</v>
      </c>
      <c r="C132" s="371">
        <v>1.0</v>
      </c>
      <c r="D132" s="369">
        <v>5.1990423029999994E7</v>
      </c>
      <c r="E132" s="372">
        <v>2014478.0</v>
      </c>
      <c r="F132" s="372">
        <v>3654051.0</v>
      </c>
      <c r="G132" s="372">
        <v>7889427.0</v>
      </c>
      <c r="H132" s="360"/>
      <c r="I132" s="6">
        <f t="shared" si="5"/>
        <v>6.5548380029999994E7</v>
      </c>
    </row>
    <row r="133" spans="8:8">
      <c r="A133" s="3" t="s">
        <v>144</v>
      </c>
      <c r="B133" s="4" t="s">
        <v>65</v>
      </c>
      <c r="C133" s="371">
        <v>1.0</v>
      </c>
      <c r="D133" s="369">
        <v>5.752132113E7</v>
      </c>
      <c r="E133" s="372">
        <v>2014478.0</v>
      </c>
      <c r="F133" s="372">
        <v>3654051.0</v>
      </c>
      <c r="G133" s="372">
        <v>7889427.0</v>
      </c>
      <c r="H133" s="360"/>
      <c r="I133" s="6">
        <f t="shared" si="5"/>
        <v>7.107927813E7</v>
      </c>
    </row>
    <row r="134" spans="8:8">
      <c r="A134" s="3" t="s">
        <v>145</v>
      </c>
      <c r="B134" s="4" t="s">
        <v>65</v>
      </c>
      <c r="C134" s="371">
        <v>1.0</v>
      </c>
      <c r="D134" s="369">
        <v>2.442812463E7</v>
      </c>
      <c r="E134" s="372">
        <v>2014478.0</v>
      </c>
      <c r="F134" s="372">
        <v>3654051.0</v>
      </c>
      <c r="G134" s="372">
        <v>7889427.0</v>
      </c>
      <c r="H134" s="360"/>
      <c r="I134" s="6">
        <f t="shared" si="5"/>
        <v>3.7986081629999995E7</v>
      </c>
    </row>
    <row r="135" spans="8:8">
      <c r="A135" s="3" t="s">
        <v>146</v>
      </c>
      <c r="B135" s="4" t="s">
        <v>65</v>
      </c>
      <c r="C135" s="371">
        <v>1.0</v>
      </c>
      <c r="D135" s="369">
        <v>2.5995212880000003E7</v>
      </c>
      <c r="E135" s="372">
        <v>2014478.0</v>
      </c>
      <c r="F135" s="372">
        <v>3654051.0</v>
      </c>
      <c r="G135" s="372">
        <v>7889427.0</v>
      </c>
      <c r="H135" s="360"/>
      <c r="I135" s="6">
        <f t="shared" si="5"/>
        <v>3.955316988E7</v>
      </c>
    </row>
    <row r="136" spans="8:8">
      <c r="A136" s="3" t="s">
        <v>147</v>
      </c>
      <c r="B136" s="4" t="s">
        <v>65</v>
      </c>
      <c r="C136" s="371">
        <v>1.0</v>
      </c>
      <c r="D136" s="369">
        <v>2.876066193E7</v>
      </c>
      <c r="E136" s="372">
        <v>2014478.0</v>
      </c>
      <c r="F136" s="372">
        <v>3654051.0</v>
      </c>
      <c r="G136" s="372">
        <v>7889427.0</v>
      </c>
      <c r="H136" s="360"/>
      <c r="I136" s="6">
        <f t="shared" si="5"/>
        <v>4.231861893E7</v>
      </c>
    </row>
    <row r="137" spans="8:8">
      <c r="A137" s="3" t="s">
        <v>148</v>
      </c>
      <c r="B137" s="4" t="s">
        <v>65</v>
      </c>
      <c r="C137" s="371">
        <v>1.0</v>
      </c>
      <c r="D137" s="369">
        <v>2.5995212880000003E7</v>
      </c>
      <c r="E137" s="372">
        <v>2014478.0</v>
      </c>
      <c r="F137" s="372">
        <v>3654051.0</v>
      </c>
      <c r="G137" s="372">
        <v>7889427.0</v>
      </c>
      <c r="H137" s="360"/>
      <c r="I137" s="6">
        <f t="shared" si="5"/>
        <v>3.955316988E7</v>
      </c>
    </row>
    <row r="138" spans="8:8">
      <c r="A138" s="3" t="s">
        <v>149</v>
      </c>
      <c r="B138" s="4" t="s">
        <v>65</v>
      </c>
      <c r="C138" s="371">
        <v>1.0</v>
      </c>
      <c r="D138" s="369">
        <v>2.876066193E7</v>
      </c>
      <c r="E138" s="372">
        <v>2014478.0</v>
      </c>
      <c r="F138" s="372">
        <v>3654051.0</v>
      </c>
      <c r="G138" s="372">
        <v>7889427.0</v>
      </c>
      <c r="H138" s="360"/>
      <c r="I138" s="6">
        <f t="shared" si="5"/>
        <v>4.231861893E7</v>
      </c>
    </row>
    <row r="139" spans="8:8">
      <c r="A139" s="3" t="s">
        <v>150</v>
      </c>
      <c r="B139" s="4" t="s">
        <v>65</v>
      </c>
      <c r="C139" s="371">
        <v>1.0</v>
      </c>
      <c r="D139" s="369">
        <v>3.8624091870000005E7</v>
      </c>
      <c r="E139" s="372">
        <v>2014478.0</v>
      </c>
      <c r="F139" s="372">
        <v>3654051.0</v>
      </c>
      <c r="G139" s="372">
        <v>7889427.0</v>
      </c>
      <c r="H139" s="360"/>
      <c r="I139" s="6">
        <f t="shared" si="5"/>
        <v>5.2182048870000005E7</v>
      </c>
    </row>
    <row r="140" spans="8:8">
      <c r="A140" s="3" t="s">
        <v>151</v>
      </c>
      <c r="B140" s="4" t="s">
        <v>65</v>
      </c>
      <c r="C140" s="371">
        <v>1.0</v>
      </c>
      <c r="D140" s="369">
        <v>5.1990423029999994E7</v>
      </c>
      <c r="E140" s="372">
        <v>2014478.0</v>
      </c>
      <c r="F140" s="372">
        <v>3654051.0</v>
      </c>
      <c r="G140" s="372">
        <v>7889427.0</v>
      </c>
      <c r="H140" s="360"/>
      <c r="I140" s="6">
        <f t="shared" si="5"/>
        <v>6.5548380029999994E7</v>
      </c>
    </row>
    <row r="141" spans="8:8">
      <c r="A141" s="3" t="s">
        <v>152</v>
      </c>
      <c r="B141" s="4" t="s">
        <v>65</v>
      </c>
      <c r="C141" s="371">
        <v>1.0</v>
      </c>
      <c r="D141" s="369">
        <v>5.752132113E7</v>
      </c>
      <c r="E141" s="372">
        <v>2014478.0</v>
      </c>
      <c r="F141" s="372">
        <v>3654051.0</v>
      </c>
      <c r="G141" s="372">
        <v>7889427.0</v>
      </c>
      <c r="H141" s="360"/>
      <c r="I141" s="6">
        <f t="shared" si="5"/>
        <v>7.107927813E7</v>
      </c>
    </row>
    <row r="142" spans="8:8">
      <c r="A142" s="3" t="s">
        <v>153</v>
      </c>
      <c r="B142" s="4" t="s">
        <v>65</v>
      </c>
      <c r="C142" s="371">
        <v>1.0</v>
      </c>
      <c r="D142" s="369">
        <v>1.1983608273000002E8</v>
      </c>
      <c r="E142" s="372">
        <v>2014478.0</v>
      </c>
      <c r="F142" s="372">
        <v>3654051.0</v>
      </c>
      <c r="G142" s="372">
        <v>7889427.0</v>
      </c>
      <c r="H142" s="360"/>
      <c r="I142" s="6">
        <f t="shared" si="5"/>
        <v>1.3339403973000002E8</v>
      </c>
    </row>
    <row r="143" spans="8:8">
      <c r="A143" s="3" t="s">
        <v>154</v>
      </c>
      <c r="B143" s="4" t="s">
        <v>65</v>
      </c>
      <c r="C143" s="371">
        <v>1.0</v>
      </c>
      <c r="D143" s="369">
        <v>2.304540147E7</v>
      </c>
      <c r="E143" s="372">
        <v>2014478.0</v>
      </c>
      <c r="F143" s="372">
        <v>3654051.0</v>
      </c>
      <c r="G143" s="372">
        <v>7889427.0</v>
      </c>
      <c r="H143" s="360"/>
      <c r="I143" s="6">
        <f t="shared" si="5"/>
        <v>3.660335847E7</v>
      </c>
    </row>
    <row r="144" spans="8:8">
      <c r="A144" s="3" t="s">
        <v>155</v>
      </c>
      <c r="B144" s="4" t="s">
        <v>65</v>
      </c>
      <c r="C144" s="371">
        <v>1.0</v>
      </c>
      <c r="D144" s="369">
        <v>2.442812463E7</v>
      </c>
      <c r="E144" s="372">
        <v>2014478.0</v>
      </c>
      <c r="F144" s="372">
        <v>3654051.0</v>
      </c>
      <c r="G144" s="372">
        <v>7889427.0</v>
      </c>
      <c r="H144" s="360"/>
      <c r="I144" s="6">
        <f t="shared" si="5"/>
        <v>3.7986081629999995E7</v>
      </c>
    </row>
    <row r="145" spans="8:8">
      <c r="A145" s="3" t="s">
        <v>156</v>
      </c>
      <c r="B145" s="4" t="s">
        <v>65</v>
      </c>
      <c r="C145" s="371">
        <v>1.0</v>
      </c>
      <c r="D145" s="369">
        <v>2.5995212880000003E7</v>
      </c>
      <c r="E145" s="372">
        <v>2014478.0</v>
      </c>
      <c r="F145" s="372">
        <v>3654051.0</v>
      </c>
      <c r="G145" s="372">
        <v>7889427.0</v>
      </c>
      <c r="H145" s="360"/>
      <c r="I145" s="6">
        <f t="shared" si="5"/>
        <v>3.955316988E7</v>
      </c>
    </row>
    <row r="146" spans="8:8">
      <c r="A146" s="3" t="s">
        <v>157</v>
      </c>
      <c r="B146" s="4" t="s">
        <v>65</v>
      </c>
      <c r="C146" s="371">
        <v>1.0</v>
      </c>
      <c r="D146" s="369">
        <v>2.442812463E7</v>
      </c>
      <c r="E146" s="372">
        <v>2014478.0</v>
      </c>
      <c r="F146" s="372">
        <v>3654051.0</v>
      </c>
      <c r="G146" s="372">
        <v>7889427.0</v>
      </c>
      <c r="H146" s="360"/>
      <c r="I146" s="6">
        <f t="shared" si="5"/>
        <v>3.7986081629999995E7</v>
      </c>
    </row>
    <row r="147" spans="8:8">
      <c r="A147" s="3" t="s">
        <v>158</v>
      </c>
      <c r="B147" s="4" t="s">
        <v>65</v>
      </c>
      <c r="C147" s="371">
        <v>1.0</v>
      </c>
      <c r="D147" s="369">
        <v>2.5995212880000003E7</v>
      </c>
      <c r="E147" s="372">
        <v>2014478.0</v>
      </c>
      <c r="F147" s="372">
        <v>3654051.0</v>
      </c>
      <c r="G147" s="372">
        <v>7889427.0</v>
      </c>
      <c r="H147" s="360"/>
      <c r="I147" s="6">
        <f t="shared" si="5"/>
        <v>3.955316988E7</v>
      </c>
    </row>
    <row r="148" spans="8:8">
      <c r="A148" s="3" t="s">
        <v>159</v>
      </c>
      <c r="B148" s="4" t="s">
        <v>65</v>
      </c>
      <c r="C148" s="371">
        <v>1.0</v>
      </c>
      <c r="D148" s="369">
        <v>2.876066193E7</v>
      </c>
      <c r="E148" s="372">
        <v>2014478.0</v>
      </c>
      <c r="F148" s="372">
        <v>3654051.0</v>
      </c>
      <c r="G148" s="372">
        <v>7889427.0</v>
      </c>
      <c r="H148" s="360"/>
      <c r="I148" s="6">
        <f t="shared" si="5"/>
        <v>4.231861893E7</v>
      </c>
    </row>
    <row r="149" spans="8:8">
      <c r="A149" s="3" t="s">
        <v>160</v>
      </c>
      <c r="B149" s="4" t="s">
        <v>65</v>
      </c>
      <c r="C149" s="371">
        <v>1.0</v>
      </c>
      <c r="D149" s="369">
        <v>2.5995212880000003E7</v>
      </c>
      <c r="E149" s="372">
        <v>2014478.0</v>
      </c>
      <c r="F149" s="372">
        <v>3654051.0</v>
      </c>
      <c r="G149" s="372">
        <v>7889427.0</v>
      </c>
      <c r="H149" s="360"/>
      <c r="I149" s="6">
        <f t="shared" si="5"/>
        <v>3.955316988E7</v>
      </c>
    </row>
    <row r="150" spans="8:8">
      <c r="A150" s="15" t="s">
        <v>161</v>
      </c>
      <c r="B150" s="16" t="s">
        <v>65</v>
      </c>
      <c r="C150" s="371">
        <v>1.0</v>
      </c>
      <c r="D150" s="369">
        <v>2.876066193E7</v>
      </c>
      <c r="E150" s="372">
        <v>2014478.0</v>
      </c>
      <c r="F150" s="372">
        <v>3654051.0</v>
      </c>
      <c r="G150" s="372">
        <v>7889427.0</v>
      </c>
      <c r="H150" s="360"/>
      <c r="I150" s="6">
        <f t="shared" si="5"/>
        <v>4.231861893E7</v>
      </c>
    </row>
    <row r="151" spans="8:8">
      <c r="A151" s="15" t="s">
        <v>162</v>
      </c>
      <c r="B151" s="16" t="s">
        <v>65</v>
      </c>
      <c r="C151" s="371">
        <v>1.0</v>
      </c>
      <c r="D151" s="369">
        <v>5.1990423029999994E7</v>
      </c>
      <c r="E151" s="372">
        <v>2014478.0</v>
      </c>
      <c r="F151" s="372">
        <v>3654051.0</v>
      </c>
      <c r="G151" s="372">
        <v>7889427.0</v>
      </c>
      <c r="H151" s="360"/>
      <c r="I151" s="6">
        <f t="shared" si="5"/>
        <v>6.5548380029999994E7</v>
      </c>
    </row>
    <row r="152" spans="8:8">
      <c r="A152" s="15" t="s">
        <v>163</v>
      </c>
      <c r="B152" s="16" t="s">
        <v>65</v>
      </c>
      <c r="C152" s="371">
        <v>1.0</v>
      </c>
      <c r="D152" s="369">
        <v>5.752132113E7</v>
      </c>
      <c r="E152" s="372">
        <v>2014478.0</v>
      </c>
      <c r="F152" s="372">
        <v>3654051.0</v>
      </c>
      <c r="G152" s="372">
        <v>7889427.0</v>
      </c>
      <c r="H152" s="360"/>
      <c r="I152" s="6">
        <f t="shared" si="5"/>
        <v>7.107927813E7</v>
      </c>
    </row>
    <row r="153" spans="8:8">
      <c r="A153" s="3" t="s">
        <v>164</v>
      </c>
      <c r="B153" s="4" t="s">
        <v>65</v>
      </c>
      <c r="C153" s="371">
        <v>1.0</v>
      </c>
      <c r="D153" s="369">
        <v>2.2492311660000004E7</v>
      </c>
      <c r="E153" s="372">
        <v>2014478.0</v>
      </c>
      <c r="F153" s="372">
        <v>3654051.0</v>
      </c>
      <c r="G153" s="372">
        <v>7889427.0</v>
      </c>
      <c r="H153" s="360"/>
      <c r="I153" s="6">
        <f t="shared" si="5"/>
        <v>3.6050268660000004E7</v>
      </c>
    </row>
    <row r="154" spans="8:8">
      <c r="A154" s="3" t="s">
        <v>165</v>
      </c>
      <c r="B154" s="4" t="s">
        <v>65</v>
      </c>
      <c r="C154" s="371">
        <v>1.0</v>
      </c>
      <c r="D154" s="369">
        <v>2.525776071E7</v>
      </c>
      <c r="E154" s="372">
        <v>2014478.0</v>
      </c>
      <c r="F154" s="372">
        <v>3654051.0</v>
      </c>
      <c r="G154" s="372">
        <v>7889427.0</v>
      </c>
      <c r="H154" s="360"/>
      <c r="I154" s="6">
        <f t="shared" si="5"/>
        <v>3.881571771E7</v>
      </c>
    </row>
    <row r="155" spans="8:8">
      <c r="A155" s="3" t="s">
        <v>166</v>
      </c>
      <c r="B155" s="4" t="s">
        <v>65</v>
      </c>
      <c r="C155" s="371">
        <v>1.0</v>
      </c>
      <c r="D155" s="369">
        <v>2.442812463E7</v>
      </c>
      <c r="E155" s="372">
        <v>2014478.0</v>
      </c>
      <c r="F155" s="372">
        <v>3654051.0</v>
      </c>
      <c r="G155" s="372">
        <v>7889427.0</v>
      </c>
      <c r="H155" s="360"/>
      <c r="I155" s="6">
        <f t="shared" si="5"/>
        <v>3.7986081629999995E7</v>
      </c>
    </row>
    <row r="156" spans="8:8">
      <c r="A156" s="3" t="s">
        <v>167</v>
      </c>
      <c r="B156" s="4" t="s">
        <v>65</v>
      </c>
      <c r="C156" s="371">
        <v>1.0</v>
      </c>
      <c r="D156" s="369">
        <v>2.5995212880000003E7</v>
      </c>
      <c r="E156" s="372">
        <v>2014478.0</v>
      </c>
      <c r="F156" s="372">
        <v>3654051.0</v>
      </c>
      <c r="G156" s="372">
        <v>7889427.0</v>
      </c>
      <c r="H156" s="360"/>
      <c r="I156" s="6">
        <f t="shared" si="5"/>
        <v>3.955316988E7</v>
      </c>
    </row>
    <row r="157" spans="8:8">
      <c r="A157" s="3" t="s">
        <v>168</v>
      </c>
      <c r="B157" s="4" t="s">
        <v>65</v>
      </c>
      <c r="C157" s="371">
        <v>1.0</v>
      </c>
      <c r="D157" s="369">
        <v>4.885624926E7</v>
      </c>
      <c r="E157" s="372">
        <v>2014478.0</v>
      </c>
      <c r="F157" s="372">
        <v>3654051.0</v>
      </c>
      <c r="G157" s="372">
        <v>7889427.0</v>
      </c>
      <c r="H157" s="360"/>
      <c r="I157" s="6">
        <f t="shared" si="5"/>
        <v>6.241420626E7</v>
      </c>
    </row>
    <row r="158" spans="8:8">
      <c r="A158" s="3" t="s">
        <v>169</v>
      </c>
      <c r="B158" s="4" t="s">
        <v>65</v>
      </c>
      <c r="C158" s="371">
        <v>1.0</v>
      </c>
      <c r="D158" s="369">
        <v>5.1990423029999994E7</v>
      </c>
      <c r="E158" s="372">
        <v>2014478.0</v>
      </c>
      <c r="F158" s="372">
        <v>3654051.0</v>
      </c>
      <c r="G158" s="372">
        <v>7889427.0</v>
      </c>
      <c r="H158" s="360"/>
      <c r="I158" s="6">
        <f t="shared" si="5"/>
        <v>6.5548380029999994E7</v>
      </c>
    </row>
    <row r="159" spans="8:8">
      <c r="A159" s="3" t="s">
        <v>170</v>
      </c>
      <c r="B159" s="4" t="s">
        <v>65</v>
      </c>
      <c r="C159" s="371">
        <v>1.0</v>
      </c>
      <c r="D159" s="369">
        <v>2.442812463E7</v>
      </c>
      <c r="E159" s="372">
        <v>2014478.0</v>
      </c>
      <c r="F159" s="372">
        <v>3654051.0</v>
      </c>
      <c r="G159" s="372">
        <v>7889427.0</v>
      </c>
      <c r="H159" s="360"/>
      <c r="I159" s="6">
        <f t="shared" si="5"/>
        <v>3.7986081629999995E7</v>
      </c>
    </row>
    <row r="160" spans="8:8">
      <c r="A160" s="3" t="s">
        <v>171</v>
      </c>
      <c r="B160" s="4" t="s">
        <v>65</v>
      </c>
      <c r="C160" s="371">
        <v>1.0</v>
      </c>
      <c r="D160" s="369">
        <v>2.5995212880000003E7</v>
      </c>
      <c r="E160" s="372">
        <v>2014478.0</v>
      </c>
      <c r="F160" s="372">
        <v>3654051.0</v>
      </c>
      <c r="G160" s="372">
        <v>7889427.0</v>
      </c>
      <c r="H160" s="360"/>
      <c r="I160" s="6">
        <f t="shared" si="5"/>
        <v>3.955316988E7</v>
      </c>
    </row>
    <row r="161" spans="8:8">
      <c r="A161" s="3" t="s">
        <v>172</v>
      </c>
      <c r="B161" s="4" t="s">
        <v>65</v>
      </c>
      <c r="C161" s="371">
        <v>1.0</v>
      </c>
      <c r="D161" s="369">
        <v>2.876066193E7</v>
      </c>
      <c r="E161" s="372">
        <v>2014478.0</v>
      </c>
      <c r="F161" s="372">
        <v>3654051.0</v>
      </c>
      <c r="G161" s="372">
        <v>7889427.0</v>
      </c>
      <c r="H161" s="360"/>
      <c r="I161" s="6">
        <f t="shared" si="5"/>
        <v>4.231861893E7</v>
      </c>
    </row>
    <row r="162" spans="8:8">
      <c r="A162" s="3" t="s">
        <v>173</v>
      </c>
      <c r="B162" s="4" t="s">
        <v>65</v>
      </c>
      <c r="C162" s="371">
        <v>1.0</v>
      </c>
      <c r="D162" s="369">
        <v>4.885624926E7</v>
      </c>
      <c r="E162" s="372">
        <v>2014478.0</v>
      </c>
      <c r="F162" s="372">
        <v>3654051.0</v>
      </c>
      <c r="G162" s="372">
        <v>7889427.0</v>
      </c>
      <c r="H162" s="360"/>
      <c r="I162" s="6">
        <f t="shared" si="5"/>
        <v>6.241420626E7</v>
      </c>
    </row>
    <row r="163" spans="8:8">
      <c r="A163" s="3" t="s">
        <v>174</v>
      </c>
      <c r="B163" s="4" t="s">
        <v>65</v>
      </c>
      <c r="C163" s="371">
        <v>1.0</v>
      </c>
      <c r="D163" s="369">
        <v>5.1990423029999994E7</v>
      </c>
      <c r="E163" s="372">
        <v>2014478.0</v>
      </c>
      <c r="F163" s="372">
        <v>3654051.0</v>
      </c>
      <c r="G163" s="372">
        <v>7889427.0</v>
      </c>
      <c r="H163" s="360"/>
      <c r="I163" s="6">
        <f t="shared" si="5"/>
        <v>6.5548380029999994E7</v>
      </c>
    </row>
    <row r="164" spans="8:8">
      <c r="A164" s="3" t="s">
        <v>175</v>
      </c>
      <c r="B164" s="4" t="s">
        <v>65</v>
      </c>
      <c r="C164" s="371">
        <v>1.0</v>
      </c>
      <c r="D164" s="369">
        <v>5.752132113E7</v>
      </c>
      <c r="E164" s="372">
        <v>2014478.0</v>
      </c>
      <c r="F164" s="372">
        <v>3654051.0</v>
      </c>
      <c r="G164" s="372">
        <v>7889427.0</v>
      </c>
      <c r="H164" s="360"/>
      <c r="I164" s="6">
        <f t="shared" si="5"/>
        <v>7.107927813E7</v>
      </c>
    </row>
    <row r="165" spans="8:8">
      <c r="A165" s="3" t="s">
        <v>176</v>
      </c>
      <c r="B165" s="4" t="s">
        <v>65</v>
      </c>
      <c r="C165" s="371">
        <v>1.0</v>
      </c>
      <c r="D165" s="369">
        <v>2.276885793E7</v>
      </c>
      <c r="E165" s="372">
        <v>2014478.0</v>
      </c>
      <c r="F165" s="372">
        <v>3654051.0</v>
      </c>
      <c r="G165" s="372">
        <v>7889427.0</v>
      </c>
      <c r="H165" s="360"/>
      <c r="I165" s="6">
        <f t="shared" si="5"/>
        <v>3.632681493E7</v>
      </c>
    </row>
    <row r="166" spans="8:8">
      <c r="A166" s="3" t="s">
        <v>177</v>
      </c>
      <c r="B166" s="4" t="s">
        <v>65</v>
      </c>
      <c r="C166" s="371">
        <v>1.0</v>
      </c>
      <c r="D166" s="369">
        <v>2.876066193E7</v>
      </c>
      <c r="E166" s="372">
        <v>2014478.0</v>
      </c>
      <c r="F166" s="372">
        <v>3654051.0</v>
      </c>
      <c r="G166" s="372">
        <v>7889427.0</v>
      </c>
      <c r="H166" s="360"/>
      <c r="I166" s="6">
        <f t="shared" si="5"/>
        <v>4.231861893E7</v>
      </c>
    </row>
    <row r="167" spans="8:8">
      <c r="A167" s="3" t="s">
        <v>178</v>
      </c>
      <c r="B167" s="4" t="s">
        <v>65</v>
      </c>
      <c r="C167" s="371">
        <v>8.491099617E7</v>
      </c>
      <c r="D167" s="369">
        <v>4.3205516445000005E8</v>
      </c>
      <c r="E167" s="372">
        <v>2014478.0</v>
      </c>
      <c r="F167" s="372">
        <v>3654051.0</v>
      </c>
      <c r="G167" s="372">
        <v>7889427.0</v>
      </c>
      <c r="H167" s="360"/>
      <c r="I167" s="6">
        <f t="shared" si="5"/>
        <v>5.3052411662000006E8</v>
      </c>
    </row>
    <row r="168" spans="8:8">
      <c r="A168" s="3" t="s">
        <v>179</v>
      </c>
      <c r="B168" s="4" t="s">
        <v>65</v>
      </c>
      <c r="C168" s="371">
        <v>1.0</v>
      </c>
      <c r="D168" s="369">
        <v>5.540114307000001E7</v>
      </c>
      <c r="E168" s="372">
        <v>2014478.0</v>
      </c>
      <c r="F168" s="372">
        <v>3654051.0</v>
      </c>
      <c r="G168" s="372">
        <v>7889427.0</v>
      </c>
      <c r="H168" s="360"/>
      <c r="I168" s="6">
        <f t="shared" si="5"/>
        <v>6.895910007000001E7</v>
      </c>
    </row>
    <row r="169" spans="8:8">
      <c r="A169" s="3" t="s">
        <v>180</v>
      </c>
      <c r="B169" s="4" t="s">
        <v>65</v>
      </c>
      <c r="C169" s="371">
        <v>1.0</v>
      </c>
      <c r="D169" s="369">
        <v>2.5995212880000003E7</v>
      </c>
      <c r="E169" s="372">
        <v>2014478.0</v>
      </c>
      <c r="F169" s="372">
        <v>3654051.0</v>
      </c>
      <c r="G169" s="372">
        <v>7889427.0</v>
      </c>
      <c r="H169" s="360"/>
      <c r="I169" s="6">
        <f t="shared" si="5"/>
        <v>3.955316988E7</v>
      </c>
    </row>
    <row r="170" spans="8:8">
      <c r="A170" s="3" t="s">
        <v>181</v>
      </c>
      <c r="B170" s="4" t="s">
        <v>65</v>
      </c>
      <c r="C170" s="371">
        <v>1.0</v>
      </c>
      <c r="D170" s="369">
        <v>5.1990423029999994E7</v>
      </c>
      <c r="E170" s="372">
        <v>2014478.0</v>
      </c>
      <c r="F170" s="372">
        <v>3654051.0</v>
      </c>
      <c r="G170" s="372">
        <v>7889427.0</v>
      </c>
      <c r="H170" s="360"/>
      <c r="I170" s="6">
        <f t="shared" si="5"/>
        <v>6.5548380029999994E7</v>
      </c>
    </row>
    <row r="171" spans="8:8">
      <c r="A171" s="3" t="s">
        <v>182</v>
      </c>
      <c r="B171" s="4" t="s">
        <v>65</v>
      </c>
      <c r="C171" s="371">
        <v>1.0</v>
      </c>
      <c r="D171" s="369">
        <v>2.442812463E7</v>
      </c>
      <c r="E171" s="372">
        <v>2014478.0</v>
      </c>
      <c r="F171" s="372">
        <v>3654051.0</v>
      </c>
      <c r="G171" s="372">
        <v>7889427.0</v>
      </c>
      <c r="H171" s="360"/>
      <c r="I171" s="6">
        <f t="shared" si="5"/>
        <v>3.7986081629999995E7</v>
      </c>
    </row>
    <row r="172" spans="8:8">
      <c r="A172" s="3" t="s">
        <v>183</v>
      </c>
      <c r="B172" s="4" t="s">
        <v>65</v>
      </c>
      <c r="C172" s="371">
        <v>1.0</v>
      </c>
      <c r="D172" s="369">
        <v>2.5995212880000003E7</v>
      </c>
      <c r="E172" s="372">
        <v>2014478.0</v>
      </c>
      <c r="F172" s="372">
        <v>3654051.0</v>
      </c>
      <c r="G172" s="372">
        <v>7889427.0</v>
      </c>
      <c r="H172" s="360"/>
      <c r="I172" s="6">
        <f t="shared" si="5"/>
        <v>3.955316988E7</v>
      </c>
    </row>
    <row r="173" spans="8:8">
      <c r="A173" s="3" t="s">
        <v>184</v>
      </c>
      <c r="B173" s="4" t="s">
        <v>65</v>
      </c>
      <c r="C173" s="371">
        <v>1.0</v>
      </c>
      <c r="D173" s="369">
        <v>2.876066193E7</v>
      </c>
      <c r="E173" s="372">
        <v>2014478.0</v>
      </c>
      <c r="F173" s="372">
        <v>3654051.0</v>
      </c>
      <c r="G173" s="372">
        <v>7889427.0</v>
      </c>
      <c r="H173" s="360"/>
      <c r="I173" s="6">
        <f t="shared" si="5"/>
        <v>4.231861893E7</v>
      </c>
    </row>
    <row r="174" spans="8:8">
      <c r="A174" s="3" t="s">
        <v>185</v>
      </c>
      <c r="B174" s="4" t="s">
        <v>65</v>
      </c>
      <c r="C174" s="371">
        <v>1.0</v>
      </c>
      <c r="D174" s="369">
        <v>4.885624926E7</v>
      </c>
      <c r="E174" s="372">
        <v>2014478.0</v>
      </c>
      <c r="F174" s="372">
        <v>3654051.0</v>
      </c>
      <c r="G174" s="372">
        <v>7889427.0</v>
      </c>
      <c r="H174" s="360"/>
      <c r="I174" s="6">
        <f t="shared" si="5"/>
        <v>6.241420626E7</v>
      </c>
    </row>
    <row r="175" spans="8:8">
      <c r="A175" s="3" t="s">
        <v>186</v>
      </c>
      <c r="B175" s="4" t="s">
        <v>65</v>
      </c>
      <c r="C175" s="371">
        <v>1.0</v>
      </c>
      <c r="D175" s="369">
        <v>5.1990423029999994E7</v>
      </c>
      <c r="E175" s="372">
        <v>2014478.0</v>
      </c>
      <c r="F175" s="372">
        <v>3654051.0</v>
      </c>
      <c r="G175" s="372">
        <v>7889427.0</v>
      </c>
      <c r="H175" s="360"/>
      <c r="I175" s="6">
        <f t="shared" si="5"/>
        <v>6.5548380029999994E7</v>
      </c>
    </row>
    <row r="176" spans="8:8">
      <c r="A176" s="3" t="s">
        <v>187</v>
      </c>
      <c r="B176" s="4" t="s">
        <v>65</v>
      </c>
      <c r="C176" s="371">
        <v>1.0</v>
      </c>
      <c r="D176" s="369">
        <v>5.752132113E7</v>
      </c>
      <c r="E176" s="372">
        <v>2014478.0</v>
      </c>
      <c r="F176" s="372">
        <v>3654051.0</v>
      </c>
      <c r="G176" s="372">
        <v>7889427.0</v>
      </c>
      <c r="H176" s="360"/>
      <c r="I176" s="6">
        <f t="shared" si="5"/>
        <v>7.107927813E7</v>
      </c>
    </row>
    <row r="177" spans="8:8">
      <c r="A177" s="15" t="s">
        <v>188</v>
      </c>
      <c r="B177" s="16" t="s">
        <v>65</v>
      </c>
      <c r="C177" s="371">
        <v>1.0</v>
      </c>
      <c r="D177" s="369">
        <v>2.442812463E7</v>
      </c>
      <c r="E177" s="372">
        <v>2014478.0</v>
      </c>
      <c r="F177" s="372">
        <v>3654051.0</v>
      </c>
      <c r="G177" s="372">
        <v>7889427.0</v>
      </c>
      <c r="H177" s="360"/>
      <c r="I177" s="6">
        <f t="shared" si="5"/>
        <v>3.7986081629999995E7</v>
      </c>
    </row>
    <row r="178" spans="8:8">
      <c r="A178" s="3" t="s">
        <v>189</v>
      </c>
      <c r="B178" s="4" t="s">
        <v>65</v>
      </c>
      <c r="C178" s="371">
        <v>1.0</v>
      </c>
      <c r="D178" s="369">
        <v>2.5995212880000003E7</v>
      </c>
      <c r="E178" s="372">
        <v>2014478.0</v>
      </c>
      <c r="F178" s="372">
        <v>3654051.0</v>
      </c>
      <c r="G178" s="372">
        <v>7889427.0</v>
      </c>
      <c r="H178" s="360"/>
      <c r="I178" s="6">
        <f t="shared" si="5"/>
        <v>3.955316988E7</v>
      </c>
    </row>
    <row r="179" spans="8:8">
      <c r="A179" s="3" t="s">
        <v>190</v>
      </c>
      <c r="B179" s="16" t="s">
        <v>65</v>
      </c>
      <c r="C179" s="371">
        <v>1.0</v>
      </c>
      <c r="D179" s="369">
        <v>2.442812463E7</v>
      </c>
      <c r="E179" s="372">
        <v>2014478.0</v>
      </c>
      <c r="F179" s="372">
        <v>3654051.0</v>
      </c>
      <c r="G179" s="372">
        <v>7889427.0</v>
      </c>
      <c r="H179" s="360"/>
      <c r="I179" s="6">
        <f t="shared" si="6" ref="I179:I183">SUM(C179:H179)</f>
        <v>3.7986081629999995E7</v>
      </c>
    </row>
    <row r="180" spans="8:8" s="49" ht="15.0" customFormat="1">
      <c r="A180" s="3" t="s">
        <v>191</v>
      </c>
      <c r="B180" s="4" t="s">
        <v>65</v>
      </c>
      <c r="C180" s="371">
        <v>1.0</v>
      </c>
      <c r="D180" s="369">
        <v>2.5995212880000003E7</v>
      </c>
      <c r="E180" s="372">
        <v>2014478.0</v>
      </c>
      <c r="F180" s="372">
        <v>3654051.0</v>
      </c>
      <c r="G180" s="372">
        <v>7889427.0</v>
      </c>
      <c r="H180" s="360"/>
      <c r="I180" s="17">
        <f t="shared" si="6"/>
        <v>3.955316988E7</v>
      </c>
    </row>
    <row r="181" spans="8:8">
      <c r="A181" s="3" t="s">
        <v>192</v>
      </c>
      <c r="B181" s="4" t="s">
        <v>65</v>
      </c>
      <c r="C181" s="371">
        <v>1.0</v>
      </c>
      <c r="D181" s="369">
        <v>2.876066193E7</v>
      </c>
      <c r="E181" s="372">
        <v>2014478.0</v>
      </c>
      <c r="F181" s="372">
        <v>3654051.0</v>
      </c>
      <c r="G181" s="372">
        <v>7889427.0</v>
      </c>
      <c r="H181" s="360"/>
      <c r="I181" s="6">
        <f t="shared" si="6"/>
        <v>4.231861893E7</v>
      </c>
    </row>
    <row r="182" spans="8:8">
      <c r="A182" s="3" t="s">
        <v>193</v>
      </c>
      <c r="B182" s="4" t="s">
        <v>65</v>
      </c>
      <c r="C182" s="371">
        <v>1.0</v>
      </c>
      <c r="D182" s="369">
        <v>2.442812463E7</v>
      </c>
      <c r="E182" s="372">
        <v>2014478.0</v>
      </c>
      <c r="F182" s="372">
        <v>3654051.0</v>
      </c>
      <c r="G182" s="372">
        <v>7889427.0</v>
      </c>
      <c r="H182" s="360"/>
      <c r="I182" s="6">
        <f t="shared" si="6"/>
        <v>3.7986081629999995E7</v>
      </c>
    </row>
    <row r="183" spans="8:8">
      <c r="A183" s="3" t="s">
        <v>194</v>
      </c>
      <c r="B183" s="4" t="s">
        <v>65</v>
      </c>
      <c r="C183" s="371">
        <v>1.0</v>
      </c>
      <c r="D183" s="369">
        <v>2.5995212880000003E7</v>
      </c>
      <c r="E183" s="372">
        <v>2014478.0</v>
      </c>
      <c r="F183" s="372">
        <v>3654051.0</v>
      </c>
      <c r="G183" s="372">
        <v>7889427.0</v>
      </c>
      <c r="H183" s="360"/>
      <c r="I183" s="6">
        <f t="shared" si="6"/>
        <v>3.955316988E7</v>
      </c>
    </row>
    <row r="184" spans="8:8">
      <c r="A184" s="3" t="s">
        <v>197</v>
      </c>
      <c r="B184" s="4" t="s">
        <v>196</v>
      </c>
      <c r="C184" s="371">
        <v>1.0</v>
      </c>
      <c r="D184" s="369">
        <v>6.0521612970000006E7</v>
      </c>
      <c r="E184" s="372">
        <v>2014478.0</v>
      </c>
      <c r="F184" s="372">
        <v>3654051.0</v>
      </c>
      <c r="G184" s="360"/>
      <c r="H184" s="360"/>
      <c r="I184" s="6">
        <f t="shared" si="7" ref="I184:I240">SUM(C184:F184)</f>
        <v>6.6190142970000006E7</v>
      </c>
    </row>
    <row r="185" spans="8:8">
      <c r="A185" s="3" t="s">
        <v>198</v>
      </c>
      <c r="B185" s="4" t="s">
        <v>196</v>
      </c>
      <c r="C185" s="371">
        <v>1.0</v>
      </c>
      <c r="D185" s="369">
        <v>4.5197791275E8</v>
      </c>
      <c r="E185" s="372">
        <v>2014478.0</v>
      </c>
      <c r="F185" s="372">
        <v>3654051.0</v>
      </c>
      <c r="G185" s="360"/>
      <c r="H185" s="360"/>
      <c r="I185" s="6">
        <f t="shared" si="7"/>
        <v>4.5764644275E8</v>
      </c>
    </row>
    <row r="186" spans="8:8">
      <c r="A186" s="3" t="s">
        <v>199</v>
      </c>
      <c r="B186" s="4" t="s">
        <v>196</v>
      </c>
      <c r="C186" s="371">
        <v>1.0</v>
      </c>
      <c r="D186" s="369">
        <v>1.2945400923000002E8</v>
      </c>
      <c r="E186" s="372">
        <v>2014478.0</v>
      </c>
      <c r="F186" s="372">
        <v>3654051.0</v>
      </c>
      <c r="G186" s="360"/>
      <c r="H186" s="360"/>
      <c r="I186" s="6">
        <f t="shared" si="7"/>
        <v>1.3512253923000002E8</v>
      </c>
      <c r="J186" s="238"/>
    </row>
    <row r="187" spans="8:8">
      <c r="A187" s="3" t="s">
        <v>201</v>
      </c>
      <c r="B187" s="4" t="s">
        <v>196</v>
      </c>
      <c r="C187" s="371">
        <v>1.0</v>
      </c>
      <c r="D187" s="369">
        <v>1.2945400923000002E8</v>
      </c>
      <c r="E187" s="372">
        <v>2014478.0</v>
      </c>
      <c r="F187" s="372">
        <v>3654051.0</v>
      </c>
      <c r="G187" s="360"/>
      <c r="H187" s="360"/>
      <c r="I187" s="6">
        <f t="shared" si="7"/>
        <v>1.3512253923000002E8</v>
      </c>
    </row>
    <row r="188" spans="8:8">
      <c r="A188" s="3" t="s">
        <v>202</v>
      </c>
      <c r="B188" s="16" t="s">
        <v>196</v>
      </c>
      <c r="C188" s="371">
        <v>1.0</v>
      </c>
      <c r="D188" s="369">
        <v>1.2945400923000002E8</v>
      </c>
      <c r="E188" s="372">
        <v>2014478.0</v>
      </c>
      <c r="F188" s="372">
        <v>3654051.0</v>
      </c>
      <c r="G188" s="360"/>
      <c r="H188" s="360"/>
      <c r="I188" s="6">
        <f t="shared" si="7"/>
        <v>1.3512253923000002E8</v>
      </c>
    </row>
    <row r="189" spans="8:8">
      <c r="A189" s="3" t="s">
        <v>203</v>
      </c>
      <c r="B189" s="4" t="s">
        <v>196</v>
      </c>
      <c r="C189" s="371">
        <v>1.0</v>
      </c>
      <c r="D189" s="369">
        <v>1.2945400923000002E8</v>
      </c>
      <c r="E189" s="372">
        <v>2014478.0</v>
      </c>
      <c r="F189" s="372">
        <v>3654051.0</v>
      </c>
      <c r="G189" s="360"/>
      <c r="H189" s="360"/>
      <c r="I189" s="6">
        <f t="shared" si="7"/>
        <v>1.3512253923000002E8</v>
      </c>
    </row>
    <row r="190" spans="8:8">
      <c r="A190" s="3" t="s">
        <v>204</v>
      </c>
      <c r="B190" s="4" t="s">
        <v>196</v>
      </c>
      <c r="C190" s="371">
        <v>1.0</v>
      </c>
      <c r="D190" s="369">
        <v>1.2945400923000002E8</v>
      </c>
      <c r="E190" s="372">
        <v>2014478.0</v>
      </c>
      <c r="F190" s="372">
        <v>3654051.0</v>
      </c>
      <c r="G190" s="360"/>
      <c r="H190" s="360"/>
      <c r="I190" s="6">
        <f t="shared" si="7"/>
        <v>1.3512253923000002E8</v>
      </c>
      <c r="L190" s="233"/>
    </row>
    <row r="191" spans="8:8">
      <c r="A191" s="3" t="s">
        <v>206</v>
      </c>
      <c r="B191" s="4" t="s">
        <v>196</v>
      </c>
      <c r="C191" s="371">
        <v>1.0</v>
      </c>
      <c r="D191" s="369">
        <v>1.2945400923000002E8</v>
      </c>
      <c r="E191" s="372">
        <v>2014478.0</v>
      </c>
      <c r="F191" s="372">
        <v>3654051.0</v>
      </c>
      <c r="G191" s="360"/>
      <c r="H191" s="360"/>
      <c r="I191" s="6">
        <f t="shared" si="7"/>
        <v>1.3512253923000002E8</v>
      </c>
    </row>
    <row r="192" spans="8:8">
      <c r="A192" s="3" t="s">
        <v>207</v>
      </c>
      <c r="B192" s="4" t="s">
        <v>196</v>
      </c>
      <c r="C192" s="371">
        <v>1.0</v>
      </c>
      <c r="D192" s="369">
        <v>1.2945400923000002E8</v>
      </c>
      <c r="E192" s="372">
        <v>2014478.0</v>
      </c>
      <c r="F192" s="372">
        <v>3654051.0</v>
      </c>
      <c r="G192" s="360"/>
      <c r="H192" s="360"/>
      <c r="I192" s="6">
        <f t="shared" si="7"/>
        <v>1.3512253923000002E8</v>
      </c>
      <c r="J192" s="233"/>
      <c r="K192" s="76"/>
    </row>
    <row r="193" spans="8:8">
      <c r="A193" s="3" t="s">
        <v>208</v>
      </c>
      <c r="B193" s="4" t="s">
        <v>196</v>
      </c>
      <c r="C193" s="371">
        <v>1.0</v>
      </c>
      <c r="D193" s="369">
        <v>1.2945400923000002E8</v>
      </c>
      <c r="E193" s="372">
        <v>2014478.0</v>
      </c>
      <c r="F193" s="372">
        <v>3654051.0</v>
      </c>
      <c r="G193" s="360"/>
      <c r="H193" s="360"/>
      <c r="I193" s="6">
        <f t="shared" si="7"/>
        <v>1.3512253923000002E8</v>
      </c>
    </row>
    <row r="194" spans="8:8">
      <c r="A194" s="3" t="s">
        <v>209</v>
      </c>
      <c r="B194" s="4" t="s">
        <v>196</v>
      </c>
      <c r="C194" s="371">
        <v>1.0</v>
      </c>
      <c r="D194" s="369">
        <v>1.2945400923000002E8</v>
      </c>
      <c r="E194" s="372">
        <v>2014478.0</v>
      </c>
      <c r="F194" s="372">
        <v>3654051.0</v>
      </c>
      <c r="G194" s="360"/>
      <c r="H194" s="360"/>
      <c r="I194" s="6">
        <f t="shared" si="7"/>
        <v>1.3512253923000002E8</v>
      </c>
    </row>
    <row r="195" spans="8:8">
      <c r="A195" s="3" t="s">
        <v>210</v>
      </c>
      <c r="B195" s="4" t="s">
        <v>196</v>
      </c>
      <c r="C195" s="371">
        <v>1.0</v>
      </c>
      <c r="D195" s="369">
        <v>1.2945400923000002E8</v>
      </c>
      <c r="E195" s="372">
        <v>2014478.0</v>
      </c>
      <c r="F195" s="372">
        <v>3654051.0</v>
      </c>
      <c r="G195" s="360"/>
      <c r="H195" s="360"/>
      <c r="I195" s="6">
        <f t="shared" si="7"/>
        <v>1.3512253923000002E8</v>
      </c>
    </row>
    <row r="196" spans="8:8">
      <c r="A196" s="3" t="s">
        <v>211</v>
      </c>
      <c r="B196" s="4" t="s">
        <v>196</v>
      </c>
      <c r="C196" s="371">
        <v>1.0</v>
      </c>
      <c r="D196" s="369">
        <v>1.2945400923000002E8</v>
      </c>
      <c r="E196" s="372">
        <v>2014478.0</v>
      </c>
      <c r="F196" s="372">
        <v>3654051.0</v>
      </c>
      <c r="G196" s="360"/>
      <c r="H196" s="360"/>
      <c r="I196" s="6">
        <f t="shared" si="7"/>
        <v>1.3512253923000002E8</v>
      </c>
    </row>
    <row r="197" spans="8:8">
      <c r="A197" s="3" t="s">
        <v>212</v>
      </c>
      <c r="B197" s="4" t="s">
        <v>196</v>
      </c>
      <c r="C197" s="371">
        <v>1.0</v>
      </c>
      <c r="D197" s="369">
        <v>1.2945400923000002E8</v>
      </c>
      <c r="E197" s="372">
        <v>2014478.0</v>
      </c>
      <c r="F197" s="372">
        <v>3654051.0</v>
      </c>
      <c r="G197" s="360"/>
      <c r="H197" s="360"/>
      <c r="I197" s="6">
        <f t="shared" si="7"/>
        <v>1.3512253923000002E8</v>
      </c>
    </row>
    <row r="198" spans="8:8">
      <c r="A198" s="3" t="s">
        <v>214</v>
      </c>
      <c r="B198" s="4" t="s">
        <v>196</v>
      </c>
      <c r="C198" s="371">
        <v>1.0</v>
      </c>
      <c r="D198" s="369">
        <v>1.2945400923000002E8</v>
      </c>
      <c r="E198" s="372">
        <v>2014478.0</v>
      </c>
      <c r="F198" s="372">
        <v>3654051.0</v>
      </c>
      <c r="G198" s="360"/>
      <c r="H198" s="360"/>
      <c r="I198" s="6">
        <f t="shared" si="7"/>
        <v>1.3512253923000002E8</v>
      </c>
    </row>
    <row r="199" spans="8:8">
      <c r="A199" s="3" t="s">
        <v>215</v>
      </c>
      <c r="B199" s="4" t="s">
        <v>196</v>
      </c>
      <c r="C199" s="371">
        <v>1.0</v>
      </c>
      <c r="D199" s="369">
        <v>1.2945400923000002E8</v>
      </c>
      <c r="E199" s="372">
        <v>2014478.0</v>
      </c>
      <c r="F199" s="372">
        <v>3654051.0</v>
      </c>
      <c r="G199" s="360"/>
      <c r="H199" s="360"/>
      <c r="I199" s="6">
        <f t="shared" si="7"/>
        <v>1.3512253923000002E8</v>
      </c>
    </row>
    <row r="200" spans="8:8">
      <c r="A200" s="3" t="s">
        <v>216</v>
      </c>
      <c r="B200" s="4" t="s">
        <v>196</v>
      </c>
      <c r="C200" s="371">
        <v>1.0</v>
      </c>
      <c r="D200" s="369">
        <v>1.2945400923000002E8</v>
      </c>
      <c r="E200" s="372">
        <v>2014478.0</v>
      </c>
      <c r="F200" s="372">
        <v>3654051.0</v>
      </c>
      <c r="G200" s="360"/>
      <c r="H200" s="360"/>
      <c r="I200" s="6">
        <f t="shared" si="7"/>
        <v>1.3512253923000002E8</v>
      </c>
    </row>
    <row r="201" spans="8:8">
      <c r="A201" s="3" t="s">
        <v>217</v>
      </c>
      <c r="B201" s="4" t="s">
        <v>196</v>
      </c>
      <c r="C201" s="371">
        <v>1.0</v>
      </c>
      <c r="D201" s="369">
        <v>1.2945400923000002E8</v>
      </c>
      <c r="E201" s="372">
        <v>2014478.0</v>
      </c>
      <c r="F201" s="372">
        <v>3654051.0</v>
      </c>
      <c r="G201" s="360"/>
      <c r="H201" s="360"/>
      <c r="I201" s="6">
        <f t="shared" si="7"/>
        <v>1.3512253923000002E8</v>
      </c>
    </row>
    <row r="202" spans="8:8">
      <c r="A202" s="3" t="s">
        <v>218</v>
      </c>
      <c r="B202" s="4" t="s">
        <v>196</v>
      </c>
      <c r="C202" s="371">
        <v>1.0</v>
      </c>
      <c r="D202" s="369">
        <v>1.2945400923000002E8</v>
      </c>
      <c r="E202" s="372">
        <v>2014478.0</v>
      </c>
      <c r="F202" s="372">
        <v>3654051.0</v>
      </c>
      <c r="G202" s="360"/>
      <c r="H202" s="360"/>
      <c r="I202" s="6">
        <f t="shared" si="7"/>
        <v>1.3512253923000002E8</v>
      </c>
    </row>
    <row r="203" spans="8:8">
      <c r="A203" s="3" t="s">
        <v>219</v>
      </c>
      <c r="B203" s="4" t="s">
        <v>196</v>
      </c>
      <c r="C203" s="371">
        <v>1.0</v>
      </c>
      <c r="D203" s="369">
        <v>1.2945400923000002E8</v>
      </c>
      <c r="E203" s="372">
        <v>2014478.0</v>
      </c>
      <c r="F203" s="372">
        <v>3654051.0</v>
      </c>
      <c r="G203" s="360"/>
      <c r="H203" s="360"/>
      <c r="I203" s="6">
        <f t="shared" si="7"/>
        <v>1.3512253923000002E8</v>
      </c>
    </row>
    <row r="204" spans="8:8">
      <c r="A204" s="3" t="s">
        <v>220</v>
      </c>
      <c r="B204" s="4" t="s">
        <v>196</v>
      </c>
      <c r="C204" s="371">
        <v>1.0</v>
      </c>
      <c r="D204" s="369">
        <v>1.2945400923000002E8</v>
      </c>
      <c r="E204" s="372">
        <v>2014478.0</v>
      </c>
      <c r="F204" s="372">
        <v>3654051.0</v>
      </c>
      <c r="G204" s="360"/>
      <c r="H204" s="360"/>
      <c r="I204" s="6">
        <f t="shared" si="7"/>
        <v>1.3512253923000002E8</v>
      </c>
    </row>
    <row r="205" spans="8:8">
      <c r="A205" s="15" t="s">
        <v>221</v>
      </c>
      <c r="B205" s="4" t="s">
        <v>196</v>
      </c>
      <c r="C205" s="371">
        <v>1.0</v>
      </c>
      <c r="D205" s="369">
        <v>1.2945400923000002E8</v>
      </c>
      <c r="E205" s="372">
        <v>2014478.0</v>
      </c>
      <c r="F205" s="372">
        <v>3654051.0</v>
      </c>
      <c r="G205" s="360"/>
      <c r="H205" s="360"/>
      <c r="I205" s="6">
        <f t="shared" si="7"/>
        <v>1.3512253923000002E8</v>
      </c>
    </row>
    <row r="206" spans="8:8">
      <c r="A206" s="3" t="s">
        <v>222</v>
      </c>
      <c r="B206" s="4" t="s">
        <v>196</v>
      </c>
      <c r="C206" s="371">
        <v>1.0</v>
      </c>
      <c r="D206" s="369">
        <v>2.5890801846000004E8</v>
      </c>
      <c r="E206" s="372">
        <v>2014478.0</v>
      </c>
      <c r="F206" s="372">
        <v>3654051.0</v>
      </c>
      <c r="G206" s="360"/>
      <c r="H206" s="360"/>
      <c r="I206" s="6">
        <f t="shared" si="7"/>
        <v>2.6457654846000004E8</v>
      </c>
    </row>
    <row r="207" spans="8:8">
      <c r="A207" s="3" t="s">
        <v>223</v>
      </c>
      <c r="B207" s="4" t="s">
        <v>196</v>
      </c>
      <c r="C207" s="371">
        <v>1.0</v>
      </c>
      <c r="D207" s="369">
        <v>1.2945400923000002E8</v>
      </c>
      <c r="E207" s="372">
        <v>2014478.0</v>
      </c>
      <c r="F207" s="372">
        <v>3654051.0</v>
      </c>
      <c r="G207" s="360"/>
      <c r="H207" s="360"/>
      <c r="I207" s="6">
        <f t="shared" si="7"/>
        <v>1.3512253923000002E8</v>
      </c>
    </row>
    <row r="208" spans="8:8">
      <c r="A208" s="3" t="s">
        <v>224</v>
      </c>
      <c r="B208" s="4" t="s">
        <v>196</v>
      </c>
      <c r="C208" s="371">
        <v>1.0</v>
      </c>
      <c r="D208" s="369">
        <v>1.2945400923000002E8</v>
      </c>
      <c r="E208" s="372">
        <v>2014478.0</v>
      </c>
      <c r="F208" s="372">
        <v>3654051.0</v>
      </c>
      <c r="G208" s="360"/>
      <c r="H208" s="360"/>
      <c r="I208" s="6">
        <f t="shared" si="7"/>
        <v>1.3512253923000002E8</v>
      </c>
    </row>
    <row r="209" spans="8:8">
      <c r="A209" s="3" t="s">
        <v>225</v>
      </c>
      <c r="B209" s="4" t="s">
        <v>196</v>
      </c>
      <c r="C209" s="371">
        <v>1.0</v>
      </c>
      <c r="D209" s="369">
        <v>1.2945400923000002E8</v>
      </c>
      <c r="E209" s="372">
        <v>2014478.0</v>
      </c>
      <c r="F209" s="372">
        <v>3654051.0</v>
      </c>
      <c r="G209" s="360"/>
      <c r="H209" s="360"/>
      <c r="I209" s="6">
        <f t="shared" si="7"/>
        <v>1.3512253923000002E8</v>
      </c>
    </row>
    <row r="210" spans="8:8">
      <c r="A210" s="3" t="s">
        <v>226</v>
      </c>
      <c r="B210" s="4" t="s">
        <v>196</v>
      </c>
      <c r="C210" s="371">
        <v>1.0</v>
      </c>
      <c r="D210" s="369">
        <v>1.7013619623000002E8</v>
      </c>
      <c r="E210" s="372">
        <v>2014478.0</v>
      </c>
      <c r="F210" s="372">
        <v>3654051.0</v>
      </c>
      <c r="G210" s="360"/>
      <c r="H210" s="360"/>
      <c r="I210" s="6">
        <f t="shared" si="7"/>
        <v>1.7580472623000002E8</v>
      </c>
    </row>
    <row r="211" spans="8:8">
      <c r="A211" s="3" t="s">
        <v>228</v>
      </c>
      <c r="B211" s="4" t="s">
        <v>196</v>
      </c>
      <c r="C211" s="371">
        <v>1.0</v>
      </c>
      <c r="D211" s="369">
        <v>1.2945400923000002E8</v>
      </c>
      <c r="E211" s="372">
        <v>2014478.0</v>
      </c>
      <c r="F211" s="372">
        <v>3654051.0</v>
      </c>
      <c r="G211" s="360"/>
      <c r="H211" s="360"/>
      <c r="I211" s="6">
        <f t="shared" si="7"/>
        <v>1.3512253923000002E8</v>
      </c>
    </row>
    <row r="212" spans="8:8">
      <c r="A212" s="3" t="s">
        <v>229</v>
      </c>
      <c r="B212" s="4" t="s">
        <v>196</v>
      </c>
      <c r="C212" s="371">
        <v>1.0</v>
      </c>
      <c r="D212" s="369">
        <v>1.2945400923000002E8</v>
      </c>
      <c r="E212" s="372">
        <v>2014478.0</v>
      </c>
      <c r="F212" s="372">
        <v>3654051.0</v>
      </c>
      <c r="G212" s="360"/>
      <c r="H212" s="360"/>
      <c r="I212" s="6">
        <f t="shared" si="7"/>
        <v>1.3512253923000002E8</v>
      </c>
    </row>
    <row r="213" spans="8:8">
      <c r="A213" s="3" t="s">
        <v>230</v>
      </c>
      <c r="B213" s="4" t="s">
        <v>196</v>
      </c>
      <c r="C213" s="371">
        <v>1.0</v>
      </c>
      <c r="D213" s="369">
        <v>1.2945400923000002E8</v>
      </c>
      <c r="E213" s="372">
        <v>2014478.0</v>
      </c>
      <c r="F213" s="372">
        <v>3654051.0</v>
      </c>
      <c r="G213" s="360"/>
      <c r="H213" s="360"/>
      <c r="I213" s="6">
        <f t="shared" si="7"/>
        <v>1.3512253923000002E8</v>
      </c>
    </row>
    <row r="214" spans="8:8">
      <c r="A214" s="3" t="s">
        <v>231</v>
      </c>
      <c r="B214" s="4" t="s">
        <v>196</v>
      </c>
      <c r="C214" s="371">
        <v>1.0</v>
      </c>
      <c r="D214" s="369">
        <v>1.2945400923000002E8</v>
      </c>
      <c r="E214" s="372">
        <v>2014478.0</v>
      </c>
      <c r="F214" s="372">
        <v>3654051.0</v>
      </c>
      <c r="G214" s="360"/>
      <c r="H214" s="360"/>
      <c r="I214" s="6">
        <f t="shared" si="7"/>
        <v>1.3512253923000002E8</v>
      </c>
    </row>
    <row r="215" spans="8:8">
      <c r="A215" s="3" t="s">
        <v>232</v>
      </c>
      <c r="B215" s="4" t="s">
        <v>196</v>
      </c>
      <c r="C215" s="371">
        <v>1.0</v>
      </c>
      <c r="D215" s="369">
        <v>1.2945400923000002E8</v>
      </c>
      <c r="E215" s="372">
        <v>2014478.0</v>
      </c>
      <c r="F215" s="372">
        <v>3654051.0</v>
      </c>
      <c r="G215" s="360"/>
      <c r="H215" s="360"/>
      <c r="I215" s="6">
        <f t="shared" si="7"/>
        <v>1.3512253923000002E8</v>
      </c>
    </row>
    <row r="216" spans="8:8">
      <c r="A216" s="3" t="s">
        <v>233</v>
      </c>
      <c r="B216" s="4" t="s">
        <v>196</v>
      </c>
      <c r="C216" s="371">
        <v>1.0</v>
      </c>
      <c r="D216" s="369">
        <v>1.2945400923000002E8</v>
      </c>
      <c r="E216" s="372">
        <v>2014478.0</v>
      </c>
      <c r="F216" s="372">
        <v>3654051.0</v>
      </c>
      <c r="G216" s="360"/>
      <c r="H216" s="360"/>
      <c r="I216" s="6">
        <f t="shared" si="7"/>
        <v>1.3512253923000002E8</v>
      </c>
    </row>
    <row r="217" spans="8:8">
      <c r="A217" s="3" t="s">
        <v>234</v>
      </c>
      <c r="B217" s="4" t="s">
        <v>196</v>
      </c>
      <c r="C217" s="371">
        <v>1.0</v>
      </c>
      <c r="D217" s="369">
        <v>1.2945400923000002E8</v>
      </c>
      <c r="E217" s="372">
        <v>2014478.0</v>
      </c>
      <c r="F217" s="372">
        <v>3654051.0</v>
      </c>
      <c r="G217" s="360"/>
      <c r="H217" s="360"/>
      <c r="I217" s="6">
        <f t="shared" si="7"/>
        <v>1.3512253923000002E8</v>
      </c>
    </row>
    <row r="218" spans="8:8">
      <c r="A218" s="3" t="s">
        <v>235</v>
      </c>
      <c r="B218" s="4" t="s">
        <v>196</v>
      </c>
      <c r="C218" s="371">
        <v>1.0</v>
      </c>
      <c r="D218" s="369">
        <v>1.2945400923000002E8</v>
      </c>
      <c r="E218" s="372">
        <v>2014478.0</v>
      </c>
      <c r="F218" s="372">
        <v>3654051.0</v>
      </c>
      <c r="G218" s="360"/>
      <c r="H218" s="360"/>
      <c r="I218" s="6">
        <f t="shared" si="7"/>
        <v>1.3512253923000002E8</v>
      </c>
    </row>
    <row r="219" spans="8:8">
      <c r="A219" s="3" t="s">
        <v>236</v>
      </c>
      <c r="B219" s="4" t="s">
        <v>196</v>
      </c>
      <c r="C219" s="371">
        <v>1.0</v>
      </c>
      <c r="D219" s="369">
        <v>1.2945400923000002E8</v>
      </c>
      <c r="E219" s="372">
        <v>2014478.0</v>
      </c>
      <c r="F219" s="372">
        <v>3654051.0</v>
      </c>
      <c r="G219" s="360"/>
      <c r="H219" s="360"/>
      <c r="I219" s="6">
        <f t="shared" si="7"/>
        <v>1.3512253923000002E8</v>
      </c>
    </row>
    <row r="220" spans="8:8">
      <c r="A220" s="3" t="s">
        <v>237</v>
      </c>
      <c r="B220" s="4" t="s">
        <v>196</v>
      </c>
      <c r="C220" s="371">
        <v>1.0</v>
      </c>
      <c r="D220" s="369">
        <v>1.2945400923000002E8</v>
      </c>
      <c r="E220" s="372">
        <v>2014478.0</v>
      </c>
      <c r="F220" s="372">
        <v>3654051.0</v>
      </c>
      <c r="G220" s="360"/>
      <c r="H220" s="360"/>
      <c r="I220" s="6">
        <f t="shared" si="7"/>
        <v>1.3512253923000002E8</v>
      </c>
    </row>
    <row r="221" spans="8:8">
      <c r="A221" s="3" t="s">
        <v>238</v>
      </c>
      <c r="B221" s="4" t="s">
        <v>196</v>
      </c>
      <c r="C221" s="371">
        <v>1.0</v>
      </c>
      <c r="D221" s="369">
        <v>1.2945400923000002E8</v>
      </c>
      <c r="E221" s="372">
        <v>2014478.0</v>
      </c>
      <c r="F221" s="372">
        <v>3654051.0</v>
      </c>
      <c r="G221" s="360"/>
      <c r="H221" s="360"/>
      <c r="I221" s="6">
        <f t="shared" si="7"/>
        <v>1.3512253923000002E8</v>
      </c>
    </row>
    <row r="222" spans="8:8">
      <c r="A222" s="3" t="s">
        <v>239</v>
      </c>
      <c r="B222" s="4" t="s">
        <v>196</v>
      </c>
      <c r="C222" s="371">
        <v>1.0</v>
      </c>
      <c r="D222" s="369">
        <v>1.2945400923000002E8</v>
      </c>
      <c r="E222" s="372">
        <v>2014478.0</v>
      </c>
      <c r="F222" s="372">
        <v>3654051.0</v>
      </c>
      <c r="G222" s="360"/>
      <c r="H222" s="360"/>
      <c r="I222" s="6">
        <f t="shared" si="7"/>
        <v>1.3512253923000002E8</v>
      </c>
    </row>
    <row r="223" spans="8:8">
      <c r="A223" s="3" t="s">
        <v>240</v>
      </c>
      <c r="B223" s="4" t="s">
        <v>196</v>
      </c>
      <c r="C223" s="371">
        <v>1.0</v>
      </c>
      <c r="D223" s="369">
        <v>1.2945400923000002E8</v>
      </c>
      <c r="E223" s="372">
        <v>2014478.0</v>
      </c>
      <c r="F223" s="372">
        <v>3654051.0</v>
      </c>
      <c r="G223" s="360"/>
      <c r="H223" s="360"/>
      <c r="I223" s="6">
        <f t="shared" si="7"/>
        <v>1.3512253923000002E8</v>
      </c>
    </row>
    <row r="224" spans="8:8">
      <c r="A224" s="3" t="s">
        <v>241</v>
      </c>
      <c r="B224" s="16" t="s">
        <v>196</v>
      </c>
      <c r="C224" s="371">
        <v>1.0</v>
      </c>
      <c r="D224" s="369">
        <v>1.2945400923000002E8</v>
      </c>
      <c r="E224" s="372">
        <v>2014478.0</v>
      </c>
      <c r="F224" s="372">
        <v>3654051.0</v>
      </c>
      <c r="G224" s="360"/>
      <c r="H224" s="360"/>
      <c r="I224" s="6">
        <f t="shared" si="7"/>
        <v>1.3512253923000002E8</v>
      </c>
    </row>
    <row r="225" spans="8:8">
      <c r="A225" s="3" t="s">
        <v>242</v>
      </c>
      <c r="B225" s="4" t="s">
        <v>196</v>
      </c>
      <c r="C225" s="371">
        <v>1.0</v>
      </c>
      <c r="D225" s="369">
        <v>1.2945400923000002E8</v>
      </c>
      <c r="E225" s="372">
        <v>2014478.0</v>
      </c>
      <c r="F225" s="372">
        <v>3654051.0</v>
      </c>
      <c r="G225" s="360"/>
      <c r="H225" s="360"/>
      <c r="I225" s="6">
        <f t="shared" si="7"/>
        <v>1.3512253923000002E8</v>
      </c>
    </row>
    <row r="226" spans="8:8">
      <c r="A226" s="3" t="s">
        <v>243</v>
      </c>
      <c r="B226" s="4" t="s">
        <v>196</v>
      </c>
      <c r="C226" s="371">
        <v>1.0</v>
      </c>
      <c r="D226" s="369">
        <v>1.2945400923000002E8</v>
      </c>
      <c r="E226" s="372">
        <v>2014478.0</v>
      </c>
      <c r="F226" s="372">
        <v>3654051.0</v>
      </c>
      <c r="G226" s="360"/>
      <c r="H226" s="360"/>
      <c r="I226" s="6">
        <f t="shared" si="7"/>
        <v>1.3512253923000002E8</v>
      </c>
    </row>
    <row r="227" spans="8:8" s="49" ht="15.0" customFormat="1">
      <c r="A227" s="3" t="s">
        <v>244</v>
      </c>
      <c r="B227" s="4" t="s">
        <v>196</v>
      </c>
      <c r="C227" s="371">
        <v>1.0</v>
      </c>
      <c r="D227" s="369">
        <v>1.2945400923000002E8</v>
      </c>
      <c r="E227" s="372">
        <v>2014478.0</v>
      </c>
      <c r="F227" s="372">
        <v>3654051.0</v>
      </c>
      <c r="G227" s="360"/>
      <c r="H227" s="360"/>
      <c r="I227" s="17">
        <f t="shared" si="7"/>
        <v>1.3512253923000002E8</v>
      </c>
    </row>
    <row r="228" spans="8:8">
      <c r="A228" s="3" t="s">
        <v>246</v>
      </c>
      <c r="B228" s="4" t="s">
        <v>196</v>
      </c>
      <c r="C228" s="371">
        <v>1.0</v>
      </c>
      <c r="D228" s="369">
        <v>1.2945400923000002E8</v>
      </c>
      <c r="E228" s="372">
        <v>2014478.0</v>
      </c>
      <c r="F228" s="372">
        <v>3654051.0</v>
      </c>
      <c r="G228" s="360"/>
      <c r="H228" s="360"/>
      <c r="I228" s="6">
        <f t="shared" si="7"/>
        <v>1.3512253923000002E8</v>
      </c>
    </row>
    <row r="229" spans="8:8">
      <c r="A229" s="3" t="s">
        <v>247</v>
      </c>
      <c r="B229" s="4" t="s">
        <v>196</v>
      </c>
      <c r="C229" s="371">
        <v>1.0</v>
      </c>
      <c r="D229" s="369">
        <v>1.2945400923000002E8</v>
      </c>
      <c r="E229" s="372">
        <v>2014478.0</v>
      </c>
      <c r="F229" s="372">
        <v>3654051.0</v>
      </c>
      <c r="G229" s="360"/>
      <c r="H229" s="360"/>
      <c r="I229" s="6">
        <f t="shared" si="7"/>
        <v>1.3512253923000002E8</v>
      </c>
    </row>
    <row r="230" spans="8:8">
      <c r="A230" s="3" t="s">
        <v>248</v>
      </c>
      <c r="B230" s="4" t="s">
        <v>196</v>
      </c>
      <c r="C230" s="371">
        <v>1.0</v>
      </c>
      <c r="D230" s="369">
        <v>1.2945400923000002E8</v>
      </c>
      <c r="E230" s="372">
        <v>2014478.0</v>
      </c>
      <c r="F230" s="372">
        <v>3654051.0</v>
      </c>
      <c r="G230" s="360"/>
      <c r="H230" s="360"/>
      <c r="I230" s="6">
        <f t="shared" si="7"/>
        <v>1.3512253923000002E8</v>
      </c>
    </row>
    <row r="231" spans="8:8">
      <c r="A231" s="3" t="s">
        <v>249</v>
      </c>
      <c r="B231" s="4" t="s">
        <v>196</v>
      </c>
      <c r="C231" s="371">
        <v>1.0</v>
      </c>
      <c r="D231" s="369">
        <v>1.2945400923000002E8</v>
      </c>
      <c r="E231" s="372">
        <v>2014478.0</v>
      </c>
      <c r="F231" s="372">
        <v>3654051.0</v>
      </c>
      <c r="G231" s="360"/>
      <c r="H231" s="360"/>
      <c r="I231" s="6">
        <f t="shared" si="7"/>
        <v>1.3512253923000002E8</v>
      </c>
    </row>
    <row r="232" spans="8:8">
      <c r="A232" s="3" t="s">
        <v>250</v>
      </c>
      <c r="B232" s="4" t="s">
        <v>196</v>
      </c>
      <c r="C232" s="371">
        <v>1.0</v>
      </c>
      <c r="D232" s="369">
        <v>1.2945400923000002E8</v>
      </c>
      <c r="E232" s="372">
        <v>2014478.0</v>
      </c>
      <c r="F232" s="372">
        <v>3654051.0</v>
      </c>
      <c r="G232" s="360"/>
      <c r="H232" s="360"/>
      <c r="I232" s="6">
        <f t="shared" si="7"/>
        <v>1.3512253923000002E8</v>
      </c>
    </row>
    <row r="233" spans="8:8">
      <c r="A233" s="3" t="s">
        <v>251</v>
      </c>
      <c r="B233" s="4" t="s">
        <v>196</v>
      </c>
      <c r="C233" s="371">
        <v>1.0</v>
      </c>
      <c r="D233" s="369">
        <v>1.2945400923000002E8</v>
      </c>
      <c r="E233" s="372">
        <v>2014478.0</v>
      </c>
      <c r="F233" s="372">
        <v>3654051.0</v>
      </c>
      <c r="G233" s="360"/>
      <c r="H233" s="360"/>
      <c r="I233" s="6">
        <f t="shared" si="7"/>
        <v>1.3512253923000002E8</v>
      </c>
    </row>
    <row r="234" spans="8:8">
      <c r="A234" s="3" t="s">
        <v>252</v>
      </c>
      <c r="B234" s="4" t="s">
        <v>196</v>
      </c>
      <c r="C234" s="371">
        <v>1.0</v>
      </c>
      <c r="D234" s="369">
        <v>1.2945400923000002E8</v>
      </c>
      <c r="E234" s="372">
        <v>2014478.0</v>
      </c>
      <c r="F234" s="372">
        <v>3654051.0</v>
      </c>
      <c r="G234" s="360"/>
      <c r="H234" s="360"/>
      <c r="I234" s="6">
        <f t="shared" si="7"/>
        <v>1.3512253923000002E8</v>
      </c>
    </row>
    <row r="235" spans="8:8">
      <c r="A235" s="3" t="s">
        <v>253</v>
      </c>
      <c r="B235" s="4" t="s">
        <v>196</v>
      </c>
      <c r="C235" s="371">
        <v>1.0</v>
      </c>
      <c r="D235" s="369">
        <v>1.2945400923000002E8</v>
      </c>
      <c r="E235" s="372">
        <v>2014478.0</v>
      </c>
      <c r="F235" s="372">
        <v>3654051.0</v>
      </c>
      <c r="G235" s="360"/>
      <c r="H235" s="360"/>
      <c r="I235" s="6">
        <f t="shared" si="7"/>
        <v>1.3512253923000002E8</v>
      </c>
    </row>
    <row r="236" spans="8:8">
      <c r="A236" s="3" t="s">
        <v>254</v>
      </c>
      <c r="B236" s="4" t="s">
        <v>196</v>
      </c>
      <c r="C236" s="371">
        <v>1.0</v>
      </c>
      <c r="D236" s="369">
        <v>1.2945400923000002E8</v>
      </c>
      <c r="E236" s="372">
        <v>2014478.0</v>
      </c>
      <c r="F236" s="372">
        <v>3654051.0</v>
      </c>
      <c r="G236" s="360"/>
      <c r="H236" s="360"/>
      <c r="I236" s="6">
        <f t="shared" si="7"/>
        <v>1.3512253923000002E8</v>
      </c>
    </row>
    <row r="237" spans="8:8">
      <c r="A237" s="3" t="s">
        <v>255</v>
      </c>
      <c r="B237" s="4" t="s">
        <v>196</v>
      </c>
      <c r="C237" s="371">
        <v>1.0</v>
      </c>
      <c r="D237" s="369">
        <v>1.2945400923000002E8</v>
      </c>
      <c r="E237" s="372">
        <v>2014478.0</v>
      </c>
      <c r="F237" s="372">
        <v>3654051.0</v>
      </c>
      <c r="G237" s="360"/>
      <c r="H237" s="360"/>
      <c r="I237" s="6">
        <f t="shared" si="7"/>
        <v>1.3512253923000002E8</v>
      </c>
    </row>
    <row r="238" spans="8:8">
      <c r="A238" s="3" t="s">
        <v>256</v>
      </c>
      <c r="B238" s="4" t="s">
        <v>196</v>
      </c>
      <c r="C238" s="371">
        <v>1.0</v>
      </c>
      <c r="D238" s="369">
        <v>1.2945400923000002E8</v>
      </c>
      <c r="E238" s="372">
        <v>2014478.0</v>
      </c>
      <c r="F238" s="372">
        <v>3654051.0</v>
      </c>
      <c r="G238" s="360"/>
      <c r="H238" s="360"/>
      <c r="I238" s="6">
        <f t="shared" si="7"/>
        <v>1.3512253923000002E8</v>
      </c>
    </row>
    <row r="239" spans="8:8">
      <c r="A239" s="3" t="s">
        <v>257</v>
      </c>
      <c r="B239" s="4" t="s">
        <v>196</v>
      </c>
      <c r="C239" s="371">
        <v>1.0</v>
      </c>
      <c r="D239" s="369">
        <v>1.2945400923000002E8</v>
      </c>
      <c r="E239" s="372">
        <v>2014478.0</v>
      </c>
      <c r="F239" s="372">
        <v>3654051.0</v>
      </c>
      <c r="G239" s="360"/>
      <c r="H239" s="360"/>
      <c r="I239" s="6">
        <f t="shared" si="7"/>
        <v>1.3512253923000002E8</v>
      </c>
    </row>
    <row r="240" spans="8:8">
      <c r="A240" s="3" t="s">
        <v>258</v>
      </c>
      <c r="B240" s="4" t="s">
        <v>196</v>
      </c>
      <c r="C240" s="371">
        <v>1.0</v>
      </c>
      <c r="D240" s="369">
        <v>1.2945400923000002E8</v>
      </c>
      <c r="E240" s="372">
        <v>2014478.0</v>
      </c>
      <c r="F240" s="372">
        <v>3654051.0</v>
      </c>
      <c r="G240" s="360"/>
      <c r="H240" s="360"/>
      <c r="I240" s="6">
        <f t="shared" si="7"/>
        <v>1.3512253923000002E8</v>
      </c>
    </row>
    <row r="241" spans="8:8">
      <c r="A241" s="3" t="s">
        <v>259</v>
      </c>
      <c r="B241" s="4" t="s">
        <v>196</v>
      </c>
      <c r="C241" s="371">
        <v>1.0</v>
      </c>
      <c r="D241" s="369">
        <v>1.2945400923000002E8</v>
      </c>
      <c r="E241" s="372">
        <v>2014478.0</v>
      </c>
      <c r="F241" s="372">
        <v>3654051.0</v>
      </c>
      <c r="G241" s="360"/>
      <c r="H241" s="360"/>
      <c r="I241" s="6">
        <f>SUM(C241:H241)</f>
        <v>1.3512253923000002E8</v>
      </c>
    </row>
    <row r="242" spans="8:8">
      <c r="A242" s="3" t="s">
        <v>260</v>
      </c>
      <c r="B242" s="4" t="s">
        <v>196</v>
      </c>
      <c r="C242" s="371">
        <v>5.373364542E7</v>
      </c>
      <c r="D242" s="369">
        <v>1.5548590511999997E8</v>
      </c>
      <c r="E242" s="372">
        <v>2014478.0</v>
      </c>
      <c r="F242" s="372">
        <v>3654051.0</v>
      </c>
      <c r="G242" s="360"/>
      <c r="H242" s="360"/>
      <c r="I242" s="6">
        <f>SUM(C242:H242)</f>
        <v>2.1488807953999996E8</v>
      </c>
    </row>
    <row r="243" spans="8:8">
      <c r="A243" s="3" t="s">
        <v>262</v>
      </c>
      <c r="B243" s="4" t="s">
        <v>196</v>
      </c>
      <c r="C243" s="371">
        <v>1.0</v>
      </c>
      <c r="D243" s="369">
        <v>1.5534481053000003E8</v>
      </c>
      <c r="E243" s="372">
        <v>2014478.0</v>
      </c>
      <c r="F243" s="372">
        <v>3654051.0</v>
      </c>
      <c r="G243" s="360"/>
      <c r="H243" s="360"/>
      <c r="I243" s="6">
        <f t="shared" si="8" ref="I243:I255">SUM(C243:F243)</f>
        <v>1.6101334053000003E8</v>
      </c>
    </row>
    <row r="244" spans="8:8">
      <c r="A244" s="3" t="s">
        <v>265</v>
      </c>
      <c r="B244" s="4" t="s">
        <v>196</v>
      </c>
      <c r="C244" s="371">
        <v>1.0</v>
      </c>
      <c r="D244" s="369">
        <v>1.2945400923000002E8</v>
      </c>
      <c r="E244" s="372">
        <v>2014478.0</v>
      </c>
      <c r="F244" s="372">
        <v>3654051.0</v>
      </c>
      <c r="G244" s="360"/>
      <c r="H244" s="360"/>
      <c r="I244" s="6">
        <f t="shared" si="8"/>
        <v>1.3512253923000002E8</v>
      </c>
    </row>
    <row r="245" spans="8:8">
      <c r="A245" s="3" t="s">
        <v>266</v>
      </c>
      <c r="B245" s="4" t="s">
        <v>196</v>
      </c>
      <c r="C245" s="371">
        <v>1.0</v>
      </c>
      <c r="D245" s="369">
        <v>1.2945400923000002E8</v>
      </c>
      <c r="E245" s="372">
        <v>2014478.0</v>
      </c>
      <c r="F245" s="372">
        <v>3654051.0</v>
      </c>
      <c r="G245" s="360"/>
      <c r="H245" s="360"/>
      <c r="I245" s="6">
        <f t="shared" si="8"/>
        <v>1.3512253923000002E8</v>
      </c>
    </row>
    <row r="246" spans="8:8">
      <c r="A246" s="3" t="s">
        <v>267</v>
      </c>
      <c r="B246" s="4" t="s">
        <v>196</v>
      </c>
      <c r="C246" s="371">
        <v>1.0</v>
      </c>
      <c r="D246" s="369">
        <v>1.2945400923000002E8</v>
      </c>
      <c r="E246" s="372">
        <v>2014478.0</v>
      </c>
      <c r="F246" s="372">
        <v>3654051.0</v>
      </c>
      <c r="G246" s="360"/>
      <c r="H246" s="360"/>
      <c r="I246" s="6">
        <f t="shared" si="8"/>
        <v>1.3512253923000002E8</v>
      </c>
    </row>
    <row r="247" spans="8:8">
      <c r="A247" s="3" t="s">
        <v>268</v>
      </c>
      <c r="B247" s="4" t="s">
        <v>196</v>
      </c>
      <c r="C247" s="371">
        <v>1.0</v>
      </c>
      <c r="D247" s="369">
        <v>1.2945400923000002E8</v>
      </c>
      <c r="E247" s="372">
        <v>2014478.0</v>
      </c>
      <c r="F247" s="372">
        <v>3654051.0</v>
      </c>
      <c r="G247" s="360"/>
      <c r="H247" s="360"/>
      <c r="I247" s="6">
        <f t="shared" si="8"/>
        <v>1.3512253923000002E8</v>
      </c>
    </row>
    <row r="248" spans="8:8">
      <c r="A248" s="3" t="s">
        <v>269</v>
      </c>
      <c r="B248" s="4" t="s">
        <v>196</v>
      </c>
      <c r="C248" s="371">
        <v>1.0</v>
      </c>
      <c r="D248" s="369">
        <v>1.2945400923000002E8</v>
      </c>
      <c r="E248" s="372">
        <v>2014478.0</v>
      </c>
      <c r="F248" s="372">
        <v>3654051.0</v>
      </c>
      <c r="G248" s="360"/>
      <c r="H248" s="360"/>
      <c r="I248" s="6">
        <f t="shared" si="8"/>
        <v>1.3512253923000002E8</v>
      </c>
    </row>
    <row r="249" spans="8:8">
      <c r="A249" s="3" t="s">
        <v>270</v>
      </c>
      <c r="B249" s="4" t="s">
        <v>196</v>
      </c>
      <c r="C249" s="371">
        <v>1.0</v>
      </c>
      <c r="D249" s="369">
        <v>1.2945400923000002E8</v>
      </c>
      <c r="E249" s="372">
        <v>2014478.0</v>
      </c>
      <c r="F249" s="372">
        <v>3654051.0</v>
      </c>
      <c r="G249" s="360"/>
      <c r="H249" s="360"/>
      <c r="I249" s="6">
        <f t="shared" si="8"/>
        <v>1.3512253923000002E8</v>
      </c>
    </row>
    <row r="250" spans="8:8">
      <c r="A250" s="3" t="s">
        <v>271</v>
      </c>
      <c r="B250" s="4" t="s">
        <v>196</v>
      </c>
      <c r="C250" s="371">
        <v>1.0</v>
      </c>
      <c r="D250" s="369">
        <v>1.2945400923000002E8</v>
      </c>
      <c r="E250" s="372">
        <v>2014478.0</v>
      </c>
      <c r="F250" s="372">
        <v>3654051.0</v>
      </c>
      <c r="G250" s="360"/>
      <c r="H250" s="360"/>
      <c r="I250" s="6">
        <f t="shared" si="8"/>
        <v>1.3512253923000002E8</v>
      </c>
    </row>
    <row r="251" spans="8:8">
      <c r="A251" s="3" t="s">
        <v>272</v>
      </c>
      <c r="B251" s="4" t="s">
        <v>196</v>
      </c>
      <c r="C251" s="371">
        <v>1.0</v>
      </c>
      <c r="D251" s="369">
        <v>1.2945400923000002E8</v>
      </c>
      <c r="E251" s="372">
        <v>2014478.0</v>
      </c>
      <c r="F251" s="372">
        <v>3654051.0</v>
      </c>
      <c r="G251" s="360"/>
      <c r="H251" s="360"/>
      <c r="I251" s="6">
        <f t="shared" si="8"/>
        <v>1.3512253923000002E8</v>
      </c>
    </row>
    <row r="252" spans="8:8">
      <c r="A252" s="3" t="s">
        <v>273</v>
      </c>
      <c r="B252" s="4" t="s">
        <v>196</v>
      </c>
      <c r="C252" s="371">
        <v>1.0</v>
      </c>
      <c r="D252" s="369">
        <v>1.2945400923000002E8</v>
      </c>
      <c r="E252" s="372">
        <v>2014478.0</v>
      </c>
      <c r="F252" s="372">
        <v>3654051.0</v>
      </c>
      <c r="G252" s="360"/>
      <c r="H252" s="360"/>
      <c r="I252" s="6">
        <f t="shared" si="8"/>
        <v>1.3512253923000002E8</v>
      </c>
    </row>
    <row r="253" spans="8:8">
      <c r="A253" s="3" t="s">
        <v>274</v>
      </c>
      <c r="B253" s="4" t="s">
        <v>196</v>
      </c>
      <c r="C253" s="371">
        <v>1.0</v>
      </c>
      <c r="D253" s="369">
        <v>1.2945400923000002E8</v>
      </c>
      <c r="E253" s="372">
        <v>2014478.0</v>
      </c>
      <c r="F253" s="372">
        <v>3654051.0</v>
      </c>
      <c r="G253" s="360"/>
      <c r="H253" s="360"/>
      <c r="I253" s="6">
        <f t="shared" si="8"/>
        <v>1.3512253923000002E8</v>
      </c>
    </row>
    <row r="254" spans="8:8">
      <c r="A254" s="3" t="s">
        <v>275</v>
      </c>
      <c r="B254" s="4" t="s">
        <v>196</v>
      </c>
      <c r="C254" s="371">
        <v>1.0</v>
      </c>
      <c r="D254" s="369">
        <v>1.2945400923000002E8</v>
      </c>
      <c r="E254" s="372">
        <v>2014478.0</v>
      </c>
      <c r="F254" s="372">
        <v>3654051.0</v>
      </c>
      <c r="G254" s="360"/>
      <c r="H254" s="360"/>
      <c r="I254" s="6">
        <f t="shared" si="8"/>
        <v>1.3512253923000002E8</v>
      </c>
    </row>
    <row r="255" spans="8:8">
      <c r="A255" s="3" t="s">
        <v>276</v>
      </c>
      <c r="B255" s="4" t="s">
        <v>196</v>
      </c>
      <c r="C255" s="371">
        <v>1.0</v>
      </c>
      <c r="D255" s="369">
        <v>1.2945400923000002E8</v>
      </c>
      <c r="E255" s="372">
        <v>2014478.0</v>
      </c>
      <c r="F255" s="372">
        <v>3654051.0</v>
      </c>
      <c r="G255" s="360"/>
      <c r="H255" s="360"/>
      <c r="I255" s="6">
        <f t="shared" si="8"/>
        <v>1.3512253923000002E8</v>
      </c>
    </row>
    <row r="256" spans="8:8">
      <c r="A256" s="334" t="s">
        <v>407</v>
      </c>
      <c r="B256" s="4" t="s">
        <v>196</v>
      </c>
      <c r="C256" s="371">
        <v>1.0</v>
      </c>
      <c r="D256" s="369">
        <v>2.5890801846000004E8</v>
      </c>
      <c r="E256" s="372">
        <v>2014478.0</v>
      </c>
      <c r="F256" s="372">
        <v>3654051.0</v>
      </c>
      <c r="G256" s="360"/>
      <c r="H256" s="360"/>
      <c r="I256" s="6">
        <f>SUM(C256:H256)</f>
        <v>2.6457654846000004E8</v>
      </c>
    </row>
    <row r="257" spans="8:8">
      <c r="A257" s="334" t="s">
        <v>408</v>
      </c>
      <c r="B257" s="4" t="s">
        <v>196</v>
      </c>
      <c r="C257" s="371">
        <v>1.0</v>
      </c>
      <c r="D257" s="369">
        <v>2.5890801846000004E8</v>
      </c>
      <c r="E257" s="372">
        <v>2014478.0</v>
      </c>
      <c r="F257" s="372">
        <v>3654051.0</v>
      </c>
      <c r="G257" s="360"/>
      <c r="H257" s="360"/>
      <c r="I257" s="6">
        <f>SUM(C257:H257)</f>
        <v>2.6457654846000004E8</v>
      </c>
    </row>
    <row r="258" spans="8:8">
      <c r="A258" s="15" t="s">
        <v>277</v>
      </c>
      <c r="B258" s="4" t="s">
        <v>196</v>
      </c>
      <c r="C258" s="371">
        <v>1.0</v>
      </c>
      <c r="D258" s="369">
        <v>1.2945400923000002E8</v>
      </c>
      <c r="E258" s="372">
        <v>2014478.0</v>
      </c>
      <c r="F258" s="372">
        <v>3654051.0</v>
      </c>
      <c r="G258" s="360"/>
      <c r="H258" s="360"/>
      <c r="I258" s="6">
        <f>SUM(C258:H258)</f>
        <v>1.3512253923000002E8</v>
      </c>
    </row>
    <row r="259" spans="8:8">
      <c r="A259" s="3" t="s">
        <v>280</v>
      </c>
      <c r="B259" s="4" t="s">
        <v>196</v>
      </c>
      <c r="C259" s="371">
        <v>5.373364269E7</v>
      </c>
      <c r="D259" s="369">
        <v>1.5548590511999997E8</v>
      </c>
      <c r="E259" s="372">
        <v>2014478.0</v>
      </c>
      <c r="F259" s="372">
        <v>3654051.0</v>
      </c>
      <c r="G259" s="360"/>
      <c r="H259" s="360"/>
      <c r="I259" s="6">
        <f>SUM(C259:H259)</f>
        <v>2.1488807680999997E8</v>
      </c>
    </row>
    <row r="260" spans="8:8">
      <c r="A260" s="207" t="s">
        <v>281</v>
      </c>
      <c r="B260" s="208" t="s">
        <v>282</v>
      </c>
      <c r="C260" s="378">
        <v>1.2E8</v>
      </c>
      <c r="D260" s="369"/>
      <c r="E260" s="372"/>
      <c r="F260" s="372"/>
      <c r="G260" s="360"/>
      <c r="H260" s="360"/>
      <c r="I260" s="210">
        <f t="shared" si="9" ref="I260:I270">SUM(C260:H260)</f>
        <v>1.2E8</v>
      </c>
    </row>
    <row r="261" spans="8:8">
      <c r="A261" s="207" t="s">
        <v>283</v>
      </c>
      <c r="B261" s="208" t="s">
        <v>282</v>
      </c>
      <c r="C261" s="378">
        <v>1.2E8</v>
      </c>
      <c r="D261" s="369"/>
      <c r="E261" s="372"/>
      <c r="F261" s="372"/>
      <c r="G261" s="360"/>
      <c r="H261" s="360"/>
      <c r="I261" s="210">
        <f t="shared" si="9"/>
        <v>1.2E8</v>
      </c>
    </row>
    <row r="262" spans="8:8">
      <c r="A262" s="207" t="s">
        <v>284</v>
      </c>
      <c r="B262" s="208" t="s">
        <v>285</v>
      </c>
      <c r="C262" s="372">
        <v>575791.0</v>
      </c>
      <c r="D262" s="369"/>
      <c r="E262" s="372"/>
      <c r="F262" s="372"/>
      <c r="G262" s="360"/>
      <c r="H262" s="360"/>
      <c r="I262" s="210">
        <f t="shared" si="9"/>
        <v>575791.0</v>
      </c>
    </row>
    <row r="263" spans="8:8">
      <c r="A263" s="207" t="s">
        <v>286</v>
      </c>
      <c r="B263" s="208" t="s">
        <v>285</v>
      </c>
      <c r="C263" s="372">
        <v>869447.0</v>
      </c>
      <c r="D263" s="369"/>
      <c r="E263" s="372"/>
      <c r="F263" s="372"/>
      <c r="G263" s="360"/>
      <c r="H263" s="360"/>
      <c r="I263" s="210">
        <f t="shared" si="9"/>
        <v>869447.0</v>
      </c>
    </row>
    <row r="264" spans="8:8">
      <c r="A264" s="15" t="s">
        <v>4</v>
      </c>
      <c r="B264" s="16" t="s">
        <v>285</v>
      </c>
      <c r="C264" s="372">
        <v>2014478.0</v>
      </c>
      <c r="D264" s="369"/>
      <c r="E264" s="372"/>
      <c r="F264" s="372"/>
      <c r="G264" s="360"/>
      <c r="H264" s="360"/>
      <c r="I264" s="210">
        <f t="shared" si="9"/>
        <v>2014478.0</v>
      </c>
    </row>
    <row r="265" spans="8:8">
      <c r="A265" s="15" t="s">
        <v>406</v>
      </c>
      <c r="B265" s="16" t="s">
        <v>285</v>
      </c>
      <c r="C265" s="372">
        <v>7889427.0</v>
      </c>
      <c r="D265" s="369"/>
      <c r="E265" s="372"/>
      <c r="F265" s="372"/>
      <c r="G265" s="360"/>
      <c r="H265" s="360"/>
      <c r="I265" s="210">
        <f t="shared" si="9"/>
        <v>7889427.0</v>
      </c>
    </row>
    <row r="266" spans="8:8">
      <c r="A266" s="207" t="s">
        <v>287</v>
      </c>
      <c r="B266" s="16" t="s">
        <v>285</v>
      </c>
      <c r="C266" s="372">
        <v>6043409.0</v>
      </c>
      <c r="D266" s="369"/>
      <c r="E266" s="372"/>
      <c r="F266" s="372"/>
      <c r="G266" s="360"/>
      <c r="H266" s="360"/>
      <c r="I266" s="210">
        <f t="shared" si="9"/>
        <v>6043409.0</v>
      </c>
    </row>
    <row r="267" spans="8:8">
      <c r="A267" s="15" t="s">
        <v>319</v>
      </c>
      <c r="B267" s="16" t="s">
        <v>285</v>
      </c>
      <c r="C267" s="372">
        <v>3654051.0</v>
      </c>
      <c r="D267" s="369"/>
      <c r="E267" s="372"/>
      <c r="F267" s="372"/>
      <c r="G267" s="360"/>
      <c r="H267" s="360"/>
      <c r="I267" s="210">
        <f t="shared" si="9"/>
        <v>3654051.0</v>
      </c>
    </row>
    <row r="268" spans="8:8">
      <c r="A268" s="15" t="s">
        <v>5</v>
      </c>
      <c r="B268" s="16" t="s">
        <v>285</v>
      </c>
      <c r="C268" s="372">
        <v>3654051.0</v>
      </c>
      <c r="D268" s="369"/>
      <c r="E268" s="372"/>
      <c r="F268" s="372"/>
      <c r="G268" s="360"/>
      <c r="H268" s="360"/>
      <c r="I268" s="210">
        <f t="shared" si="9"/>
        <v>3654051.0</v>
      </c>
    </row>
    <row r="269" spans="8:8">
      <c r="A269" s="15" t="s">
        <v>288</v>
      </c>
      <c r="B269" s="16" t="s">
        <v>285</v>
      </c>
      <c r="C269" s="372">
        <v>1.0088268E7</v>
      </c>
      <c r="D269" s="369"/>
      <c r="E269" s="372"/>
      <c r="F269" s="372"/>
      <c r="G269" s="360"/>
      <c r="H269" s="360"/>
      <c r="I269" s="210">
        <f t="shared" si="9"/>
        <v>1.0088268E7</v>
      </c>
    </row>
    <row r="270" spans="8:8">
      <c r="A270" s="207" t="s">
        <v>291</v>
      </c>
      <c r="B270" s="208" t="s">
        <v>290</v>
      </c>
      <c r="C270" s="372">
        <v>4.270024667999999E7</v>
      </c>
      <c r="D270" s="372">
        <v>4.270024667999999E7</v>
      </c>
      <c r="E270" s="372">
        <v>2014478.0</v>
      </c>
      <c r="F270" s="372">
        <v>3654051.0</v>
      </c>
      <c r="G270" s="360"/>
      <c r="H270" s="360"/>
      <c r="I270" s="210">
        <f t="shared" si="9"/>
        <v>9.106902235999998E7</v>
      </c>
    </row>
    <row r="271" spans="8:8">
      <c r="A271" s="39"/>
      <c r="C271" s="161"/>
      <c r="D271" s="39"/>
    </row>
    <row r="272" spans="8:8">
      <c r="A272" s="39"/>
      <c r="C272" s="161"/>
      <c r="D272" s="39"/>
    </row>
    <row r="273" spans="8:8">
      <c r="A273" s="39"/>
    </row>
    <row r="274" spans="8:8">
      <c r="A274" s="39"/>
    </row>
    <row r="276" spans="8:8">
      <c r="A276" s="38" t="s">
        <v>351</v>
      </c>
    </row>
    <row r="285" spans="8:8">
      <c r="H285" s="351"/>
    </row>
    <row r="286" spans="8:8" s="49" ht="15.0" customFormat="1">
      <c r="A286" s="38"/>
      <c r="B286" s="39"/>
      <c r="C286" s="40"/>
      <c r="D286" s="163"/>
      <c r="E286" s="163"/>
      <c r="F286" s="163"/>
      <c r="G286" s="314"/>
      <c r="H286" s="351"/>
    </row>
    <row r="294" spans="8:8" s="49" ht="15.0" customFormat="1">
      <c r="A294" s="38"/>
      <c r="B294" s="39"/>
      <c r="C294" s="40"/>
      <c r="D294" s="163"/>
      <c r="E294" s="163"/>
      <c r="F294" s="163"/>
      <c r="G294" s="314"/>
      <c r="H294" s="351"/>
    </row>
    <row r="297" spans="8:8" s="49" ht="15.0" customFormat="1">
      <c r="A297" s="38"/>
      <c r="B297" s="39"/>
      <c r="C297" s="40"/>
      <c r="D297" s="163"/>
      <c r="E297" s="163"/>
      <c r="F297" s="163"/>
      <c r="G297" s="314"/>
      <c r="H297" s="351"/>
    </row>
    <row r="298" spans="8:8" s="49" ht="15.0" customFormat="1">
      <c r="A298" s="38"/>
      <c r="B298" s="39"/>
      <c r="C298" s="40"/>
      <c r="D298" s="163"/>
      <c r="E298" s="163"/>
      <c r="F298" s="163"/>
      <c r="G298" s="314"/>
      <c r="H298" s="351"/>
    </row>
    <row r="299" spans="8:8">
      <c r="H299" s="248"/>
    </row>
    <row r="300" spans="8:8">
      <c r="H300" s="248"/>
    </row>
  </sheetData>
  <pageMargins left="0.41" right="0.23" top="0.75" bottom="0.75" header="0.3" footer="0.3"/>
</worksheet>
</file>

<file path=xl/worksheets/sheet31.xml><?xml version="1.0" encoding="utf-8"?>
<worksheet xmlns:r="http://schemas.openxmlformats.org/officeDocument/2006/relationships" xmlns="http://schemas.openxmlformats.org/spreadsheetml/2006/main">
  <dimension ref="A1:M300"/>
  <sheetViews>
    <sheetView workbookViewId="0">
      <selection activeCell="A1" sqref="A1:XFD1048576"/>
    </sheetView>
  </sheetViews>
  <sheetFormatPr defaultRowHeight="15.0" defaultColWidth="10"/>
  <cols>
    <col min="1" max="1" customWidth="1" width="65.28516" style="38"/>
    <col min="2" max="2" customWidth="1" width="14.285156" style="39"/>
    <col min="3" max="3" hidden="1" customWidth="1" width="14.5703125" style="40"/>
    <col min="4" max="5" hidden="1" customWidth="1" width="18.140625" style="163"/>
    <col min="6" max="6" hidden="1" customWidth="1" width="19.710938" style="163"/>
    <col min="7" max="7" hidden="1" customWidth="1" width="14.5703125" style="314"/>
    <col min="8" max="8" hidden="1" customWidth="1" width="19.710938" style="244"/>
    <col min="9" max="9" customWidth="1" width="15.7109375" style="39"/>
    <col min="10" max="10" customWidth="1" width="11.425781" style="39"/>
    <col min="11" max="11" customWidth="1" bestFit="1" width="12.5703125" style="39"/>
    <col min="12" max="16384" customWidth="0" width="11.425781" style="39"/>
  </cols>
  <sheetData>
    <row r="1" spans="8:8" ht="15.75">
      <c r="A1" s="364" t="s">
        <v>0</v>
      </c>
      <c r="B1" s="365" t="s">
        <v>1</v>
      </c>
      <c r="C1" s="366" t="s">
        <v>416</v>
      </c>
      <c r="D1" s="366" t="s">
        <v>3</v>
      </c>
      <c r="E1" s="367" t="s">
        <v>4</v>
      </c>
      <c r="F1" s="367" t="s">
        <v>5</v>
      </c>
      <c r="G1" s="367" t="s">
        <v>406</v>
      </c>
      <c r="H1" s="367" t="s">
        <v>319</v>
      </c>
      <c r="I1" s="368" t="s">
        <v>425</v>
      </c>
    </row>
    <row r="2" spans="8:8">
      <c r="A2" s="10" t="s">
        <v>7</v>
      </c>
      <c r="B2" s="11" t="s">
        <v>8</v>
      </c>
      <c r="C2" s="118">
        <v>1.0</v>
      </c>
      <c r="D2" s="118">
        <v>6.069605396400001E7</v>
      </c>
      <c r="E2" s="370">
        <v>2417374.0</v>
      </c>
      <c r="F2" s="370">
        <v>3626048.0</v>
      </c>
      <c r="G2" s="316"/>
      <c r="H2" s="362"/>
      <c r="I2" s="13">
        <f>SUM(C2:H2)</f>
        <v>6.673947696400001E7</v>
      </c>
    </row>
    <row r="3" spans="8:8">
      <c r="A3" s="3" t="s">
        <v>9</v>
      </c>
      <c r="B3" s="4" t="s">
        <v>8</v>
      </c>
      <c r="C3" s="93">
        <v>1.0</v>
      </c>
      <c r="D3" s="93">
        <v>6.069605396400001E7</v>
      </c>
      <c r="E3" s="372">
        <v>2417374.0</v>
      </c>
      <c r="F3" s="372">
        <v>3626048.0</v>
      </c>
      <c r="G3" s="329"/>
      <c r="H3" s="329"/>
      <c r="I3" s="6">
        <f>SUM(C3:F3)</f>
        <v>6.673947696400001E7</v>
      </c>
    </row>
    <row r="4" spans="8:8">
      <c r="A4" s="3" t="s">
        <v>10</v>
      </c>
      <c r="B4" s="4" t="s">
        <v>8</v>
      </c>
      <c r="C4" s="93">
        <v>1.0</v>
      </c>
      <c r="D4" s="93">
        <v>6.069605396400001E7</v>
      </c>
      <c r="E4" s="372">
        <v>2417374.0</v>
      </c>
      <c r="F4" s="372">
        <v>3626048.0</v>
      </c>
      <c r="G4" s="329"/>
      <c r="H4" s="329"/>
      <c r="I4" s="6">
        <f>SUM(C4:F4)</f>
        <v>6.673947696400001E7</v>
      </c>
    </row>
    <row r="5" spans="8:8">
      <c r="A5" s="3" t="s">
        <v>11</v>
      </c>
      <c r="B5" s="4" t="s">
        <v>8</v>
      </c>
      <c r="C5" s="62">
        <v>1.0</v>
      </c>
      <c r="D5" s="64"/>
      <c r="E5" s="372">
        <v>2417374.0</v>
      </c>
      <c r="F5" s="372">
        <v>3626048.0</v>
      </c>
      <c r="G5" s="329"/>
      <c r="H5" s="329"/>
      <c r="I5" s="6">
        <f>SUM(C5:H5)</f>
        <v>6043423.0</v>
      </c>
    </row>
    <row r="6" spans="8:8">
      <c r="A6" s="18" t="s">
        <v>426</v>
      </c>
      <c r="B6" s="16" t="s">
        <v>13</v>
      </c>
      <c r="C6" s="93">
        <v>3.4939417212E7</v>
      </c>
      <c r="D6" s="93">
        <v>2.3974767684E7</v>
      </c>
      <c r="E6" s="372">
        <v>2417374.0</v>
      </c>
      <c r="F6" s="372">
        <v>3626048.0</v>
      </c>
      <c r="G6" s="360"/>
      <c r="H6" s="372">
        <v>4384862.0</v>
      </c>
      <c r="I6" s="6">
        <f>SUM(C6:H6)</f>
        <v>6.9342468896E7</v>
      </c>
      <c r="J6" s="71"/>
      <c r="K6" s="71"/>
    </row>
    <row r="7" spans="8:8" s="49" ht="15.0" customFormat="1">
      <c r="A7" s="206" t="s">
        <v>433</v>
      </c>
      <c r="B7" s="16" t="s">
        <v>13</v>
      </c>
      <c r="C7" s="15"/>
      <c r="D7" s="15"/>
      <c r="E7" s="372"/>
      <c r="F7" s="372"/>
      <c r="G7" s="360"/>
      <c r="H7" s="372"/>
      <c r="I7" s="43">
        <f>I6*2</f>
        <v>1.38684937792E8</v>
      </c>
      <c r="J7" s="312"/>
      <c r="K7" s="312"/>
    </row>
    <row r="8" spans="8:8">
      <c r="A8" s="3" t="s">
        <v>15</v>
      </c>
      <c r="B8" s="4" t="s">
        <v>13</v>
      </c>
      <c r="C8" s="93">
        <v>3.4939417212E7</v>
      </c>
      <c r="D8" s="93">
        <v>2.3974767684E7</v>
      </c>
      <c r="E8" s="372">
        <v>2417374.0</v>
      </c>
      <c r="F8" s="372">
        <v>3626048.0</v>
      </c>
      <c r="G8" s="360"/>
      <c r="H8" s="372">
        <v>4384862.0</v>
      </c>
      <c r="I8" s="6">
        <f t="shared" si="0" ref="I8:I13">SUM(C8:H8)</f>
        <v>6.9342468896E7</v>
      </c>
      <c r="J8" s="71"/>
      <c r="K8" s="71"/>
    </row>
    <row r="9" spans="8:8">
      <c r="A9" s="3" t="s">
        <v>16</v>
      </c>
      <c r="B9" s="4" t="s">
        <v>13</v>
      </c>
      <c r="C9" s="93">
        <v>3.4939417212E7</v>
      </c>
      <c r="D9" s="93">
        <v>2.3974767684E7</v>
      </c>
      <c r="E9" s="372">
        <v>2417374.0</v>
      </c>
      <c r="F9" s="372">
        <v>3626048.0</v>
      </c>
      <c r="G9" s="360"/>
      <c r="H9" s="372">
        <v>4384862.0</v>
      </c>
      <c r="I9" s="6">
        <f t="shared" si="0"/>
        <v>6.9342468896E7</v>
      </c>
      <c r="J9" s="71"/>
      <c r="K9" s="71"/>
    </row>
    <row r="10" spans="8:8">
      <c r="A10" s="3" t="s">
        <v>17</v>
      </c>
      <c r="B10" s="4" t="s">
        <v>13</v>
      </c>
      <c r="C10" s="93">
        <v>1.2166955841600001E8</v>
      </c>
      <c r="D10" s="93">
        <v>5.4799467156E7</v>
      </c>
      <c r="E10" s="372">
        <v>2417374.0</v>
      </c>
      <c r="F10" s="372">
        <v>3626048.0</v>
      </c>
      <c r="G10" s="360"/>
      <c r="H10" s="372">
        <v>4384862.0</v>
      </c>
      <c r="I10" s="6">
        <f t="shared" si="0"/>
        <v>1.8689730957200003E8</v>
      </c>
      <c r="J10" s="71"/>
      <c r="K10" s="71"/>
    </row>
    <row r="11" spans="8:8">
      <c r="A11" s="3" t="s">
        <v>18</v>
      </c>
      <c r="B11" s="4" t="s">
        <v>13</v>
      </c>
      <c r="C11" s="93">
        <v>4.1432581764E7</v>
      </c>
      <c r="D11" s="93">
        <v>5.4799467156E7</v>
      </c>
      <c r="E11" s="372">
        <v>2417374.0</v>
      </c>
      <c r="F11" s="372">
        <v>3626048.0</v>
      </c>
      <c r="G11" s="360"/>
      <c r="H11" s="372">
        <v>4384862.0</v>
      </c>
      <c r="I11" s="6">
        <f t="shared" si="0"/>
        <v>1.0666033292E8</v>
      </c>
      <c r="J11" s="71"/>
      <c r="K11" s="71"/>
    </row>
    <row r="12" spans="8:8">
      <c r="A12" s="3" t="s">
        <v>19</v>
      </c>
      <c r="B12" s="4" t="s">
        <v>13</v>
      </c>
      <c r="C12" s="93">
        <v>4.1432581764E7</v>
      </c>
      <c r="D12" s="93">
        <v>5.4799467156E7</v>
      </c>
      <c r="E12" s="372">
        <v>2417374.0</v>
      </c>
      <c r="F12" s="372">
        <v>3626048.0</v>
      </c>
      <c r="G12" s="360"/>
      <c r="H12" s="372">
        <v>4384862.0</v>
      </c>
      <c r="I12" s="6">
        <f t="shared" si="0"/>
        <v>1.0666033292E8</v>
      </c>
      <c r="J12" s="71"/>
      <c r="K12" s="380"/>
    </row>
    <row r="13" spans="8:8">
      <c r="A13" s="3" t="s">
        <v>20</v>
      </c>
      <c r="B13" s="4" t="s">
        <v>13</v>
      </c>
      <c r="C13" s="93">
        <v>4.1432581764E7</v>
      </c>
      <c r="D13" s="93">
        <v>5.4799467156E7</v>
      </c>
      <c r="E13" s="372">
        <v>2417374.0</v>
      </c>
      <c r="F13" s="372">
        <v>3626048.0</v>
      </c>
      <c r="G13" s="360"/>
      <c r="H13" s="372">
        <v>4384862.0</v>
      </c>
      <c r="I13" s="6">
        <f t="shared" si="0"/>
        <v>1.0666033292E8</v>
      </c>
      <c r="K13" s="380"/>
    </row>
    <row r="14" spans="8:8">
      <c r="A14" s="206" t="s">
        <v>21</v>
      </c>
      <c r="B14" s="4" t="s">
        <v>13</v>
      </c>
      <c r="C14" s="93">
        <v>4.1432581764E7</v>
      </c>
      <c r="D14" s="93">
        <v>5.4799467156E7</v>
      </c>
      <c r="E14" s="372">
        <v>2417374.0</v>
      </c>
      <c r="F14" s="372">
        <v>3626048.0</v>
      </c>
      <c r="G14" s="360"/>
      <c r="H14" s="372">
        <v>4384862.0</v>
      </c>
      <c r="I14" s="6">
        <f>SUM(C14:H14)*2</f>
        <v>2.1332066584E8</v>
      </c>
      <c r="K14" s="381"/>
    </row>
    <row r="15" spans="8:8">
      <c r="A15" s="15" t="s">
        <v>22</v>
      </c>
      <c r="B15" s="16" t="s">
        <v>13</v>
      </c>
      <c r="C15" s="93">
        <v>4.1432581764E7</v>
      </c>
      <c r="D15" s="93">
        <v>5.4799467156E7</v>
      </c>
      <c r="E15" s="372">
        <v>2417374.0</v>
      </c>
      <c r="F15" s="372">
        <v>3626048.0</v>
      </c>
      <c r="G15" s="360"/>
      <c r="H15" s="372">
        <v>4384862.0</v>
      </c>
      <c r="I15" s="6">
        <f>SUM(C15:H15)</f>
        <v>1.0666033292E8</v>
      </c>
    </row>
    <row r="16" spans="8:8">
      <c r="A16" s="206" t="s">
        <v>23</v>
      </c>
      <c r="B16" s="16" t="s">
        <v>13</v>
      </c>
      <c r="C16" s="93">
        <v>4.1432581764E7</v>
      </c>
      <c r="D16" s="93">
        <v>5.4799467156E7</v>
      </c>
      <c r="E16" s="372">
        <v>2417374.0</v>
      </c>
      <c r="F16" s="372">
        <v>3626048.0</v>
      </c>
      <c r="G16" s="360"/>
      <c r="H16" s="372">
        <v>4384862.0</v>
      </c>
      <c r="I16" s="6">
        <f>SUM(C16:H16)*2</f>
        <v>2.1332066584E8</v>
      </c>
    </row>
    <row r="17" spans="8:8">
      <c r="A17" s="3" t="s">
        <v>24</v>
      </c>
      <c r="B17" s="16" t="s">
        <v>13</v>
      </c>
      <c r="C17" s="93">
        <v>4.1432581764E7</v>
      </c>
      <c r="D17" s="93">
        <v>5.4799467156E7</v>
      </c>
      <c r="E17" s="372">
        <v>2417374.0</v>
      </c>
      <c r="F17" s="372">
        <v>3626048.0</v>
      </c>
      <c r="G17" s="360"/>
      <c r="H17" s="372">
        <v>4384862.0</v>
      </c>
      <c r="I17" s="6">
        <f t="shared" si="1" ref="I17:I50">SUM(C17:H17)</f>
        <v>1.0666033292E8</v>
      </c>
    </row>
    <row r="18" spans="8:8">
      <c r="A18" s="3" t="s">
        <v>25</v>
      </c>
      <c r="B18" s="4" t="s">
        <v>13</v>
      </c>
      <c r="C18" s="93">
        <v>4.1432581764E7</v>
      </c>
      <c r="D18" s="93">
        <v>5.4799467156E7</v>
      </c>
      <c r="E18" s="372">
        <v>2417374.0</v>
      </c>
      <c r="F18" s="372">
        <v>3626048.0</v>
      </c>
      <c r="G18" s="360"/>
      <c r="H18" s="372">
        <v>4384862.0</v>
      </c>
      <c r="I18" s="6">
        <f t="shared" si="1"/>
        <v>1.0666033292E8</v>
      </c>
    </row>
    <row r="19" spans="8:8">
      <c r="A19" s="3" t="s">
        <v>26</v>
      </c>
      <c r="B19" s="4" t="s">
        <v>13</v>
      </c>
      <c r="C19" s="93">
        <v>4.1432581764E7</v>
      </c>
      <c r="D19" s="93">
        <v>5.4799467156E7</v>
      </c>
      <c r="E19" s="372">
        <v>2417374.0</v>
      </c>
      <c r="F19" s="372">
        <v>3626048.0</v>
      </c>
      <c r="G19" s="360"/>
      <c r="H19" s="372">
        <v>4384862.0</v>
      </c>
      <c r="I19" s="6">
        <f t="shared" si="1"/>
        <v>1.0666033292E8</v>
      </c>
    </row>
    <row r="20" spans="8:8">
      <c r="A20" s="3" t="s">
        <v>27</v>
      </c>
      <c r="B20" s="4" t="s">
        <v>13</v>
      </c>
      <c r="C20" s="93">
        <v>4.1432581764E7</v>
      </c>
      <c r="D20" s="93">
        <v>5.4799467156E7</v>
      </c>
      <c r="E20" s="372">
        <v>2417374.0</v>
      </c>
      <c r="F20" s="372">
        <v>3626048.0</v>
      </c>
      <c r="G20" s="360"/>
      <c r="H20" s="372">
        <v>4384862.0</v>
      </c>
      <c r="I20" s="6">
        <f t="shared" si="1"/>
        <v>1.0666033292E8</v>
      </c>
    </row>
    <row r="21" spans="8:8">
      <c r="A21" s="3" t="s">
        <v>28</v>
      </c>
      <c r="B21" s="4" t="s">
        <v>13</v>
      </c>
      <c r="C21" s="93">
        <v>4.1432581764E7</v>
      </c>
      <c r="D21" s="93">
        <v>5.4799467156E7</v>
      </c>
      <c r="E21" s="372">
        <v>2417374.0</v>
      </c>
      <c r="F21" s="372">
        <v>3626048.0</v>
      </c>
      <c r="G21" s="360"/>
      <c r="H21" s="372">
        <v>4384862.0</v>
      </c>
      <c r="I21" s="6">
        <f t="shared" si="1"/>
        <v>1.0666033292E8</v>
      </c>
    </row>
    <row r="22" spans="8:8">
      <c r="A22" s="3" t="s">
        <v>29</v>
      </c>
      <c r="B22" s="4" t="s">
        <v>13</v>
      </c>
      <c r="C22" s="93">
        <v>4.1432581764E7</v>
      </c>
      <c r="D22" s="93">
        <v>5.4799467156E7</v>
      </c>
      <c r="E22" s="372">
        <v>2417374.0</v>
      </c>
      <c r="F22" s="372">
        <v>3626048.0</v>
      </c>
      <c r="G22" s="360"/>
      <c r="H22" s="372">
        <v>4384862.0</v>
      </c>
      <c r="I22" s="6">
        <f t="shared" si="1"/>
        <v>1.0666033292E8</v>
      </c>
    </row>
    <row r="23" spans="8:8">
      <c r="A23" s="14" t="s">
        <v>427</v>
      </c>
      <c r="B23" s="4" t="s">
        <v>13</v>
      </c>
      <c r="C23" s="93">
        <v>4.1432581764E7</v>
      </c>
      <c r="D23" s="93">
        <v>5.4799467156E7</v>
      </c>
      <c r="E23" s="372">
        <v>2417374.0</v>
      </c>
      <c r="F23" s="372">
        <v>3626048.0</v>
      </c>
      <c r="G23" s="360"/>
      <c r="H23" s="372">
        <v>4384862.0</v>
      </c>
      <c r="I23" s="6">
        <f t="shared" si="1"/>
        <v>1.0666033292E8</v>
      </c>
    </row>
    <row r="24" spans="8:8">
      <c r="A24" s="3" t="s">
        <v>31</v>
      </c>
      <c r="B24" s="4" t="s">
        <v>13</v>
      </c>
      <c r="C24" s="93">
        <v>4.1432581764E7</v>
      </c>
      <c r="D24" s="93">
        <v>5.4799467156E7</v>
      </c>
      <c r="E24" s="372">
        <v>2417374.0</v>
      </c>
      <c r="F24" s="372">
        <v>3626048.0</v>
      </c>
      <c r="G24" s="360"/>
      <c r="H24" s="372">
        <v>4384862.0</v>
      </c>
      <c r="I24" s="6">
        <f t="shared" si="1"/>
        <v>1.0666033292E8</v>
      </c>
    </row>
    <row r="25" spans="8:8">
      <c r="A25" s="3" t="s">
        <v>32</v>
      </c>
      <c r="B25" s="4" t="s">
        <v>13</v>
      </c>
      <c r="C25" s="93">
        <v>4.1432581764E7</v>
      </c>
      <c r="D25" s="93">
        <v>5.4799467156E7</v>
      </c>
      <c r="E25" s="372">
        <v>2417374.0</v>
      </c>
      <c r="F25" s="372">
        <v>3626048.0</v>
      </c>
      <c r="G25" s="360"/>
      <c r="H25" s="372">
        <v>4384862.0</v>
      </c>
      <c r="I25" s="6">
        <f t="shared" si="1"/>
        <v>1.0666033292E8</v>
      </c>
    </row>
    <row r="26" spans="8:8">
      <c r="A26" s="3" t="s">
        <v>33</v>
      </c>
      <c r="B26" s="4" t="s">
        <v>13</v>
      </c>
      <c r="C26" s="93">
        <v>4.1432581764E7</v>
      </c>
      <c r="D26" s="93">
        <v>5.4799467156E7</v>
      </c>
      <c r="E26" s="372">
        <v>2417374.0</v>
      </c>
      <c r="F26" s="372">
        <v>3626048.0</v>
      </c>
      <c r="G26" s="360"/>
      <c r="H26" s="372">
        <v>4384862.0</v>
      </c>
      <c r="I26" s="6">
        <f t="shared" si="1"/>
        <v>1.0666033292E8</v>
      </c>
    </row>
    <row r="27" spans="8:8">
      <c r="A27" s="3" t="s">
        <v>34</v>
      </c>
      <c r="B27" s="4" t="s">
        <v>13</v>
      </c>
      <c r="C27" s="93">
        <v>3.4939417212E7</v>
      </c>
      <c r="D27" s="93">
        <v>2.3974767684E7</v>
      </c>
      <c r="E27" s="372">
        <v>2417374.0</v>
      </c>
      <c r="F27" s="372">
        <v>3626048.0</v>
      </c>
      <c r="G27" s="360"/>
      <c r="H27" s="372">
        <v>4384862.0</v>
      </c>
      <c r="I27" s="6">
        <f t="shared" si="1"/>
        <v>6.9342468896E7</v>
      </c>
    </row>
    <row r="28" spans="8:8">
      <c r="A28" s="3" t="s">
        <v>35</v>
      </c>
      <c r="B28" s="4" t="s">
        <v>13</v>
      </c>
      <c r="C28" s="93">
        <v>3.4939417212E7</v>
      </c>
      <c r="D28" s="93">
        <v>2.3974767684E7</v>
      </c>
      <c r="E28" s="372">
        <v>2417374.0</v>
      </c>
      <c r="F28" s="372">
        <v>3626048.0</v>
      </c>
      <c r="G28" s="360"/>
      <c r="H28" s="372">
        <v>4384862.0</v>
      </c>
      <c r="I28" s="6">
        <f t="shared" si="1"/>
        <v>6.9342468896E7</v>
      </c>
    </row>
    <row r="29" spans="8:8">
      <c r="A29" s="3" t="s">
        <v>36</v>
      </c>
      <c r="B29" s="4" t="s">
        <v>13</v>
      </c>
      <c r="C29" s="93">
        <v>3.4939417212E7</v>
      </c>
      <c r="D29" s="93">
        <v>2.3974767684E7</v>
      </c>
      <c r="E29" s="372">
        <v>2417374.0</v>
      </c>
      <c r="F29" s="372">
        <v>3626048.0</v>
      </c>
      <c r="G29" s="360"/>
      <c r="H29" s="372">
        <v>4384862.0</v>
      </c>
      <c r="I29" s="6">
        <f t="shared" si="1"/>
        <v>6.9342468896E7</v>
      </c>
    </row>
    <row r="30" spans="8:8">
      <c r="A30" s="14" t="s">
        <v>428</v>
      </c>
      <c r="B30" s="4" t="s">
        <v>13</v>
      </c>
      <c r="C30" s="93">
        <v>3.4939417212E7</v>
      </c>
      <c r="D30" s="93">
        <v>2.3974767684E7</v>
      </c>
      <c r="E30" s="372">
        <v>2417374.0</v>
      </c>
      <c r="F30" s="372">
        <v>3626048.0</v>
      </c>
      <c r="G30" s="360"/>
      <c r="H30" s="372">
        <v>4384862.0</v>
      </c>
      <c r="I30" s="6">
        <f t="shared" si="1"/>
        <v>6.9342468896E7</v>
      </c>
    </row>
    <row r="31" spans="8:8">
      <c r="A31" s="3" t="s">
        <v>38</v>
      </c>
      <c r="B31" s="4" t="s">
        <v>13</v>
      </c>
      <c r="C31" s="93">
        <v>3.4939417212E7</v>
      </c>
      <c r="D31" s="93">
        <v>2.3974767684E7</v>
      </c>
      <c r="E31" s="372">
        <v>2417374.0</v>
      </c>
      <c r="F31" s="372">
        <v>3626048.0</v>
      </c>
      <c r="G31" s="360"/>
      <c r="H31" s="372">
        <v>4384862.0</v>
      </c>
      <c r="I31" s="6">
        <f t="shared" si="1"/>
        <v>6.9342468896E7</v>
      </c>
    </row>
    <row r="32" spans="8:8">
      <c r="A32" s="15" t="s">
        <v>39</v>
      </c>
      <c r="B32" s="4" t="s">
        <v>13</v>
      </c>
      <c r="C32" s="93">
        <v>3.4939417212E7</v>
      </c>
      <c r="D32" s="93">
        <v>2.3974767684E7</v>
      </c>
      <c r="E32" s="372">
        <v>2417374.0</v>
      </c>
      <c r="F32" s="372">
        <v>3626048.0</v>
      </c>
      <c r="G32" s="360"/>
      <c r="H32" s="372">
        <v>4384862.0</v>
      </c>
      <c r="I32" s="6">
        <f t="shared" si="1"/>
        <v>6.9342468896E7</v>
      </c>
    </row>
    <row r="33" spans="8:8" s="49" ht="15.0" customFormat="1">
      <c r="A33" s="3" t="s">
        <v>40</v>
      </c>
      <c r="B33" s="16" t="s">
        <v>13</v>
      </c>
      <c r="C33" s="93">
        <v>3.4939417212E7</v>
      </c>
      <c r="D33" s="93">
        <v>2.3974767684E7</v>
      </c>
      <c r="E33" s="372">
        <v>2417374.0</v>
      </c>
      <c r="F33" s="372">
        <v>3626048.0</v>
      </c>
      <c r="G33" s="360"/>
      <c r="H33" s="372">
        <v>4384862.0</v>
      </c>
      <c r="I33" s="6">
        <f t="shared" si="1"/>
        <v>6.9342468896E7</v>
      </c>
    </row>
    <row r="34" spans="8:8">
      <c r="A34" s="15" t="s">
        <v>41</v>
      </c>
      <c r="B34" s="16" t="s">
        <v>13</v>
      </c>
      <c r="C34" s="93">
        <v>3.4939417212E7</v>
      </c>
      <c r="D34" s="93">
        <v>2.3974767684E7</v>
      </c>
      <c r="E34" s="372">
        <v>2417374.0</v>
      </c>
      <c r="F34" s="372">
        <v>3626048.0</v>
      </c>
      <c r="G34" s="360"/>
      <c r="H34" s="372">
        <v>4384862.0</v>
      </c>
      <c r="I34" s="6">
        <f t="shared" si="1"/>
        <v>6.9342468896E7</v>
      </c>
    </row>
    <row r="35" spans="8:8" s="49" ht="15.0" customFormat="1">
      <c r="A35" s="14" t="s">
        <v>429</v>
      </c>
      <c r="B35" s="16" t="s">
        <v>13</v>
      </c>
      <c r="C35" s="93">
        <v>3.4939417212E7</v>
      </c>
      <c r="D35" s="93">
        <v>2.3974767684E7</v>
      </c>
      <c r="E35" s="372">
        <v>2417374.0</v>
      </c>
      <c r="F35" s="372">
        <v>3626048.0</v>
      </c>
      <c r="G35" s="360"/>
      <c r="H35" s="372">
        <v>4384862.0</v>
      </c>
      <c r="I35" s="6">
        <f t="shared" si="1"/>
        <v>6.9342468896E7</v>
      </c>
    </row>
    <row r="36" spans="8:8">
      <c r="A36" s="3" t="s">
        <v>43</v>
      </c>
      <c r="B36" s="4" t="s">
        <v>13</v>
      </c>
      <c r="C36" s="93">
        <v>3.4939417212E7</v>
      </c>
      <c r="D36" s="93">
        <v>2.3974767684E7</v>
      </c>
      <c r="E36" s="372">
        <v>2417374.0</v>
      </c>
      <c r="F36" s="372">
        <v>3626048.0</v>
      </c>
      <c r="G36" s="360"/>
      <c r="H36" s="372">
        <v>4384862.0</v>
      </c>
      <c r="I36" s="6">
        <f t="shared" si="1"/>
        <v>6.9342468896E7</v>
      </c>
    </row>
    <row r="37" spans="8:8">
      <c r="A37" s="14" t="s">
        <v>430</v>
      </c>
      <c r="B37" s="4" t="s">
        <v>13</v>
      </c>
      <c r="C37" s="93">
        <v>3.4939417212E7</v>
      </c>
      <c r="D37" s="93">
        <v>2.3974767684E7</v>
      </c>
      <c r="E37" s="372">
        <v>2417374.0</v>
      </c>
      <c r="F37" s="372">
        <v>3626048.0</v>
      </c>
      <c r="G37" s="360"/>
      <c r="H37" s="372">
        <v>4384862.0</v>
      </c>
      <c r="I37" s="6">
        <f t="shared" si="1"/>
        <v>6.9342468896E7</v>
      </c>
    </row>
    <row r="38" spans="8:8">
      <c r="A38" s="3" t="s">
        <v>45</v>
      </c>
      <c r="B38" s="4" t="s">
        <v>13</v>
      </c>
      <c r="C38" s="93">
        <v>7.900018156800002E7</v>
      </c>
      <c r="D38" s="93">
        <v>5.7082774896000005E7</v>
      </c>
      <c r="E38" s="372">
        <v>2417374.0</v>
      </c>
      <c r="F38" s="372">
        <v>3626048.0</v>
      </c>
      <c r="G38" s="360"/>
      <c r="H38" s="372">
        <v>4384862.0</v>
      </c>
      <c r="I38" s="6">
        <f t="shared" si="1"/>
        <v>1.4651124046400002E8</v>
      </c>
    </row>
    <row r="39" spans="8:8">
      <c r="A39" s="3" t="s">
        <v>46</v>
      </c>
      <c r="B39" s="4" t="s">
        <v>13</v>
      </c>
      <c r="C39" s="93">
        <v>7.900018156800002E7</v>
      </c>
      <c r="D39" s="93">
        <v>5.7082774896000005E7</v>
      </c>
      <c r="E39" s="372">
        <v>2417374.0</v>
      </c>
      <c r="F39" s="372">
        <v>3626048.0</v>
      </c>
      <c r="G39" s="360"/>
      <c r="H39" s="372">
        <v>4384862.0</v>
      </c>
      <c r="I39" s="6">
        <f t="shared" si="1"/>
        <v>1.4651124046400002E8</v>
      </c>
    </row>
    <row r="40" spans="8:8">
      <c r="A40" s="3" t="s">
        <v>47</v>
      </c>
      <c r="B40" s="4" t="s">
        <v>13</v>
      </c>
      <c r="C40" s="93">
        <v>1.11156810912E8</v>
      </c>
      <c r="D40" s="93">
        <v>5.7082774896000005E7</v>
      </c>
      <c r="E40" s="372">
        <v>2417374.0</v>
      </c>
      <c r="F40" s="372">
        <v>3626048.0</v>
      </c>
      <c r="G40" s="360"/>
      <c r="H40" s="372">
        <v>4384862.0</v>
      </c>
      <c r="I40" s="6">
        <f t="shared" si="1"/>
        <v>1.78667869808E8</v>
      </c>
    </row>
    <row r="41" spans="8:8">
      <c r="A41" s="3" t="s">
        <v>48</v>
      </c>
      <c r="B41" s="4" t="s">
        <v>13</v>
      </c>
      <c r="C41" s="93">
        <v>3.4939417212E7</v>
      </c>
      <c r="D41" s="93">
        <v>5.7082774896000005E7</v>
      </c>
      <c r="E41" s="372">
        <v>2417374.0</v>
      </c>
      <c r="F41" s="372">
        <v>3626048.0</v>
      </c>
      <c r="G41" s="360"/>
      <c r="H41" s="372">
        <v>4384862.0</v>
      </c>
      <c r="I41" s="6">
        <f t="shared" si="1"/>
        <v>1.0245047610800001E8</v>
      </c>
    </row>
    <row r="42" spans="8:8">
      <c r="A42" s="3" t="s">
        <v>49</v>
      </c>
      <c r="B42" s="4" t="s">
        <v>13</v>
      </c>
      <c r="C42" s="93">
        <v>3.4939417212E7</v>
      </c>
      <c r="D42" s="93">
        <v>2.3974767684E7</v>
      </c>
      <c r="E42" s="372">
        <v>2417374.0</v>
      </c>
      <c r="F42" s="372">
        <v>3626048.0</v>
      </c>
      <c r="G42" s="360"/>
      <c r="H42" s="372">
        <v>4384862.0</v>
      </c>
      <c r="I42" s="6">
        <f t="shared" si="1"/>
        <v>6.9342468896E7</v>
      </c>
    </row>
    <row r="43" spans="8:8">
      <c r="A43" s="18" t="s">
        <v>431</v>
      </c>
      <c r="B43" s="4" t="s">
        <v>13</v>
      </c>
      <c r="C43" s="93">
        <v>3.4939417212E7</v>
      </c>
      <c r="D43" s="93">
        <v>2.3974767684E7</v>
      </c>
      <c r="E43" s="372">
        <v>2417374.0</v>
      </c>
      <c r="F43" s="372">
        <v>3626048.0</v>
      </c>
      <c r="G43" s="360"/>
      <c r="H43" s="372">
        <v>4384862.0</v>
      </c>
      <c r="I43" s="6">
        <f t="shared" si="1"/>
        <v>6.9342468896E7</v>
      </c>
    </row>
    <row r="44" spans="8:8" s="49" ht="15.0" customFormat="1">
      <c r="A44" s="3" t="s">
        <v>51</v>
      </c>
      <c r="B44" s="16" t="s">
        <v>13</v>
      </c>
      <c r="C44" s="93">
        <v>3.4939417212E7</v>
      </c>
      <c r="D44" s="93">
        <v>2.3974767684E7</v>
      </c>
      <c r="E44" s="372">
        <v>2417374.0</v>
      </c>
      <c r="F44" s="372">
        <v>3626048.0</v>
      </c>
      <c r="G44" s="360"/>
      <c r="H44" s="372">
        <v>4384862.0</v>
      </c>
      <c r="I44" s="6">
        <f t="shared" si="1"/>
        <v>6.9342468896E7</v>
      </c>
    </row>
    <row r="45" spans="8:8">
      <c r="A45" s="3" t="s">
        <v>52</v>
      </c>
      <c r="B45" s="4" t="s">
        <v>13</v>
      </c>
      <c r="C45" s="93">
        <v>3.4939417212E7</v>
      </c>
      <c r="D45" s="93">
        <v>2.3974767684E7</v>
      </c>
      <c r="E45" s="372">
        <v>2417374.0</v>
      </c>
      <c r="F45" s="372">
        <v>3626048.0</v>
      </c>
      <c r="G45" s="360"/>
      <c r="H45" s="372">
        <v>4384862.0</v>
      </c>
      <c r="I45" s="6">
        <f t="shared" si="1"/>
        <v>6.9342468896E7</v>
      </c>
    </row>
    <row r="46" spans="8:8">
      <c r="A46" s="3" t="s">
        <v>53</v>
      </c>
      <c r="B46" s="4" t="s">
        <v>13</v>
      </c>
      <c r="C46" s="93">
        <v>3.4939417212E7</v>
      </c>
      <c r="D46" s="93">
        <v>2.3974767684E7</v>
      </c>
      <c r="E46" s="372">
        <v>2417374.0</v>
      </c>
      <c r="F46" s="372">
        <v>3626048.0</v>
      </c>
      <c r="G46" s="360"/>
      <c r="H46" s="372">
        <v>4384862.0</v>
      </c>
      <c r="I46" s="6">
        <f t="shared" si="1"/>
        <v>6.9342468896E7</v>
      </c>
    </row>
    <row r="47" spans="8:8">
      <c r="A47" s="3" t="s">
        <v>54</v>
      </c>
      <c r="B47" s="4" t="s">
        <v>13</v>
      </c>
      <c r="C47" s="93">
        <v>3.4939417212E7</v>
      </c>
      <c r="D47" s="93">
        <v>2.3974767684E7</v>
      </c>
      <c r="E47" s="372">
        <v>2417374.0</v>
      </c>
      <c r="F47" s="372">
        <v>3626048.0</v>
      </c>
      <c r="G47" s="360"/>
      <c r="H47" s="372">
        <v>4384862.0</v>
      </c>
      <c r="I47" s="6">
        <f t="shared" si="1"/>
        <v>6.9342468896E7</v>
      </c>
    </row>
    <row r="48" spans="8:8">
      <c r="A48" s="15" t="s">
        <v>55</v>
      </c>
      <c r="B48" s="4" t="s">
        <v>13</v>
      </c>
      <c r="C48" s="93">
        <v>3.4939417212E7</v>
      </c>
      <c r="D48" s="93">
        <v>2.3974767684E7</v>
      </c>
      <c r="E48" s="372">
        <v>2417374.0</v>
      </c>
      <c r="F48" s="372">
        <v>3626048.0</v>
      </c>
      <c r="G48" s="360"/>
      <c r="H48" s="372">
        <v>4384862.0</v>
      </c>
      <c r="I48" s="6">
        <f t="shared" si="1"/>
        <v>6.9342468896E7</v>
      </c>
    </row>
    <row r="49" spans="8:8" s="49" ht="15.0" customFormat="1">
      <c r="A49" s="3" t="s">
        <v>56</v>
      </c>
      <c r="B49" s="16" t="s">
        <v>13</v>
      </c>
      <c r="C49" s="93">
        <v>3.4939417212E7</v>
      </c>
      <c r="D49" s="93">
        <v>5.540387202E7</v>
      </c>
      <c r="E49" s="372">
        <v>2417374.0</v>
      </c>
      <c r="F49" s="372">
        <v>3626048.0</v>
      </c>
      <c r="G49" s="360"/>
      <c r="H49" s="372">
        <v>4384862.0</v>
      </c>
      <c r="I49" s="17">
        <f t="shared" si="1"/>
        <v>1.00771573232E8</v>
      </c>
    </row>
    <row r="50" spans="8:8">
      <c r="A50" s="3" t="s">
        <v>57</v>
      </c>
      <c r="B50" s="4" t="s">
        <v>60</v>
      </c>
      <c r="C50" s="93">
        <v>1.0</v>
      </c>
      <c r="D50" s="93">
        <v>8.2693810836E7</v>
      </c>
      <c r="E50" s="372">
        <v>2417374.0</v>
      </c>
      <c r="F50" s="372">
        <v>3626048.0</v>
      </c>
      <c r="G50" s="360"/>
      <c r="H50" s="360"/>
      <c r="I50" s="6">
        <f t="shared" si="1"/>
        <v>8.8737233836E7</v>
      </c>
    </row>
    <row r="51" spans="8:8">
      <c r="A51" s="3" t="s">
        <v>58</v>
      </c>
      <c r="B51" s="4" t="s">
        <v>60</v>
      </c>
      <c r="C51" s="93">
        <v>1.0</v>
      </c>
      <c r="D51" s="93">
        <v>8.2693810836E7</v>
      </c>
      <c r="E51" s="372">
        <v>2417374.0</v>
      </c>
      <c r="F51" s="372">
        <v>3626048.0</v>
      </c>
      <c r="G51" s="360"/>
      <c r="H51" s="360"/>
      <c r="I51" s="6">
        <f>SUM(C51:F51)</f>
        <v>8.8737233836E7</v>
      </c>
    </row>
    <row r="52" spans="8:8">
      <c r="A52" s="3" t="s">
        <v>59</v>
      </c>
      <c r="B52" s="4" t="s">
        <v>60</v>
      </c>
      <c r="C52" s="93">
        <v>1.0</v>
      </c>
      <c r="D52" s="93">
        <v>8.2693810836E7</v>
      </c>
      <c r="E52" s="372">
        <v>2417374.0</v>
      </c>
      <c r="F52" s="372">
        <v>3626048.0</v>
      </c>
      <c r="G52" s="360"/>
      <c r="H52" s="360"/>
      <c r="I52" s="6">
        <f>SUM(C52:F52)</f>
        <v>8.8737233836E7</v>
      </c>
    </row>
    <row r="53" spans="8:8">
      <c r="A53" s="3" t="s">
        <v>61</v>
      </c>
      <c r="B53" s="4" t="s">
        <v>60</v>
      </c>
      <c r="C53" s="93">
        <v>5.5234906272E7</v>
      </c>
      <c r="D53" s="93">
        <v>5.9018119524E7</v>
      </c>
      <c r="E53" s="372">
        <v>2417374.0</v>
      </c>
      <c r="F53" s="372">
        <v>3626048.0</v>
      </c>
      <c r="G53" s="360"/>
      <c r="H53" s="360"/>
      <c r="I53" s="6">
        <f>SUM(C53:F53)</f>
        <v>1.20296447796E8</v>
      </c>
    </row>
    <row r="54" spans="8:8">
      <c r="A54" s="3" t="s">
        <v>62</v>
      </c>
      <c r="B54" s="4" t="s">
        <v>60</v>
      </c>
      <c r="C54" s="93">
        <v>1.0</v>
      </c>
      <c r="D54" s="93">
        <v>5.9018119524E7</v>
      </c>
      <c r="E54" s="372">
        <v>2417374.0</v>
      </c>
      <c r="F54" s="372">
        <v>3626048.0</v>
      </c>
      <c r="G54" s="360"/>
      <c r="H54" s="360"/>
      <c r="I54" s="6">
        <f>SUM(C54:F54)</f>
        <v>6.5061542524E7</v>
      </c>
    </row>
    <row r="55" spans="8:8">
      <c r="A55" s="3" t="s">
        <v>63</v>
      </c>
      <c r="B55" s="4" t="s">
        <v>60</v>
      </c>
      <c r="C55" s="93">
        <v>1.0</v>
      </c>
      <c r="D55" s="93">
        <v>2.9866839911999997E7</v>
      </c>
      <c r="E55" s="372">
        <v>2417374.0</v>
      </c>
      <c r="F55" s="372">
        <v>3626048.0</v>
      </c>
      <c r="G55" s="360"/>
      <c r="H55" s="360"/>
      <c r="I55" s="6">
        <f>SUM(C55:F55)</f>
        <v>3.5910262912E7</v>
      </c>
    </row>
    <row r="56" spans="8:8">
      <c r="A56" s="3" t="s">
        <v>64</v>
      </c>
      <c r="B56" s="4" t="s">
        <v>65</v>
      </c>
      <c r="C56" s="93">
        <v>1.0</v>
      </c>
      <c r="D56" s="93">
        <v>2.9313749555999998E7</v>
      </c>
      <c r="E56" s="372">
        <v>2417374.0</v>
      </c>
      <c r="F56" s="372">
        <v>3626048.0</v>
      </c>
      <c r="G56" s="372">
        <v>9467313.0</v>
      </c>
      <c r="H56" s="360"/>
      <c r="I56" s="6">
        <f t="shared" si="2" ref="I56:I61">SUM(C56:H56)</f>
        <v>4.4824485555999994E7</v>
      </c>
    </row>
    <row r="57" spans="8:8" ht="30.0">
      <c r="A57" s="373" t="s">
        <v>432</v>
      </c>
      <c r="B57" s="374" t="s">
        <v>65</v>
      </c>
      <c r="C57" s="93">
        <v>1.0</v>
      </c>
      <c r="D57" s="93">
        <v>3.1194255456000004E7</v>
      </c>
      <c r="E57" s="372">
        <v>2417374.0</v>
      </c>
      <c r="F57" s="372">
        <v>3626048.0</v>
      </c>
      <c r="G57" s="372">
        <v>9467313.0</v>
      </c>
      <c r="H57" s="376"/>
      <c r="I57" s="377">
        <f t="shared" si="2"/>
        <v>4.6704991456E7</v>
      </c>
    </row>
    <row r="58" spans="8:8">
      <c r="A58" s="3" t="s">
        <v>67</v>
      </c>
      <c r="B58" s="4" t="s">
        <v>65</v>
      </c>
      <c r="C58" s="93">
        <v>1.0</v>
      </c>
      <c r="D58" s="93">
        <v>2.9313749555999998E7</v>
      </c>
      <c r="E58" s="372">
        <v>2417374.0</v>
      </c>
      <c r="F58" s="372">
        <v>3626048.0</v>
      </c>
      <c r="G58" s="372">
        <v>9467313.0</v>
      </c>
      <c r="H58" s="360"/>
      <c r="I58" s="6">
        <f t="shared" si="2"/>
        <v>4.4824485555999994E7</v>
      </c>
    </row>
    <row r="59" spans="8:8">
      <c r="A59" s="3" t="s">
        <v>68</v>
      </c>
      <c r="B59" s="4" t="s">
        <v>65</v>
      </c>
      <c r="C59" s="93">
        <v>1.0</v>
      </c>
      <c r="D59" s="93">
        <v>3.1194255456000004E7</v>
      </c>
      <c r="E59" s="372">
        <v>2417374.0</v>
      </c>
      <c r="F59" s="372">
        <v>3626048.0</v>
      </c>
      <c r="G59" s="372">
        <v>9467313.0</v>
      </c>
      <c r="H59" s="360"/>
      <c r="I59" s="6">
        <f t="shared" si="2"/>
        <v>4.6704991456E7</v>
      </c>
    </row>
    <row r="60" spans="8:8">
      <c r="A60" s="3" t="s">
        <v>69</v>
      </c>
      <c r="B60" s="4" t="s">
        <v>65</v>
      </c>
      <c r="C60" s="93">
        <v>1.0</v>
      </c>
      <c r="D60" s="93">
        <v>3.805256473200001E7</v>
      </c>
      <c r="E60" s="372">
        <v>2417374.0</v>
      </c>
      <c r="F60" s="372">
        <v>3626048.0</v>
      </c>
      <c r="G60" s="372">
        <v>9467313.0</v>
      </c>
      <c r="H60" s="360"/>
      <c r="I60" s="6">
        <f t="shared" si="2"/>
        <v>5.356330073200001E7</v>
      </c>
    </row>
    <row r="61" spans="8:8">
      <c r="A61" s="3" t="s">
        <v>70</v>
      </c>
      <c r="B61" s="4" t="s">
        <v>65</v>
      </c>
      <c r="C61" s="93">
        <v>1.0</v>
      </c>
      <c r="D61" s="93">
        <v>2.9313749555999998E7</v>
      </c>
      <c r="E61" s="372">
        <v>2417374.0</v>
      </c>
      <c r="F61" s="372">
        <v>3626048.0</v>
      </c>
      <c r="G61" s="372">
        <v>9467313.0</v>
      </c>
      <c r="H61" s="360"/>
      <c r="I61" s="6">
        <f t="shared" si="2"/>
        <v>4.4824485555999994E7</v>
      </c>
    </row>
    <row r="62" spans="8:8">
      <c r="A62" s="15" t="s">
        <v>71</v>
      </c>
      <c r="B62" s="16" t="s">
        <v>65</v>
      </c>
      <c r="C62" s="93">
        <v>1.0</v>
      </c>
      <c r="D62" s="93">
        <v>3.1194255456000004E7</v>
      </c>
      <c r="E62" s="372">
        <v>2417374.0</v>
      </c>
      <c r="F62" s="372">
        <v>3626048.0</v>
      </c>
      <c r="G62" s="372">
        <v>9467313.0</v>
      </c>
      <c r="H62" s="360"/>
      <c r="I62" s="6">
        <f t="shared" si="3" ref="I62:I74">SUM(C62:G62)</f>
        <v>4.6704991456E7</v>
      </c>
    </row>
    <row r="63" spans="8:8">
      <c r="A63" s="15" t="s">
        <v>72</v>
      </c>
      <c r="B63" s="16" t="s">
        <v>65</v>
      </c>
      <c r="C63" s="93">
        <v>1.0</v>
      </c>
      <c r="D63" s="93">
        <v>3.4512794316E7</v>
      </c>
      <c r="E63" s="372">
        <v>2417374.0</v>
      </c>
      <c r="F63" s="372">
        <v>3626048.0</v>
      </c>
      <c r="G63" s="372">
        <v>9467313.0</v>
      </c>
      <c r="H63" s="360"/>
      <c r="I63" s="6">
        <f t="shared" si="3"/>
        <v>5.0023530316E7</v>
      </c>
    </row>
    <row r="64" spans="8:8">
      <c r="A64" s="3" t="s">
        <v>73</v>
      </c>
      <c r="B64" s="4" t="s">
        <v>65</v>
      </c>
      <c r="C64" s="93">
        <v>1.0</v>
      </c>
      <c r="D64" s="93">
        <v>2.9313749555999998E7</v>
      </c>
      <c r="E64" s="372">
        <v>2417374.0</v>
      </c>
      <c r="F64" s="372">
        <v>3626048.0</v>
      </c>
      <c r="G64" s="372">
        <v>9467313.0</v>
      </c>
      <c r="H64" s="360"/>
      <c r="I64" s="6">
        <f t="shared" si="3"/>
        <v>4.4824485555999994E7</v>
      </c>
    </row>
    <row r="65" spans="8:8">
      <c r="A65" s="3" t="s">
        <v>74</v>
      </c>
      <c r="B65" s="4" t="s">
        <v>65</v>
      </c>
      <c r="C65" s="93">
        <v>1.0</v>
      </c>
      <c r="D65" s="93">
        <v>3.1194255456000004E7</v>
      </c>
      <c r="E65" s="372">
        <v>2417374.0</v>
      </c>
      <c r="F65" s="372">
        <v>3626048.0</v>
      </c>
      <c r="G65" s="372">
        <v>9467313.0</v>
      </c>
      <c r="H65" s="360"/>
      <c r="I65" s="6">
        <f t="shared" si="3"/>
        <v>4.6704991456E7</v>
      </c>
    </row>
    <row r="66" spans="8:8">
      <c r="A66" s="3" t="s">
        <v>75</v>
      </c>
      <c r="B66" s="4" t="s">
        <v>65</v>
      </c>
      <c r="C66" s="93">
        <v>1.0</v>
      </c>
      <c r="D66" s="93">
        <v>4.8118798728E7</v>
      </c>
      <c r="E66" s="372">
        <v>2417374.0</v>
      </c>
      <c r="F66" s="372">
        <v>3626048.0</v>
      </c>
      <c r="G66" s="372">
        <v>9467313.0</v>
      </c>
      <c r="H66" s="360"/>
      <c r="I66" s="6">
        <f t="shared" si="3"/>
        <v>6.3629534728E7</v>
      </c>
    </row>
    <row r="67" spans="8:8">
      <c r="A67" s="3" t="s">
        <v>76</v>
      </c>
      <c r="B67" s="4" t="s">
        <v>65</v>
      </c>
      <c r="C67" s="93">
        <v>1.0</v>
      </c>
      <c r="D67" s="93">
        <v>2.9313749555999998E7</v>
      </c>
      <c r="E67" s="372">
        <v>2417374.0</v>
      </c>
      <c r="F67" s="372">
        <v>3626048.0</v>
      </c>
      <c r="G67" s="372">
        <v>9467313.0</v>
      </c>
      <c r="H67" s="360"/>
      <c r="I67" s="6">
        <f t="shared" si="3"/>
        <v>4.4824485555999994E7</v>
      </c>
    </row>
    <row r="68" spans="8:8">
      <c r="A68" s="3" t="s">
        <v>77</v>
      </c>
      <c r="B68" s="4" t="s">
        <v>65</v>
      </c>
      <c r="C68" s="93">
        <v>1.0</v>
      </c>
      <c r="D68" s="93">
        <v>3.1194255456000004E7</v>
      </c>
      <c r="E68" s="372">
        <v>2417374.0</v>
      </c>
      <c r="F68" s="372">
        <v>3626048.0</v>
      </c>
      <c r="G68" s="372">
        <v>9467313.0</v>
      </c>
      <c r="H68" s="360"/>
      <c r="I68" s="6">
        <f t="shared" si="3"/>
        <v>4.6704991456E7</v>
      </c>
    </row>
    <row r="69" spans="8:8">
      <c r="A69" s="3" t="s">
        <v>78</v>
      </c>
      <c r="B69" s="4" t="s">
        <v>65</v>
      </c>
      <c r="C69" s="93">
        <v>1.0</v>
      </c>
      <c r="D69" s="93">
        <v>3.4512794316E7</v>
      </c>
      <c r="E69" s="372">
        <v>2417374.0</v>
      </c>
      <c r="F69" s="372">
        <v>3626048.0</v>
      </c>
      <c r="G69" s="372">
        <v>9467313.0</v>
      </c>
      <c r="H69" s="360"/>
      <c r="I69" s="6">
        <f t="shared" si="3"/>
        <v>5.0023530316E7</v>
      </c>
    </row>
    <row r="70" spans="8:8">
      <c r="A70" s="3" t="s">
        <v>79</v>
      </c>
      <c r="B70" s="4" t="s">
        <v>65</v>
      </c>
      <c r="C70" s="93">
        <v>1.0</v>
      </c>
      <c r="D70" s="93">
        <v>3.805256473200001E7</v>
      </c>
      <c r="E70" s="372">
        <v>2417374.0</v>
      </c>
      <c r="F70" s="372">
        <v>3626048.0</v>
      </c>
      <c r="G70" s="372">
        <v>9467313.0</v>
      </c>
      <c r="H70" s="360"/>
      <c r="I70" s="6">
        <f t="shared" si="3"/>
        <v>5.356330073200001E7</v>
      </c>
    </row>
    <row r="71" spans="8:8">
      <c r="A71" s="3" t="s">
        <v>80</v>
      </c>
      <c r="B71" s="4" t="s">
        <v>65</v>
      </c>
      <c r="C71" s="93">
        <v>1.0</v>
      </c>
      <c r="D71" s="93">
        <v>2.9313749555999998E7</v>
      </c>
      <c r="E71" s="372">
        <v>2417374.0</v>
      </c>
      <c r="F71" s="372">
        <v>3626048.0</v>
      </c>
      <c r="G71" s="372">
        <v>9467313.0</v>
      </c>
      <c r="H71" s="360"/>
      <c r="I71" s="6">
        <f t="shared" si="3"/>
        <v>4.4824485555999994E7</v>
      </c>
    </row>
    <row r="72" spans="8:8">
      <c r="A72" s="3" t="s">
        <v>81</v>
      </c>
      <c r="B72" s="4" t="s">
        <v>65</v>
      </c>
      <c r="C72" s="93">
        <v>1.0</v>
      </c>
      <c r="D72" s="93">
        <v>3.1194255456000004E7</v>
      </c>
      <c r="E72" s="372">
        <v>2417374.0</v>
      </c>
      <c r="F72" s="372">
        <v>3626048.0</v>
      </c>
      <c r="G72" s="372">
        <v>9467313.0</v>
      </c>
      <c r="H72" s="360"/>
      <c r="I72" s="6">
        <f t="shared" si="3"/>
        <v>4.6704991456E7</v>
      </c>
    </row>
    <row r="73" spans="8:8">
      <c r="A73" s="3" t="s">
        <v>82</v>
      </c>
      <c r="B73" s="4" t="s">
        <v>65</v>
      </c>
      <c r="C73" s="93">
        <v>1.0</v>
      </c>
      <c r="D73" s="93">
        <v>5.8627499111999996E7</v>
      </c>
      <c r="E73" s="372">
        <v>2417374.0</v>
      </c>
      <c r="F73" s="372">
        <v>3626048.0</v>
      </c>
      <c r="G73" s="372">
        <v>9467313.0</v>
      </c>
      <c r="H73" s="360"/>
      <c r="I73" s="6">
        <f t="shared" si="3"/>
        <v>7.413823511199999E7</v>
      </c>
    </row>
    <row r="74" spans="8:8">
      <c r="A74" s="3" t="s">
        <v>83</v>
      </c>
      <c r="B74" s="4" t="s">
        <v>65</v>
      </c>
      <c r="C74" s="93">
        <v>1.0</v>
      </c>
      <c r="D74" s="93">
        <v>6.238850763599999E7</v>
      </c>
      <c r="E74" s="372">
        <v>2417374.0</v>
      </c>
      <c r="F74" s="372">
        <v>3626048.0</v>
      </c>
      <c r="G74" s="372">
        <v>9467313.0</v>
      </c>
      <c r="H74" s="360"/>
      <c r="I74" s="6">
        <f t="shared" si="3"/>
        <v>7.789924363599999E7</v>
      </c>
    </row>
    <row r="75" spans="8:8">
      <c r="A75" s="3" t="s">
        <v>84</v>
      </c>
      <c r="B75" s="4" t="s">
        <v>65</v>
      </c>
      <c r="C75" s="93">
        <v>1.0</v>
      </c>
      <c r="D75" s="93">
        <v>3.1194255456000004E7</v>
      </c>
      <c r="E75" s="372">
        <v>2417374.0</v>
      </c>
      <c r="F75" s="372">
        <v>3626048.0</v>
      </c>
      <c r="G75" s="372">
        <v>9467313.0</v>
      </c>
      <c r="H75" s="360"/>
      <c r="I75" s="6">
        <f>SUM(C75:H75)</f>
        <v>4.6704991456E7</v>
      </c>
    </row>
    <row r="76" spans="8:8">
      <c r="A76" s="3" t="s">
        <v>85</v>
      </c>
      <c r="B76" s="4" t="s">
        <v>65</v>
      </c>
      <c r="C76" s="93">
        <v>1.0</v>
      </c>
      <c r="D76" s="93">
        <v>6.238850763599999E7</v>
      </c>
      <c r="E76" s="372">
        <v>2417374.0</v>
      </c>
      <c r="F76" s="372">
        <v>3626048.0</v>
      </c>
      <c r="G76" s="372">
        <v>9467313.0</v>
      </c>
      <c r="H76" s="360"/>
      <c r="I76" s="6">
        <f>SUM(C76:H76)</f>
        <v>7.789924363599999E7</v>
      </c>
    </row>
    <row r="77" spans="8:8">
      <c r="A77" s="15" t="s">
        <v>86</v>
      </c>
      <c r="B77" s="16" t="s">
        <v>65</v>
      </c>
      <c r="C77" s="93">
        <v>1.0</v>
      </c>
      <c r="D77" s="93">
        <v>3.1194255456000004E7</v>
      </c>
      <c r="E77" s="372">
        <v>2417374.0</v>
      </c>
      <c r="F77" s="372">
        <v>3626048.0</v>
      </c>
      <c r="G77" s="372">
        <v>9467313.0</v>
      </c>
      <c r="H77" s="360"/>
      <c r="I77" s="6">
        <f t="shared" si="4" ref="I77:I114">SUM(C77:G77)</f>
        <v>4.6704991456E7</v>
      </c>
    </row>
    <row r="78" spans="8:8" s="49" ht="15.0" customFormat="1">
      <c r="A78" s="15" t="s">
        <v>87</v>
      </c>
      <c r="B78" s="16" t="s">
        <v>65</v>
      </c>
      <c r="C78" s="93">
        <v>1.0</v>
      </c>
      <c r="D78" s="93">
        <v>3.4512794316E7</v>
      </c>
      <c r="E78" s="372">
        <v>2417374.0</v>
      </c>
      <c r="F78" s="372">
        <v>3626048.0</v>
      </c>
      <c r="G78" s="372">
        <v>9467313.0</v>
      </c>
      <c r="H78" s="360"/>
      <c r="I78" s="17">
        <f t="shared" si="4"/>
        <v>5.0023530316E7</v>
      </c>
    </row>
    <row r="79" spans="8:8">
      <c r="A79" s="15" t="s">
        <v>88</v>
      </c>
      <c r="B79" s="16" t="s">
        <v>65</v>
      </c>
      <c r="C79" s="93">
        <v>1.0</v>
      </c>
      <c r="D79" s="93">
        <v>3.805256473200001E7</v>
      </c>
      <c r="E79" s="372">
        <v>2417374.0</v>
      </c>
      <c r="F79" s="372">
        <v>3626048.0</v>
      </c>
      <c r="G79" s="372">
        <v>9467313.0</v>
      </c>
      <c r="H79" s="360"/>
      <c r="I79" s="6">
        <f t="shared" si="4"/>
        <v>5.356330073200001E7</v>
      </c>
    </row>
    <row r="80" spans="8:8">
      <c r="A80" s="15" t="s">
        <v>89</v>
      </c>
      <c r="B80" s="16" t="s">
        <v>65</v>
      </c>
      <c r="C80" s="93">
        <v>1.0</v>
      </c>
      <c r="D80" s="93">
        <v>4.3140992076E7</v>
      </c>
      <c r="E80" s="372">
        <v>2417374.0</v>
      </c>
      <c r="F80" s="372">
        <v>3626048.0</v>
      </c>
      <c r="G80" s="372">
        <v>9467313.0</v>
      </c>
      <c r="H80" s="360"/>
      <c r="I80" s="6">
        <f t="shared" si="4"/>
        <v>5.8651728076E7</v>
      </c>
    </row>
    <row r="81" spans="8:8">
      <c r="A81" s="15" t="s">
        <v>90</v>
      </c>
      <c r="B81" s="16" t="s">
        <v>65</v>
      </c>
      <c r="C81" s="93">
        <v>1.0</v>
      </c>
      <c r="D81" s="93">
        <v>4.6348910244E7</v>
      </c>
      <c r="E81" s="372">
        <v>2417374.0</v>
      </c>
      <c r="F81" s="372">
        <v>3626048.0</v>
      </c>
      <c r="G81" s="372">
        <v>9467313.0</v>
      </c>
      <c r="H81" s="360"/>
      <c r="I81" s="6">
        <f t="shared" si="4"/>
        <v>6.1859646244E7</v>
      </c>
    </row>
    <row r="82" spans="8:8">
      <c r="A82" s="15" t="s">
        <v>91</v>
      </c>
      <c r="B82" s="16" t="s">
        <v>65</v>
      </c>
      <c r="C82" s="93">
        <v>1.0</v>
      </c>
      <c r="D82" s="93">
        <v>4.9114358747999996E7</v>
      </c>
      <c r="E82" s="372">
        <v>2417374.0</v>
      </c>
      <c r="F82" s="372">
        <v>3626048.0</v>
      </c>
      <c r="G82" s="372">
        <v>9467313.0</v>
      </c>
      <c r="H82" s="360"/>
      <c r="I82" s="6">
        <f t="shared" si="4"/>
        <v>6.4625094747999996E7</v>
      </c>
    </row>
    <row r="83" spans="8:8">
      <c r="A83" s="15" t="s">
        <v>92</v>
      </c>
      <c r="B83" s="16" t="s">
        <v>65</v>
      </c>
      <c r="C83" s="93">
        <v>1.0</v>
      </c>
      <c r="D83" s="93">
        <v>2.9313749555999998E7</v>
      </c>
      <c r="E83" s="372">
        <v>2417374.0</v>
      </c>
      <c r="F83" s="372">
        <v>3626048.0</v>
      </c>
      <c r="G83" s="372">
        <v>9467313.0</v>
      </c>
      <c r="H83" s="360"/>
      <c r="I83" s="6">
        <f t="shared" si="4"/>
        <v>4.4824485555999994E7</v>
      </c>
    </row>
    <row r="84" spans="8:8">
      <c r="A84" s="15" t="s">
        <v>93</v>
      </c>
      <c r="B84" s="16" t="s">
        <v>65</v>
      </c>
      <c r="C84" s="93">
        <v>1.0</v>
      </c>
      <c r="D84" s="93">
        <v>3.1194255456000004E7</v>
      </c>
      <c r="E84" s="372">
        <v>2417374.0</v>
      </c>
      <c r="F84" s="372">
        <v>3626048.0</v>
      </c>
      <c r="G84" s="372">
        <v>9467313.0</v>
      </c>
      <c r="H84" s="360"/>
      <c r="I84" s="6">
        <f t="shared" si="4"/>
        <v>4.6704991456E7</v>
      </c>
    </row>
    <row r="85" spans="8:8">
      <c r="A85" s="15" t="s">
        <v>94</v>
      </c>
      <c r="B85" s="16" t="s">
        <v>65</v>
      </c>
      <c r="C85" s="93">
        <v>1.0</v>
      </c>
      <c r="D85" s="93">
        <v>3.805256473200001E7</v>
      </c>
      <c r="E85" s="372">
        <v>2417374.0</v>
      </c>
      <c r="F85" s="372">
        <v>3626048.0</v>
      </c>
      <c r="G85" s="372">
        <v>9467313.0</v>
      </c>
      <c r="H85" s="360"/>
      <c r="I85" s="6">
        <f t="shared" si="4"/>
        <v>5.356330073200001E7</v>
      </c>
    </row>
    <row r="86" spans="8:8">
      <c r="A86" s="15" t="s">
        <v>95</v>
      </c>
      <c r="B86" s="16" t="s">
        <v>65</v>
      </c>
      <c r="C86" s="93">
        <v>1.0</v>
      </c>
      <c r="D86" s="93">
        <v>3.1194255456000004E7</v>
      </c>
      <c r="E86" s="372">
        <v>2417374.0</v>
      </c>
      <c r="F86" s="372">
        <v>3626048.0</v>
      </c>
      <c r="G86" s="372">
        <v>9467313.0</v>
      </c>
      <c r="H86" s="360"/>
      <c r="I86" s="6">
        <f t="shared" si="4"/>
        <v>4.6704991456E7</v>
      </c>
    </row>
    <row r="87" spans="8:8">
      <c r="A87" s="15" t="s">
        <v>96</v>
      </c>
      <c r="B87" s="16" t="s">
        <v>65</v>
      </c>
      <c r="C87" s="93">
        <v>1.0</v>
      </c>
      <c r="D87" s="93">
        <v>3.805256473200001E7</v>
      </c>
      <c r="E87" s="372">
        <v>2417374.0</v>
      </c>
      <c r="F87" s="372">
        <v>3626048.0</v>
      </c>
      <c r="G87" s="372">
        <v>9467313.0</v>
      </c>
      <c r="H87" s="360"/>
      <c r="I87" s="6">
        <f t="shared" si="4"/>
        <v>5.356330073200001E7</v>
      </c>
    </row>
    <row r="88" spans="8:8">
      <c r="A88" s="15" t="s">
        <v>97</v>
      </c>
      <c r="B88" s="16" t="s">
        <v>65</v>
      </c>
      <c r="C88" s="93">
        <v>1.0</v>
      </c>
      <c r="D88" s="93">
        <v>2.9313749555999998E7</v>
      </c>
      <c r="E88" s="372">
        <v>2417374.0</v>
      </c>
      <c r="F88" s="372">
        <v>3626048.0</v>
      </c>
      <c r="G88" s="372">
        <v>9467313.0</v>
      </c>
      <c r="H88" s="360"/>
      <c r="I88" s="6">
        <f t="shared" si="4"/>
        <v>4.4824485555999994E7</v>
      </c>
    </row>
    <row r="89" spans="8:8">
      <c r="A89" s="15" t="s">
        <v>98</v>
      </c>
      <c r="B89" s="16" t="s">
        <v>65</v>
      </c>
      <c r="C89" s="93">
        <v>1.0</v>
      </c>
      <c r="D89" s="93">
        <v>3.1194255456000004E7</v>
      </c>
      <c r="E89" s="372">
        <v>2417374.0</v>
      </c>
      <c r="F89" s="372">
        <v>3626048.0</v>
      </c>
      <c r="G89" s="372">
        <v>9467313.0</v>
      </c>
      <c r="H89" s="360"/>
      <c r="I89" s="6">
        <f t="shared" si="4"/>
        <v>4.6704991456E7</v>
      </c>
    </row>
    <row r="90" spans="8:8" s="49" ht="15.0" customFormat="1">
      <c r="A90" s="15" t="s">
        <v>99</v>
      </c>
      <c r="B90" s="16" t="s">
        <v>65</v>
      </c>
      <c r="C90" s="93">
        <v>1.0</v>
      </c>
      <c r="D90" s="93">
        <v>3.805256473200001E7</v>
      </c>
      <c r="E90" s="372">
        <v>2417374.0</v>
      </c>
      <c r="F90" s="372">
        <v>3626048.0</v>
      </c>
      <c r="G90" s="372">
        <v>9467313.0</v>
      </c>
      <c r="H90" s="360"/>
      <c r="I90" s="6">
        <f t="shared" si="4"/>
        <v>5.356330073200001E7</v>
      </c>
    </row>
    <row r="91" spans="8:8">
      <c r="A91" s="15" t="s">
        <v>100</v>
      </c>
      <c r="B91" s="16" t="s">
        <v>65</v>
      </c>
      <c r="C91" s="93">
        <v>1.0</v>
      </c>
      <c r="D91" s="93">
        <v>4.6348910244E7</v>
      </c>
      <c r="E91" s="372">
        <v>2417374.0</v>
      </c>
      <c r="F91" s="372">
        <v>3626048.0</v>
      </c>
      <c r="G91" s="372">
        <v>9467313.0</v>
      </c>
      <c r="H91" s="360"/>
      <c r="I91" s="6">
        <f t="shared" si="4"/>
        <v>6.1859646244E7</v>
      </c>
    </row>
    <row r="92" spans="8:8">
      <c r="A92" s="15" t="s">
        <v>101</v>
      </c>
      <c r="B92" s="16" t="s">
        <v>65</v>
      </c>
      <c r="C92" s="93">
        <v>1.0</v>
      </c>
      <c r="D92" s="93">
        <v>4.9114358747999996E7</v>
      </c>
      <c r="E92" s="372">
        <v>2417374.0</v>
      </c>
      <c r="F92" s="372">
        <v>3626048.0</v>
      </c>
      <c r="G92" s="372">
        <v>9467313.0</v>
      </c>
      <c r="H92" s="360"/>
      <c r="I92" s="6">
        <f t="shared" si="4"/>
        <v>6.4625094747999996E7</v>
      </c>
    </row>
    <row r="93" spans="8:8">
      <c r="A93" s="15" t="s">
        <v>102</v>
      </c>
      <c r="B93" s="16" t="s">
        <v>65</v>
      </c>
      <c r="C93" s="93">
        <v>1.0</v>
      </c>
      <c r="D93" s="93">
        <v>3.0862399932000004E7</v>
      </c>
      <c r="E93" s="372">
        <v>2417374.0</v>
      </c>
      <c r="F93" s="372">
        <v>3626048.0</v>
      </c>
      <c r="G93" s="372">
        <v>9467313.0</v>
      </c>
      <c r="H93" s="360"/>
      <c r="I93" s="6">
        <f t="shared" si="4"/>
        <v>4.6373135932000004E7</v>
      </c>
    </row>
    <row r="94" spans="8:8">
      <c r="A94" s="15" t="s">
        <v>103</v>
      </c>
      <c r="B94" s="16" t="s">
        <v>65</v>
      </c>
      <c r="C94" s="93">
        <v>1.0</v>
      </c>
      <c r="D94" s="93">
        <v>2.9313749555999998E7</v>
      </c>
      <c r="E94" s="372">
        <v>2417374.0</v>
      </c>
      <c r="F94" s="372">
        <v>3626048.0</v>
      </c>
      <c r="G94" s="372">
        <v>9467313.0</v>
      </c>
      <c r="H94" s="360"/>
      <c r="I94" s="6">
        <f t="shared" si="4"/>
        <v>4.4824485555999994E7</v>
      </c>
    </row>
    <row r="95" spans="8:8">
      <c r="A95" s="15" t="s">
        <v>104</v>
      </c>
      <c r="B95" s="16" t="s">
        <v>65</v>
      </c>
      <c r="C95" s="93">
        <v>1.0</v>
      </c>
      <c r="D95" s="93">
        <v>3.1194255456000004E7</v>
      </c>
      <c r="E95" s="372">
        <v>2417374.0</v>
      </c>
      <c r="F95" s="372">
        <v>3626048.0</v>
      </c>
      <c r="G95" s="372">
        <v>9467313.0</v>
      </c>
      <c r="H95" s="360"/>
      <c r="I95" s="6">
        <f t="shared" si="4"/>
        <v>4.6704991456E7</v>
      </c>
    </row>
    <row r="96" spans="8:8" s="49" ht="15.0" customFormat="1">
      <c r="A96" s="3" t="s">
        <v>105</v>
      </c>
      <c r="B96" s="4" t="s">
        <v>65</v>
      </c>
      <c r="C96" s="93">
        <v>1.0</v>
      </c>
      <c r="D96" s="93">
        <v>3.4512794316E7</v>
      </c>
      <c r="E96" s="372">
        <v>2417374.0</v>
      </c>
      <c r="F96" s="372">
        <v>3626048.0</v>
      </c>
      <c r="G96" s="372">
        <v>9467313.0</v>
      </c>
      <c r="H96" s="360"/>
      <c r="I96" s="17">
        <f t="shared" si="4"/>
        <v>5.0023530316E7</v>
      </c>
    </row>
    <row r="97" spans="8:8">
      <c r="A97" s="3" t="s">
        <v>108</v>
      </c>
      <c r="B97" s="4" t="s">
        <v>65</v>
      </c>
      <c r="C97" s="93">
        <v>1.0</v>
      </c>
      <c r="D97" s="93">
        <v>3.1194255456000004E7</v>
      </c>
      <c r="E97" s="372">
        <v>2417374.0</v>
      </c>
      <c r="F97" s="372">
        <v>3626048.0</v>
      </c>
      <c r="G97" s="372">
        <v>9467313.0</v>
      </c>
      <c r="H97" s="360"/>
      <c r="I97" s="6">
        <f t="shared" si="4"/>
        <v>4.6704991456E7</v>
      </c>
    </row>
    <row r="98" spans="8:8">
      <c r="A98" s="3" t="s">
        <v>109</v>
      </c>
      <c r="B98" s="4" t="s">
        <v>65</v>
      </c>
      <c r="C98" s="93">
        <v>1.0</v>
      </c>
      <c r="D98" s="93">
        <v>3.4512794316E7</v>
      </c>
      <c r="E98" s="372">
        <v>2417374.0</v>
      </c>
      <c r="F98" s="372">
        <v>3626048.0</v>
      </c>
      <c r="G98" s="372">
        <v>9467313.0</v>
      </c>
      <c r="H98" s="360"/>
      <c r="I98" s="6">
        <f t="shared" si="4"/>
        <v>5.0023530316E7</v>
      </c>
    </row>
    <row r="99" spans="8:8">
      <c r="A99" s="3" t="s">
        <v>110</v>
      </c>
      <c r="B99" s="4" t="s">
        <v>65</v>
      </c>
      <c r="C99" s="93">
        <v>1.01893195404E8</v>
      </c>
      <c r="D99" s="93">
        <v>2.8650041784E7</v>
      </c>
      <c r="E99" s="372">
        <v>2417374.0</v>
      </c>
      <c r="F99" s="372">
        <v>3626048.0</v>
      </c>
      <c r="G99" s="372">
        <v>9467313.0</v>
      </c>
      <c r="H99" s="360"/>
      <c r="I99" s="6">
        <f t="shared" si="4"/>
        <v>1.46053972188E8</v>
      </c>
    </row>
    <row r="100" spans="8:8">
      <c r="A100" s="3" t="s">
        <v>111</v>
      </c>
      <c r="B100" s="4" t="s">
        <v>65</v>
      </c>
      <c r="C100" s="93">
        <v>1.0</v>
      </c>
      <c r="D100" s="93">
        <v>2.9313749555999998E7</v>
      </c>
      <c r="E100" s="372">
        <v>2417374.0</v>
      </c>
      <c r="F100" s="372">
        <v>3626048.0</v>
      </c>
      <c r="G100" s="372">
        <v>9467313.0</v>
      </c>
      <c r="H100" s="360"/>
      <c r="I100" s="6">
        <f t="shared" si="4"/>
        <v>4.4824485555999994E7</v>
      </c>
    </row>
    <row r="101" spans="8:8">
      <c r="A101" s="3" t="s">
        <v>112</v>
      </c>
      <c r="B101" s="4" t="s">
        <v>65</v>
      </c>
      <c r="C101" s="93">
        <v>1.0</v>
      </c>
      <c r="D101" s="93">
        <v>3.1194255456000004E7</v>
      </c>
      <c r="E101" s="372">
        <v>2417374.0</v>
      </c>
      <c r="F101" s="372">
        <v>3626048.0</v>
      </c>
      <c r="G101" s="372">
        <v>9467313.0</v>
      </c>
      <c r="H101" s="360"/>
      <c r="I101" s="6">
        <f t="shared" si="4"/>
        <v>4.6704991456E7</v>
      </c>
    </row>
    <row r="102" spans="8:8">
      <c r="A102" s="3" t="s">
        <v>113</v>
      </c>
      <c r="B102" s="4" t="s">
        <v>65</v>
      </c>
      <c r="C102" s="93">
        <v>1.0</v>
      </c>
      <c r="D102" s="93">
        <v>3.4512794316E7</v>
      </c>
      <c r="E102" s="372">
        <v>2417374.0</v>
      </c>
      <c r="F102" s="372">
        <v>3626048.0</v>
      </c>
      <c r="G102" s="372">
        <v>9467313.0</v>
      </c>
      <c r="H102" s="360"/>
      <c r="I102" s="6">
        <f t="shared" si="4"/>
        <v>5.0023530316E7</v>
      </c>
    </row>
    <row r="103" spans="8:8">
      <c r="A103" s="3" t="s">
        <v>114</v>
      </c>
      <c r="B103" s="4" t="s">
        <v>65</v>
      </c>
      <c r="C103" s="93">
        <v>1.0</v>
      </c>
      <c r="D103" s="93">
        <v>2.9313749555999998E7</v>
      </c>
      <c r="E103" s="372">
        <v>2417374.0</v>
      </c>
      <c r="F103" s="372">
        <v>3626048.0</v>
      </c>
      <c r="G103" s="372">
        <v>9467313.0</v>
      </c>
      <c r="H103" s="360"/>
      <c r="I103" s="6">
        <f t="shared" si="4"/>
        <v>4.4824485555999994E7</v>
      </c>
    </row>
    <row r="104" spans="8:8">
      <c r="A104" s="3" t="s">
        <v>115</v>
      </c>
      <c r="B104" s="4" t="s">
        <v>65</v>
      </c>
      <c r="C104" s="93">
        <v>1.0</v>
      </c>
      <c r="D104" s="93">
        <v>3.1194255456000004E7</v>
      </c>
      <c r="E104" s="372">
        <v>2417374.0</v>
      </c>
      <c r="F104" s="372">
        <v>3626048.0</v>
      </c>
      <c r="G104" s="372">
        <v>9467313.0</v>
      </c>
      <c r="H104" s="360"/>
      <c r="I104" s="6">
        <f t="shared" si="4"/>
        <v>4.6704991456E7</v>
      </c>
    </row>
    <row r="105" spans="8:8">
      <c r="A105" s="3" t="s">
        <v>116</v>
      </c>
      <c r="B105" s="4" t="s">
        <v>65</v>
      </c>
      <c r="C105" s="93">
        <v>1.0</v>
      </c>
      <c r="D105" s="93">
        <v>3.4512794316E7</v>
      </c>
      <c r="E105" s="372">
        <v>2417374.0</v>
      </c>
      <c r="F105" s="372">
        <v>3626048.0</v>
      </c>
      <c r="G105" s="372">
        <v>9467313.0</v>
      </c>
      <c r="H105" s="360"/>
      <c r="I105" s="6">
        <f t="shared" si="4"/>
        <v>5.0023530316E7</v>
      </c>
    </row>
    <row r="106" spans="8:8">
      <c r="A106" s="3" t="s">
        <v>117</v>
      </c>
      <c r="B106" s="4" t="s">
        <v>65</v>
      </c>
      <c r="C106" s="93">
        <v>1.0</v>
      </c>
      <c r="D106" s="93">
        <v>3.1194255456000004E7</v>
      </c>
      <c r="E106" s="372">
        <v>2417374.0</v>
      </c>
      <c r="F106" s="372">
        <v>3626048.0</v>
      </c>
      <c r="G106" s="372">
        <v>9467313.0</v>
      </c>
      <c r="H106" s="360"/>
      <c r="I106" s="6">
        <f t="shared" si="4"/>
        <v>4.6704991456E7</v>
      </c>
    </row>
    <row r="107" spans="8:8">
      <c r="A107" s="3" t="s">
        <v>118</v>
      </c>
      <c r="B107" s="4" t="s">
        <v>65</v>
      </c>
      <c r="C107" s="93">
        <v>1.0</v>
      </c>
      <c r="D107" s="93">
        <v>2.9313749555999998E7</v>
      </c>
      <c r="E107" s="372">
        <v>2417374.0</v>
      </c>
      <c r="F107" s="372">
        <v>3626048.0</v>
      </c>
      <c r="G107" s="372">
        <v>9467313.0</v>
      </c>
      <c r="H107" s="360"/>
      <c r="I107" s="6">
        <f t="shared" si="4"/>
        <v>4.4824485555999994E7</v>
      </c>
    </row>
    <row r="108" spans="8:8">
      <c r="A108" s="3" t="s">
        <v>119</v>
      </c>
      <c r="B108" s="4" t="s">
        <v>65</v>
      </c>
      <c r="C108" s="93">
        <v>1.0</v>
      </c>
      <c r="D108" s="93">
        <v>3.1194255456000004E7</v>
      </c>
      <c r="E108" s="372">
        <v>2417374.0</v>
      </c>
      <c r="F108" s="372">
        <v>3626048.0</v>
      </c>
      <c r="G108" s="372">
        <v>9467313.0</v>
      </c>
      <c r="H108" s="360"/>
      <c r="I108" s="6">
        <f t="shared" si="4"/>
        <v>4.6704991456E7</v>
      </c>
    </row>
    <row r="109" spans="8:8">
      <c r="A109" s="3" t="s">
        <v>120</v>
      </c>
      <c r="B109" s="4" t="s">
        <v>65</v>
      </c>
      <c r="C109" s="93">
        <v>1.0</v>
      </c>
      <c r="D109" s="93">
        <v>5.8627499111999996E7</v>
      </c>
      <c r="E109" s="372">
        <v>2417374.0</v>
      </c>
      <c r="F109" s="372">
        <v>3626048.0</v>
      </c>
      <c r="G109" s="372">
        <v>9467313.0</v>
      </c>
      <c r="H109" s="360"/>
      <c r="I109" s="6">
        <f t="shared" si="4"/>
        <v>7.413823511199999E7</v>
      </c>
    </row>
    <row r="110" spans="8:8">
      <c r="A110" s="3" t="s">
        <v>121</v>
      </c>
      <c r="B110" s="4" t="s">
        <v>65</v>
      </c>
      <c r="C110" s="93">
        <v>1.0</v>
      </c>
      <c r="D110" s="93">
        <v>6.238850763599999E7</v>
      </c>
      <c r="E110" s="372">
        <v>2417374.0</v>
      </c>
      <c r="F110" s="372">
        <v>3626048.0</v>
      </c>
      <c r="G110" s="372">
        <v>9467313.0</v>
      </c>
      <c r="H110" s="360"/>
      <c r="I110" s="6">
        <f t="shared" si="4"/>
        <v>7.789924363599999E7</v>
      </c>
    </row>
    <row r="111" spans="8:8">
      <c r="A111" s="3" t="s">
        <v>122</v>
      </c>
      <c r="B111" s="4" t="s">
        <v>65</v>
      </c>
      <c r="C111" s="93">
        <v>1.0</v>
      </c>
      <c r="D111" s="93">
        <v>2.9313749555999998E7</v>
      </c>
      <c r="E111" s="372">
        <v>2417374.0</v>
      </c>
      <c r="F111" s="372">
        <v>3626048.0</v>
      </c>
      <c r="G111" s="372">
        <v>9467313.0</v>
      </c>
      <c r="H111" s="360"/>
      <c r="I111" s="6">
        <f t="shared" si="4"/>
        <v>4.4824485555999994E7</v>
      </c>
    </row>
    <row r="112" spans="8:8">
      <c r="A112" s="3" t="s">
        <v>123</v>
      </c>
      <c r="B112" s="4" t="s">
        <v>65</v>
      </c>
      <c r="C112" s="93">
        <v>1.0</v>
      </c>
      <c r="D112" s="93">
        <v>3.1194255456000004E7</v>
      </c>
      <c r="E112" s="372">
        <v>2417374.0</v>
      </c>
      <c r="F112" s="372">
        <v>3626048.0</v>
      </c>
      <c r="G112" s="372">
        <v>9467313.0</v>
      </c>
      <c r="H112" s="360"/>
      <c r="I112" s="6">
        <f t="shared" si="4"/>
        <v>4.6704991456E7</v>
      </c>
    </row>
    <row r="113" spans="8:8">
      <c r="A113" s="3" t="s">
        <v>124</v>
      </c>
      <c r="B113" s="4" t="s">
        <v>65</v>
      </c>
      <c r="C113" s="93">
        <v>1.0</v>
      </c>
      <c r="D113" s="93">
        <v>3.4512794316E7</v>
      </c>
      <c r="E113" s="372">
        <v>2417374.0</v>
      </c>
      <c r="F113" s="372">
        <v>3626048.0</v>
      </c>
      <c r="G113" s="372">
        <v>9467313.0</v>
      </c>
      <c r="H113" s="360"/>
      <c r="I113" s="6">
        <f t="shared" si="4"/>
        <v>5.0023530316E7</v>
      </c>
    </row>
    <row r="114" spans="8:8">
      <c r="A114" s="3" t="s">
        <v>125</v>
      </c>
      <c r="B114" s="4" t="s">
        <v>65</v>
      </c>
      <c r="C114" s="93">
        <v>1.0</v>
      </c>
      <c r="D114" s="93">
        <v>3.805256473200001E7</v>
      </c>
      <c r="E114" s="372">
        <v>2417374.0</v>
      </c>
      <c r="F114" s="372">
        <v>3626048.0</v>
      </c>
      <c r="G114" s="372">
        <v>9467313.0</v>
      </c>
      <c r="H114" s="360"/>
      <c r="I114" s="6">
        <f t="shared" si="4"/>
        <v>5.356330073200001E7</v>
      </c>
    </row>
    <row r="115" spans="8:8">
      <c r="A115" s="3" t="s">
        <v>126</v>
      </c>
      <c r="B115" s="4" t="s">
        <v>65</v>
      </c>
      <c r="C115" s="93">
        <v>1.0</v>
      </c>
      <c r="D115" s="93">
        <v>4.3140992076E7</v>
      </c>
      <c r="E115" s="372">
        <v>2417374.0</v>
      </c>
      <c r="F115" s="372">
        <v>3626048.0</v>
      </c>
      <c r="G115" s="372">
        <v>9467313.0</v>
      </c>
      <c r="H115" s="360"/>
      <c r="I115" s="6">
        <f t="shared" si="5" ref="I115:I178">SUM(C115:H115)</f>
        <v>5.8651728076E7</v>
      </c>
    </row>
    <row r="116" spans="8:8">
      <c r="A116" s="3" t="s">
        <v>127</v>
      </c>
      <c r="B116" s="4" t="s">
        <v>65</v>
      </c>
      <c r="C116" s="93">
        <v>1.0</v>
      </c>
      <c r="D116" s="93">
        <v>5.8627499111999996E7</v>
      </c>
      <c r="E116" s="372">
        <v>2417374.0</v>
      </c>
      <c r="F116" s="372">
        <v>3626048.0</v>
      </c>
      <c r="G116" s="372">
        <v>9467313.0</v>
      </c>
      <c r="H116" s="360"/>
      <c r="I116" s="6">
        <f t="shared" si="5"/>
        <v>7.413823511199999E7</v>
      </c>
    </row>
    <row r="117" spans="8:8">
      <c r="A117" s="3" t="s">
        <v>128</v>
      </c>
      <c r="B117" s="4" t="s">
        <v>65</v>
      </c>
      <c r="C117" s="93">
        <v>1.0</v>
      </c>
      <c r="D117" s="93">
        <v>6.238850763599999E7</v>
      </c>
      <c r="E117" s="372">
        <v>2417374.0</v>
      </c>
      <c r="F117" s="372">
        <v>3626048.0</v>
      </c>
      <c r="G117" s="372">
        <v>9467313.0</v>
      </c>
      <c r="H117" s="360"/>
      <c r="I117" s="6">
        <f t="shared" si="5"/>
        <v>7.789924363599999E7</v>
      </c>
    </row>
    <row r="118" spans="8:8">
      <c r="A118" s="3" t="s">
        <v>129</v>
      </c>
      <c r="B118" s="4" t="s">
        <v>65</v>
      </c>
      <c r="C118" s="93">
        <v>1.0</v>
      </c>
      <c r="D118" s="93">
        <v>6.9025585356E7</v>
      </c>
      <c r="E118" s="372">
        <v>2417374.0</v>
      </c>
      <c r="F118" s="372">
        <v>3626048.0</v>
      </c>
      <c r="G118" s="372">
        <v>9467313.0</v>
      </c>
      <c r="H118" s="360"/>
      <c r="I118" s="6">
        <f t="shared" si="5"/>
        <v>8.4536321356E7</v>
      </c>
    </row>
    <row r="119" spans="8:8">
      <c r="A119" s="3" t="s">
        <v>130</v>
      </c>
      <c r="B119" s="4" t="s">
        <v>65</v>
      </c>
      <c r="C119" s="93">
        <v>1.0</v>
      </c>
      <c r="D119" s="93">
        <v>7.610512946400002E7</v>
      </c>
      <c r="E119" s="372">
        <v>2417374.0</v>
      </c>
      <c r="F119" s="372">
        <v>3626048.0</v>
      </c>
      <c r="G119" s="372">
        <v>9467313.0</v>
      </c>
      <c r="H119" s="360"/>
      <c r="I119" s="6">
        <f t="shared" si="5"/>
        <v>9.161586546400002E7</v>
      </c>
    </row>
    <row r="120" spans="8:8">
      <c r="A120" s="3" t="s">
        <v>131</v>
      </c>
      <c r="B120" s="4" t="s">
        <v>65</v>
      </c>
      <c r="C120" s="93">
        <v>1.0</v>
      </c>
      <c r="D120" s="93">
        <v>8.6281980876E7</v>
      </c>
      <c r="E120" s="372">
        <v>2417374.0</v>
      </c>
      <c r="F120" s="372">
        <v>3626048.0</v>
      </c>
      <c r="G120" s="372">
        <v>9467313.0</v>
      </c>
      <c r="H120" s="360"/>
      <c r="I120" s="6">
        <f t="shared" si="5"/>
        <v>1.01792716876E8</v>
      </c>
    </row>
    <row r="121" spans="8:8">
      <c r="A121" s="3" t="s">
        <v>132</v>
      </c>
      <c r="B121" s="4" t="s">
        <v>65</v>
      </c>
      <c r="C121" s="93">
        <v>1.0</v>
      </c>
      <c r="D121" s="93">
        <v>2.9313749555999998E7</v>
      </c>
      <c r="E121" s="372">
        <v>2417374.0</v>
      </c>
      <c r="F121" s="372">
        <v>3626048.0</v>
      </c>
      <c r="G121" s="372">
        <v>9467313.0</v>
      </c>
      <c r="H121" s="360"/>
      <c r="I121" s="6">
        <f t="shared" si="5"/>
        <v>4.4824485555999994E7</v>
      </c>
    </row>
    <row r="122" spans="8:8">
      <c r="A122" s="3" t="s">
        <v>133</v>
      </c>
      <c r="B122" s="4" t="s">
        <v>65</v>
      </c>
      <c r="C122" s="93">
        <v>1.0</v>
      </c>
      <c r="D122" s="93">
        <v>3.1194255456000004E7</v>
      </c>
      <c r="E122" s="372">
        <v>2417374.0</v>
      </c>
      <c r="F122" s="372">
        <v>3626048.0</v>
      </c>
      <c r="G122" s="372">
        <v>9467313.0</v>
      </c>
      <c r="H122" s="360"/>
      <c r="I122" s="6">
        <f t="shared" si="5"/>
        <v>4.6704991456E7</v>
      </c>
    </row>
    <row r="123" spans="8:8">
      <c r="A123" s="3" t="s">
        <v>134</v>
      </c>
      <c r="B123" s="4" t="s">
        <v>65</v>
      </c>
      <c r="C123" s="93">
        <v>1.0</v>
      </c>
      <c r="D123" s="93">
        <v>3.4512794316E7</v>
      </c>
      <c r="E123" s="372">
        <v>2417374.0</v>
      </c>
      <c r="F123" s="372">
        <v>3626048.0</v>
      </c>
      <c r="G123" s="372">
        <v>9467313.0</v>
      </c>
      <c r="H123" s="360"/>
      <c r="I123" s="6">
        <f t="shared" si="5"/>
        <v>5.0023530316E7</v>
      </c>
    </row>
    <row r="124" spans="8:8">
      <c r="A124" s="3" t="s">
        <v>135</v>
      </c>
      <c r="B124" s="4" t="s">
        <v>65</v>
      </c>
      <c r="C124" s="93">
        <v>1.0</v>
      </c>
      <c r="D124" s="93">
        <v>2.9313749555999998E7</v>
      </c>
      <c r="E124" s="372">
        <v>2417374.0</v>
      </c>
      <c r="F124" s="372">
        <v>3626048.0</v>
      </c>
      <c r="G124" s="372">
        <v>9467313.0</v>
      </c>
      <c r="H124" s="360"/>
      <c r="I124" s="6">
        <f t="shared" si="5"/>
        <v>4.4824485555999994E7</v>
      </c>
    </row>
    <row r="125" spans="8:8">
      <c r="A125" s="3" t="s">
        <v>136</v>
      </c>
      <c r="B125" s="4" t="s">
        <v>65</v>
      </c>
      <c r="C125" s="93">
        <v>1.0</v>
      </c>
      <c r="D125" s="93">
        <v>3.1194255456000004E7</v>
      </c>
      <c r="E125" s="372">
        <v>2417374.0</v>
      </c>
      <c r="F125" s="372">
        <v>3626048.0</v>
      </c>
      <c r="G125" s="372">
        <v>9467313.0</v>
      </c>
      <c r="H125" s="360"/>
      <c r="I125" s="6">
        <f t="shared" si="5"/>
        <v>4.6704991456E7</v>
      </c>
    </row>
    <row r="126" spans="8:8">
      <c r="A126" s="3" t="s">
        <v>137</v>
      </c>
      <c r="B126" s="4" t="s">
        <v>65</v>
      </c>
      <c r="C126" s="93">
        <v>1.0</v>
      </c>
      <c r="D126" s="93">
        <v>5.8627499111999996E7</v>
      </c>
      <c r="E126" s="372">
        <v>2417374.0</v>
      </c>
      <c r="F126" s="372">
        <v>3626048.0</v>
      </c>
      <c r="G126" s="372">
        <v>9467313.0</v>
      </c>
      <c r="H126" s="360"/>
      <c r="I126" s="6">
        <f t="shared" si="5"/>
        <v>7.413823511199999E7</v>
      </c>
    </row>
    <row r="127" spans="8:8">
      <c r="A127" s="3" t="s">
        <v>138</v>
      </c>
      <c r="B127" s="4" t="s">
        <v>65</v>
      </c>
      <c r="C127" s="93">
        <v>1.0</v>
      </c>
      <c r="D127" s="93">
        <v>6.238850763599999E7</v>
      </c>
      <c r="E127" s="372">
        <v>2417374.0</v>
      </c>
      <c r="F127" s="372">
        <v>3626048.0</v>
      </c>
      <c r="G127" s="372">
        <v>9467313.0</v>
      </c>
      <c r="H127" s="360"/>
      <c r="I127" s="6">
        <f t="shared" si="5"/>
        <v>7.789924363599999E7</v>
      </c>
    </row>
    <row r="128" spans="8:8">
      <c r="A128" s="3" t="s">
        <v>139</v>
      </c>
      <c r="B128" s="4" t="s">
        <v>65</v>
      </c>
      <c r="C128" s="93">
        <v>1.0</v>
      </c>
      <c r="D128" s="93">
        <v>2.9313749555999998E7</v>
      </c>
      <c r="E128" s="372">
        <v>2417374.0</v>
      </c>
      <c r="F128" s="372">
        <v>3626048.0</v>
      </c>
      <c r="G128" s="372">
        <v>9467313.0</v>
      </c>
      <c r="H128" s="360"/>
      <c r="I128" s="6">
        <f t="shared" si="5"/>
        <v>4.4824485555999994E7</v>
      </c>
    </row>
    <row r="129" spans="8:8">
      <c r="A129" s="3" t="s">
        <v>140</v>
      </c>
      <c r="B129" s="4" t="s">
        <v>65</v>
      </c>
      <c r="C129" s="93">
        <v>1.0</v>
      </c>
      <c r="D129" s="93">
        <v>3.1194255456000004E7</v>
      </c>
      <c r="E129" s="372">
        <v>2417374.0</v>
      </c>
      <c r="F129" s="372">
        <v>3626048.0</v>
      </c>
      <c r="G129" s="372">
        <v>9467313.0</v>
      </c>
      <c r="H129" s="360"/>
      <c r="I129" s="6">
        <f t="shared" si="5"/>
        <v>4.6704991456E7</v>
      </c>
    </row>
    <row r="130" spans="8:8">
      <c r="A130" s="3" t="s">
        <v>141</v>
      </c>
      <c r="B130" s="4" t="s">
        <v>65</v>
      </c>
      <c r="C130" s="93">
        <v>1.0</v>
      </c>
      <c r="D130" s="93">
        <v>3.4512794316E7</v>
      </c>
      <c r="E130" s="372">
        <v>2417374.0</v>
      </c>
      <c r="F130" s="372">
        <v>3626048.0</v>
      </c>
      <c r="G130" s="372">
        <v>9467313.0</v>
      </c>
      <c r="H130" s="360"/>
      <c r="I130" s="6">
        <f t="shared" si="5"/>
        <v>5.0023530316E7</v>
      </c>
    </row>
    <row r="131" spans="8:8">
      <c r="A131" s="3" t="s">
        <v>142</v>
      </c>
      <c r="B131" s="4" t="s">
        <v>65</v>
      </c>
      <c r="C131" s="93">
        <v>1.0</v>
      </c>
      <c r="D131" s="93">
        <v>5.8627499111999996E7</v>
      </c>
      <c r="E131" s="372">
        <v>2417374.0</v>
      </c>
      <c r="F131" s="372">
        <v>3626048.0</v>
      </c>
      <c r="G131" s="372">
        <v>9467313.0</v>
      </c>
      <c r="H131" s="360"/>
      <c r="I131" s="6">
        <f t="shared" si="5"/>
        <v>7.413823511199999E7</v>
      </c>
    </row>
    <row r="132" spans="8:8">
      <c r="A132" s="3" t="s">
        <v>143</v>
      </c>
      <c r="B132" s="4" t="s">
        <v>65</v>
      </c>
      <c r="C132" s="93">
        <v>1.0</v>
      </c>
      <c r="D132" s="93">
        <v>6.238850763599999E7</v>
      </c>
      <c r="E132" s="372">
        <v>2417374.0</v>
      </c>
      <c r="F132" s="372">
        <v>3626048.0</v>
      </c>
      <c r="G132" s="372">
        <v>9467313.0</v>
      </c>
      <c r="H132" s="360"/>
      <c r="I132" s="6">
        <f t="shared" si="5"/>
        <v>7.789924363599999E7</v>
      </c>
    </row>
    <row r="133" spans="8:8">
      <c r="A133" s="3" t="s">
        <v>144</v>
      </c>
      <c r="B133" s="4" t="s">
        <v>65</v>
      </c>
      <c r="C133" s="93">
        <v>1.0</v>
      </c>
      <c r="D133" s="93">
        <v>6.9025585356E7</v>
      </c>
      <c r="E133" s="372">
        <v>2417374.0</v>
      </c>
      <c r="F133" s="372">
        <v>3626048.0</v>
      </c>
      <c r="G133" s="372">
        <v>9467313.0</v>
      </c>
      <c r="H133" s="360"/>
      <c r="I133" s="6">
        <f t="shared" si="5"/>
        <v>8.4536321356E7</v>
      </c>
    </row>
    <row r="134" spans="8:8">
      <c r="A134" s="3" t="s">
        <v>145</v>
      </c>
      <c r="B134" s="4" t="s">
        <v>65</v>
      </c>
      <c r="C134" s="93">
        <v>1.0</v>
      </c>
      <c r="D134" s="93">
        <v>2.9313749555999998E7</v>
      </c>
      <c r="E134" s="372">
        <v>2417374.0</v>
      </c>
      <c r="F134" s="372">
        <v>3626048.0</v>
      </c>
      <c r="G134" s="372">
        <v>9467313.0</v>
      </c>
      <c r="H134" s="360"/>
      <c r="I134" s="6">
        <f t="shared" si="5"/>
        <v>4.4824485555999994E7</v>
      </c>
    </row>
    <row r="135" spans="8:8">
      <c r="A135" s="3" t="s">
        <v>146</v>
      </c>
      <c r="B135" s="4" t="s">
        <v>65</v>
      </c>
      <c r="C135" s="93">
        <v>1.0</v>
      </c>
      <c r="D135" s="93">
        <v>3.1194255456000004E7</v>
      </c>
      <c r="E135" s="372">
        <v>2417374.0</v>
      </c>
      <c r="F135" s="372">
        <v>3626048.0</v>
      </c>
      <c r="G135" s="372">
        <v>9467313.0</v>
      </c>
      <c r="H135" s="360"/>
      <c r="I135" s="6">
        <f t="shared" si="5"/>
        <v>4.6704991456E7</v>
      </c>
    </row>
    <row r="136" spans="8:8">
      <c r="A136" s="3" t="s">
        <v>147</v>
      </c>
      <c r="B136" s="4" t="s">
        <v>65</v>
      </c>
      <c r="C136" s="93">
        <v>1.0</v>
      </c>
      <c r="D136" s="93">
        <v>3.4512794316E7</v>
      </c>
      <c r="E136" s="372">
        <v>2417374.0</v>
      </c>
      <c r="F136" s="372">
        <v>3626048.0</v>
      </c>
      <c r="G136" s="372">
        <v>9467313.0</v>
      </c>
      <c r="H136" s="360"/>
      <c r="I136" s="6">
        <f t="shared" si="5"/>
        <v>5.0023530316E7</v>
      </c>
    </row>
    <row r="137" spans="8:8">
      <c r="A137" s="3" t="s">
        <v>148</v>
      </c>
      <c r="B137" s="4" t="s">
        <v>65</v>
      </c>
      <c r="C137" s="93">
        <v>1.0</v>
      </c>
      <c r="D137" s="93">
        <v>3.1194255456000004E7</v>
      </c>
      <c r="E137" s="372">
        <v>2417374.0</v>
      </c>
      <c r="F137" s="372">
        <v>3626048.0</v>
      </c>
      <c r="G137" s="372">
        <v>9467313.0</v>
      </c>
      <c r="H137" s="360"/>
      <c r="I137" s="6">
        <f t="shared" si="5"/>
        <v>4.6704991456E7</v>
      </c>
    </row>
    <row r="138" spans="8:8">
      <c r="A138" s="3" t="s">
        <v>149</v>
      </c>
      <c r="B138" s="4" t="s">
        <v>65</v>
      </c>
      <c r="C138" s="93">
        <v>1.0</v>
      </c>
      <c r="D138" s="93">
        <v>3.4512794316E7</v>
      </c>
      <c r="E138" s="372">
        <v>2417374.0</v>
      </c>
      <c r="F138" s="372">
        <v>3626048.0</v>
      </c>
      <c r="G138" s="372">
        <v>9467313.0</v>
      </c>
      <c r="H138" s="360"/>
      <c r="I138" s="6">
        <f t="shared" si="5"/>
        <v>5.0023530316E7</v>
      </c>
    </row>
    <row r="139" spans="8:8">
      <c r="A139" s="3" t="s">
        <v>150</v>
      </c>
      <c r="B139" s="4" t="s">
        <v>65</v>
      </c>
      <c r="C139" s="93">
        <v>1.0</v>
      </c>
      <c r="D139" s="93">
        <v>4.6348910244E7</v>
      </c>
      <c r="E139" s="372">
        <v>2417374.0</v>
      </c>
      <c r="F139" s="372">
        <v>3626048.0</v>
      </c>
      <c r="G139" s="372">
        <v>9467313.0</v>
      </c>
      <c r="H139" s="360"/>
      <c r="I139" s="6">
        <f t="shared" si="5"/>
        <v>6.1859646244E7</v>
      </c>
    </row>
    <row r="140" spans="8:8">
      <c r="A140" s="3" t="s">
        <v>151</v>
      </c>
      <c r="B140" s="4" t="s">
        <v>65</v>
      </c>
      <c r="C140" s="93">
        <v>1.0</v>
      </c>
      <c r="D140" s="93">
        <v>6.238850763599999E7</v>
      </c>
      <c r="E140" s="372">
        <v>2417374.0</v>
      </c>
      <c r="F140" s="372">
        <v>3626048.0</v>
      </c>
      <c r="G140" s="372">
        <v>9467313.0</v>
      </c>
      <c r="H140" s="360"/>
      <c r="I140" s="6">
        <f t="shared" si="5"/>
        <v>7.789924363599999E7</v>
      </c>
    </row>
    <row r="141" spans="8:8">
      <c r="A141" s="3" t="s">
        <v>152</v>
      </c>
      <c r="B141" s="4" t="s">
        <v>65</v>
      </c>
      <c r="C141" s="93">
        <v>1.0</v>
      </c>
      <c r="D141" s="93">
        <v>6.9025585356E7</v>
      </c>
      <c r="E141" s="372">
        <v>2417374.0</v>
      </c>
      <c r="F141" s="372">
        <v>3626048.0</v>
      </c>
      <c r="G141" s="372">
        <v>9467313.0</v>
      </c>
      <c r="H141" s="360"/>
      <c r="I141" s="6">
        <f t="shared" si="5"/>
        <v>8.4536321356E7</v>
      </c>
    </row>
    <row r="142" spans="8:8">
      <c r="A142" s="3" t="s">
        <v>153</v>
      </c>
      <c r="B142" s="4" t="s">
        <v>65</v>
      </c>
      <c r="C142" s="93">
        <v>1.0</v>
      </c>
      <c r="D142" s="93">
        <v>1.4380329927600002E8</v>
      </c>
      <c r="E142" s="372">
        <v>2417374.0</v>
      </c>
      <c r="F142" s="372">
        <v>3626048.0</v>
      </c>
      <c r="G142" s="372">
        <v>9467313.0</v>
      </c>
      <c r="H142" s="360"/>
      <c r="I142" s="6">
        <f t="shared" si="5"/>
        <v>1.5931403527600002E8</v>
      </c>
    </row>
    <row r="143" spans="8:8">
      <c r="A143" s="3" t="s">
        <v>154</v>
      </c>
      <c r="B143" s="4" t="s">
        <v>65</v>
      </c>
      <c r="C143" s="93">
        <v>1.0</v>
      </c>
      <c r="D143" s="93">
        <v>2.7654481764E7</v>
      </c>
      <c r="E143" s="372">
        <v>2417374.0</v>
      </c>
      <c r="F143" s="372">
        <v>3626048.0</v>
      </c>
      <c r="G143" s="372">
        <v>9467313.0</v>
      </c>
      <c r="H143" s="360"/>
      <c r="I143" s="6">
        <f t="shared" si="5"/>
        <v>4.3165217764E7</v>
      </c>
    </row>
    <row r="144" spans="8:8">
      <c r="A144" s="3" t="s">
        <v>155</v>
      </c>
      <c r="B144" s="4" t="s">
        <v>65</v>
      </c>
      <c r="C144" s="93">
        <v>1.0</v>
      </c>
      <c r="D144" s="93">
        <v>2.9313749555999998E7</v>
      </c>
      <c r="E144" s="372">
        <v>2417374.0</v>
      </c>
      <c r="F144" s="372">
        <v>3626048.0</v>
      </c>
      <c r="G144" s="372">
        <v>9467313.0</v>
      </c>
      <c r="H144" s="360"/>
      <c r="I144" s="6">
        <f t="shared" si="5"/>
        <v>4.4824485555999994E7</v>
      </c>
    </row>
    <row r="145" spans="8:8">
      <c r="A145" s="3" t="s">
        <v>156</v>
      </c>
      <c r="B145" s="4" t="s">
        <v>65</v>
      </c>
      <c r="C145" s="93">
        <v>1.0</v>
      </c>
      <c r="D145" s="93">
        <v>3.1194255456000004E7</v>
      </c>
      <c r="E145" s="372">
        <v>2417374.0</v>
      </c>
      <c r="F145" s="372">
        <v>3626048.0</v>
      </c>
      <c r="G145" s="372">
        <v>9467313.0</v>
      </c>
      <c r="H145" s="360"/>
      <c r="I145" s="6">
        <f t="shared" si="5"/>
        <v>4.6704991456E7</v>
      </c>
    </row>
    <row r="146" spans="8:8">
      <c r="A146" s="3" t="s">
        <v>157</v>
      </c>
      <c r="B146" s="4" t="s">
        <v>65</v>
      </c>
      <c r="C146" s="93">
        <v>1.0</v>
      </c>
      <c r="D146" s="93">
        <v>2.9313749555999998E7</v>
      </c>
      <c r="E146" s="372">
        <v>2417374.0</v>
      </c>
      <c r="F146" s="372">
        <v>3626048.0</v>
      </c>
      <c r="G146" s="372">
        <v>9467313.0</v>
      </c>
      <c r="H146" s="360"/>
      <c r="I146" s="6">
        <f t="shared" si="5"/>
        <v>4.4824485555999994E7</v>
      </c>
    </row>
    <row r="147" spans="8:8">
      <c r="A147" s="3" t="s">
        <v>158</v>
      </c>
      <c r="B147" s="4" t="s">
        <v>65</v>
      </c>
      <c r="C147" s="93">
        <v>1.0</v>
      </c>
      <c r="D147" s="93">
        <v>3.1194255456000004E7</v>
      </c>
      <c r="E147" s="372">
        <v>2417374.0</v>
      </c>
      <c r="F147" s="372">
        <v>3626048.0</v>
      </c>
      <c r="G147" s="372">
        <v>9467313.0</v>
      </c>
      <c r="H147" s="360"/>
      <c r="I147" s="6">
        <f t="shared" si="5"/>
        <v>4.6704991456E7</v>
      </c>
    </row>
    <row r="148" spans="8:8">
      <c r="A148" s="3" t="s">
        <v>159</v>
      </c>
      <c r="B148" s="4" t="s">
        <v>65</v>
      </c>
      <c r="C148" s="93">
        <v>1.0</v>
      </c>
      <c r="D148" s="93">
        <v>3.4512794316E7</v>
      </c>
      <c r="E148" s="372">
        <v>2417374.0</v>
      </c>
      <c r="F148" s="372">
        <v>3626048.0</v>
      </c>
      <c r="G148" s="372">
        <v>9467313.0</v>
      </c>
      <c r="H148" s="360"/>
      <c r="I148" s="6">
        <f t="shared" si="5"/>
        <v>5.0023530316E7</v>
      </c>
    </row>
    <row r="149" spans="8:8">
      <c r="A149" s="3" t="s">
        <v>160</v>
      </c>
      <c r="B149" s="4" t="s">
        <v>65</v>
      </c>
      <c r="C149" s="93">
        <v>1.0</v>
      </c>
      <c r="D149" s="93">
        <v>3.1194255456000004E7</v>
      </c>
      <c r="E149" s="372">
        <v>2417374.0</v>
      </c>
      <c r="F149" s="372">
        <v>3626048.0</v>
      </c>
      <c r="G149" s="372">
        <v>9467313.0</v>
      </c>
      <c r="H149" s="360"/>
      <c r="I149" s="6">
        <f t="shared" si="5"/>
        <v>4.6704991456E7</v>
      </c>
    </row>
    <row r="150" spans="8:8">
      <c r="A150" s="15" t="s">
        <v>161</v>
      </c>
      <c r="B150" s="16" t="s">
        <v>65</v>
      </c>
      <c r="C150" s="93">
        <v>1.0</v>
      </c>
      <c r="D150" s="93">
        <v>3.4512794316E7</v>
      </c>
      <c r="E150" s="372">
        <v>2417374.0</v>
      </c>
      <c r="F150" s="372">
        <v>3626048.0</v>
      </c>
      <c r="G150" s="372">
        <v>9467313.0</v>
      </c>
      <c r="H150" s="360"/>
      <c r="I150" s="6">
        <f t="shared" si="5"/>
        <v>5.0023530316E7</v>
      </c>
    </row>
    <row r="151" spans="8:8">
      <c r="A151" s="15" t="s">
        <v>162</v>
      </c>
      <c r="B151" s="16" t="s">
        <v>65</v>
      </c>
      <c r="C151" s="93">
        <v>1.0</v>
      </c>
      <c r="D151" s="93">
        <v>6.238850763599999E7</v>
      </c>
      <c r="E151" s="372">
        <v>2417374.0</v>
      </c>
      <c r="F151" s="372">
        <v>3626048.0</v>
      </c>
      <c r="G151" s="372">
        <v>9467313.0</v>
      </c>
      <c r="H151" s="360"/>
      <c r="I151" s="6">
        <f t="shared" si="5"/>
        <v>7.789924363599999E7</v>
      </c>
    </row>
    <row r="152" spans="8:8">
      <c r="A152" s="15" t="s">
        <v>163</v>
      </c>
      <c r="B152" s="16" t="s">
        <v>65</v>
      </c>
      <c r="C152" s="93">
        <v>1.0</v>
      </c>
      <c r="D152" s="93">
        <v>6.9025585356E7</v>
      </c>
      <c r="E152" s="372">
        <v>2417374.0</v>
      </c>
      <c r="F152" s="372">
        <v>3626048.0</v>
      </c>
      <c r="G152" s="372">
        <v>9467313.0</v>
      </c>
      <c r="H152" s="360"/>
      <c r="I152" s="6">
        <f t="shared" si="5"/>
        <v>8.4536321356E7</v>
      </c>
    </row>
    <row r="153" spans="8:8">
      <c r="A153" s="3" t="s">
        <v>164</v>
      </c>
      <c r="B153" s="4" t="s">
        <v>65</v>
      </c>
      <c r="C153" s="93">
        <v>1.0</v>
      </c>
      <c r="D153" s="93">
        <v>2.6990773992000006E7</v>
      </c>
      <c r="E153" s="372">
        <v>2417374.0</v>
      </c>
      <c r="F153" s="372">
        <v>3626048.0</v>
      </c>
      <c r="G153" s="372">
        <v>9467313.0</v>
      </c>
      <c r="H153" s="360"/>
      <c r="I153" s="6">
        <f t="shared" si="5"/>
        <v>4.2501509992000006E7</v>
      </c>
    </row>
    <row r="154" spans="8:8">
      <c r="A154" s="3" t="s">
        <v>165</v>
      </c>
      <c r="B154" s="4" t="s">
        <v>65</v>
      </c>
      <c r="C154" s="93">
        <v>1.0</v>
      </c>
      <c r="D154" s="93">
        <v>3.0309312852E7</v>
      </c>
      <c r="E154" s="372">
        <v>2417374.0</v>
      </c>
      <c r="F154" s="372">
        <v>3626048.0</v>
      </c>
      <c r="G154" s="372">
        <v>9467313.0</v>
      </c>
      <c r="H154" s="360"/>
      <c r="I154" s="6">
        <f t="shared" si="5"/>
        <v>4.5820048852E7</v>
      </c>
    </row>
    <row r="155" spans="8:8">
      <c r="A155" s="3" t="s">
        <v>166</v>
      </c>
      <c r="B155" s="4" t="s">
        <v>65</v>
      </c>
      <c r="C155" s="93">
        <v>1.0</v>
      </c>
      <c r="D155" s="93">
        <v>2.9313749555999998E7</v>
      </c>
      <c r="E155" s="372">
        <v>2417374.0</v>
      </c>
      <c r="F155" s="372">
        <v>3626048.0</v>
      </c>
      <c r="G155" s="372">
        <v>9467313.0</v>
      </c>
      <c r="H155" s="360"/>
      <c r="I155" s="6">
        <f t="shared" si="5"/>
        <v>4.4824485555999994E7</v>
      </c>
    </row>
    <row r="156" spans="8:8">
      <c r="A156" s="3" t="s">
        <v>167</v>
      </c>
      <c r="B156" s="4" t="s">
        <v>65</v>
      </c>
      <c r="C156" s="93">
        <v>1.0</v>
      </c>
      <c r="D156" s="93">
        <v>3.1194255456000004E7</v>
      </c>
      <c r="E156" s="372">
        <v>2417374.0</v>
      </c>
      <c r="F156" s="372">
        <v>3626048.0</v>
      </c>
      <c r="G156" s="372">
        <v>9467313.0</v>
      </c>
      <c r="H156" s="360"/>
      <c r="I156" s="6">
        <f t="shared" si="5"/>
        <v>4.6704991456E7</v>
      </c>
    </row>
    <row r="157" spans="8:8">
      <c r="A157" s="3" t="s">
        <v>168</v>
      </c>
      <c r="B157" s="4" t="s">
        <v>65</v>
      </c>
      <c r="C157" s="93">
        <v>1.0</v>
      </c>
      <c r="D157" s="93">
        <v>5.8627499111999996E7</v>
      </c>
      <c r="E157" s="372">
        <v>2417374.0</v>
      </c>
      <c r="F157" s="372">
        <v>3626048.0</v>
      </c>
      <c r="G157" s="372">
        <v>9467313.0</v>
      </c>
      <c r="H157" s="360"/>
      <c r="I157" s="6">
        <f t="shared" si="5"/>
        <v>7.413823511199999E7</v>
      </c>
    </row>
    <row r="158" spans="8:8">
      <c r="A158" s="3" t="s">
        <v>169</v>
      </c>
      <c r="B158" s="4" t="s">
        <v>65</v>
      </c>
      <c r="C158" s="93">
        <v>1.0</v>
      </c>
      <c r="D158" s="93">
        <v>6.238850763599999E7</v>
      </c>
      <c r="E158" s="372">
        <v>2417374.0</v>
      </c>
      <c r="F158" s="372">
        <v>3626048.0</v>
      </c>
      <c r="G158" s="372">
        <v>9467313.0</v>
      </c>
      <c r="H158" s="360"/>
      <c r="I158" s="6">
        <f t="shared" si="5"/>
        <v>7.789924363599999E7</v>
      </c>
    </row>
    <row r="159" spans="8:8">
      <c r="A159" s="3" t="s">
        <v>170</v>
      </c>
      <c r="B159" s="4" t="s">
        <v>65</v>
      </c>
      <c r="C159" s="93">
        <v>1.0</v>
      </c>
      <c r="D159" s="93">
        <v>2.9313749555999998E7</v>
      </c>
      <c r="E159" s="372">
        <v>2417374.0</v>
      </c>
      <c r="F159" s="372">
        <v>3626048.0</v>
      </c>
      <c r="G159" s="372">
        <v>9467313.0</v>
      </c>
      <c r="H159" s="360"/>
      <c r="I159" s="6">
        <f t="shared" si="5"/>
        <v>4.4824485555999994E7</v>
      </c>
    </row>
    <row r="160" spans="8:8">
      <c r="A160" s="3" t="s">
        <v>171</v>
      </c>
      <c r="B160" s="4" t="s">
        <v>65</v>
      </c>
      <c r="C160" s="93">
        <v>1.0</v>
      </c>
      <c r="D160" s="93">
        <v>3.1194255456000004E7</v>
      </c>
      <c r="E160" s="372">
        <v>2417374.0</v>
      </c>
      <c r="F160" s="372">
        <v>3626048.0</v>
      </c>
      <c r="G160" s="372">
        <v>9467313.0</v>
      </c>
      <c r="H160" s="360"/>
      <c r="I160" s="6">
        <f t="shared" si="5"/>
        <v>4.6704991456E7</v>
      </c>
    </row>
    <row r="161" spans="8:8">
      <c r="A161" s="3" t="s">
        <v>172</v>
      </c>
      <c r="B161" s="4" t="s">
        <v>65</v>
      </c>
      <c r="C161" s="93">
        <v>1.0</v>
      </c>
      <c r="D161" s="93">
        <v>3.4512794316E7</v>
      </c>
      <c r="E161" s="372">
        <v>2417374.0</v>
      </c>
      <c r="F161" s="372">
        <v>3626048.0</v>
      </c>
      <c r="G161" s="372">
        <v>9467313.0</v>
      </c>
      <c r="H161" s="360"/>
      <c r="I161" s="6">
        <f t="shared" si="5"/>
        <v>5.0023530316E7</v>
      </c>
    </row>
    <row r="162" spans="8:8">
      <c r="A162" s="3" t="s">
        <v>173</v>
      </c>
      <c r="B162" s="4" t="s">
        <v>65</v>
      </c>
      <c r="C162" s="93">
        <v>1.0</v>
      </c>
      <c r="D162" s="93">
        <v>5.8627499111999996E7</v>
      </c>
      <c r="E162" s="372">
        <v>2417374.0</v>
      </c>
      <c r="F162" s="372">
        <v>3626048.0</v>
      </c>
      <c r="G162" s="372">
        <v>9467313.0</v>
      </c>
      <c r="H162" s="360"/>
      <c r="I162" s="6">
        <f t="shared" si="5"/>
        <v>7.413823511199999E7</v>
      </c>
    </row>
    <row r="163" spans="8:8">
      <c r="A163" s="3" t="s">
        <v>174</v>
      </c>
      <c r="B163" s="4" t="s">
        <v>65</v>
      </c>
      <c r="C163" s="93">
        <v>1.0</v>
      </c>
      <c r="D163" s="93">
        <v>6.238850763599999E7</v>
      </c>
      <c r="E163" s="372">
        <v>2417374.0</v>
      </c>
      <c r="F163" s="372">
        <v>3626048.0</v>
      </c>
      <c r="G163" s="372">
        <v>9467313.0</v>
      </c>
      <c r="H163" s="360"/>
      <c r="I163" s="6">
        <f t="shared" si="5"/>
        <v>7.789924363599999E7</v>
      </c>
    </row>
    <row r="164" spans="8:8">
      <c r="A164" s="3" t="s">
        <v>175</v>
      </c>
      <c r="B164" s="4" t="s">
        <v>65</v>
      </c>
      <c r="C164" s="93">
        <v>1.0</v>
      </c>
      <c r="D164" s="93">
        <v>6.9025585356E7</v>
      </c>
      <c r="E164" s="372">
        <v>2417374.0</v>
      </c>
      <c r="F164" s="372">
        <v>3626048.0</v>
      </c>
      <c r="G164" s="372">
        <v>9467313.0</v>
      </c>
      <c r="H164" s="360"/>
      <c r="I164" s="6">
        <f t="shared" si="5"/>
        <v>8.4536321356E7</v>
      </c>
    </row>
    <row r="165" spans="8:8">
      <c r="A165" s="3" t="s">
        <v>176</v>
      </c>
      <c r="B165" s="4" t="s">
        <v>65</v>
      </c>
      <c r="C165" s="93">
        <v>1.0</v>
      </c>
      <c r="D165" s="93">
        <v>2.7322629516E7</v>
      </c>
      <c r="E165" s="372">
        <v>2417374.0</v>
      </c>
      <c r="F165" s="372">
        <v>3626048.0</v>
      </c>
      <c r="G165" s="372">
        <v>9467313.0</v>
      </c>
      <c r="H165" s="360"/>
      <c r="I165" s="6">
        <f t="shared" si="5"/>
        <v>4.2833365516E7</v>
      </c>
    </row>
    <row r="166" spans="8:8">
      <c r="A166" s="3" t="s">
        <v>177</v>
      </c>
      <c r="B166" s="4" t="s">
        <v>65</v>
      </c>
      <c r="C166" s="93">
        <v>1.0</v>
      </c>
      <c r="D166" s="93">
        <v>3.4512794316E7</v>
      </c>
      <c r="E166" s="372">
        <v>2417374.0</v>
      </c>
      <c r="F166" s="372">
        <v>3626048.0</v>
      </c>
      <c r="G166" s="372">
        <v>9467313.0</v>
      </c>
      <c r="H166" s="360"/>
      <c r="I166" s="6">
        <f t="shared" si="5"/>
        <v>5.0023530316E7</v>
      </c>
    </row>
    <row r="167" spans="8:8">
      <c r="A167" s="3" t="s">
        <v>178</v>
      </c>
      <c r="B167" s="4" t="s">
        <v>65</v>
      </c>
      <c r="C167" s="93">
        <v>1.01893195404E8</v>
      </c>
      <c r="D167" s="93">
        <v>5.1846619734000003E8</v>
      </c>
      <c r="E167" s="372">
        <v>2417374.0</v>
      </c>
      <c r="F167" s="372">
        <v>3626048.0</v>
      </c>
      <c r="G167" s="372">
        <v>9467313.0</v>
      </c>
      <c r="H167" s="360"/>
      <c r="I167" s="6">
        <f t="shared" si="5"/>
        <v>6.358701277440001E8</v>
      </c>
    </row>
    <row r="168" spans="8:8">
      <c r="A168" s="3" t="s">
        <v>179</v>
      </c>
      <c r="B168" s="4" t="s">
        <v>65</v>
      </c>
      <c r="C168" s="93">
        <v>1.0</v>
      </c>
      <c r="D168" s="93">
        <v>6.648137168400001E7</v>
      </c>
      <c r="E168" s="372">
        <v>2417374.0</v>
      </c>
      <c r="F168" s="372">
        <v>3626048.0</v>
      </c>
      <c r="G168" s="372">
        <v>9467313.0</v>
      </c>
      <c r="H168" s="360"/>
      <c r="I168" s="6">
        <f t="shared" si="5"/>
        <v>8.199210768400002E7</v>
      </c>
    </row>
    <row r="169" spans="8:8">
      <c r="A169" s="3" t="s">
        <v>180</v>
      </c>
      <c r="B169" s="4" t="s">
        <v>65</v>
      </c>
      <c r="C169" s="93">
        <v>1.0</v>
      </c>
      <c r="D169" s="93">
        <v>3.1194255456000004E7</v>
      </c>
      <c r="E169" s="372">
        <v>2417374.0</v>
      </c>
      <c r="F169" s="372">
        <v>3626048.0</v>
      </c>
      <c r="G169" s="372">
        <v>9467313.0</v>
      </c>
      <c r="H169" s="360"/>
      <c r="I169" s="6">
        <f t="shared" si="5"/>
        <v>4.6704991456E7</v>
      </c>
    </row>
    <row r="170" spans="8:8">
      <c r="A170" s="3" t="s">
        <v>181</v>
      </c>
      <c r="B170" s="4" t="s">
        <v>65</v>
      </c>
      <c r="C170" s="93">
        <v>1.0</v>
      </c>
      <c r="D170" s="93">
        <v>6.238850763599999E7</v>
      </c>
      <c r="E170" s="372">
        <v>2417374.0</v>
      </c>
      <c r="F170" s="372">
        <v>3626048.0</v>
      </c>
      <c r="G170" s="372">
        <v>9467313.0</v>
      </c>
      <c r="H170" s="360"/>
      <c r="I170" s="6">
        <f t="shared" si="5"/>
        <v>7.789924363599999E7</v>
      </c>
    </row>
    <row r="171" spans="8:8">
      <c r="A171" s="3" t="s">
        <v>182</v>
      </c>
      <c r="B171" s="4" t="s">
        <v>65</v>
      </c>
      <c r="C171" s="93">
        <v>1.0</v>
      </c>
      <c r="D171" s="93">
        <v>2.9313749555999998E7</v>
      </c>
      <c r="E171" s="372">
        <v>2417374.0</v>
      </c>
      <c r="F171" s="372">
        <v>3626048.0</v>
      </c>
      <c r="G171" s="372">
        <v>9467313.0</v>
      </c>
      <c r="H171" s="360"/>
      <c r="I171" s="6">
        <f t="shared" si="5"/>
        <v>4.4824485555999994E7</v>
      </c>
    </row>
    <row r="172" spans="8:8">
      <c r="A172" s="3" t="s">
        <v>183</v>
      </c>
      <c r="B172" s="4" t="s">
        <v>65</v>
      </c>
      <c r="C172" s="93">
        <v>1.0</v>
      </c>
      <c r="D172" s="93">
        <v>3.1194255456000004E7</v>
      </c>
      <c r="E172" s="372">
        <v>2417374.0</v>
      </c>
      <c r="F172" s="372">
        <v>3626048.0</v>
      </c>
      <c r="G172" s="372">
        <v>9467313.0</v>
      </c>
      <c r="H172" s="360"/>
      <c r="I172" s="6">
        <f t="shared" si="5"/>
        <v>4.6704991456E7</v>
      </c>
    </row>
    <row r="173" spans="8:8">
      <c r="A173" s="3" t="s">
        <v>184</v>
      </c>
      <c r="B173" s="4" t="s">
        <v>65</v>
      </c>
      <c r="C173" s="93">
        <v>1.0</v>
      </c>
      <c r="D173" s="93">
        <v>3.4512794316E7</v>
      </c>
      <c r="E173" s="372">
        <v>2417374.0</v>
      </c>
      <c r="F173" s="372">
        <v>3626048.0</v>
      </c>
      <c r="G173" s="372">
        <v>9467313.0</v>
      </c>
      <c r="H173" s="360"/>
      <c r="I173" s="6">
        <f t="shared" si="5"/>
        <v>5.0023530316E7</v>
      </c>
    </row>
    <row r="174" spans="8:8">
      <c r="A174" s="3" t="s">
        <v>185</v>
      </c>
      <c r="B174" s="4" t="s">
        <v>65</v>
      </c>
      <c r="C174" s="93">
        <v>1.0</v>
      </c>
      <c r="D174" s="93">
        <v>5.8627499111999996E7</v>
      </c>
      <c r="E174" s="372">
        <v>2417374.0</v>
      </c>
      <c r="F174" s="372">
        <v>3626048.0</v>
      </c>
      <c r="G174" s="372">
        <v>9467313.0</v>
      </c>
      <c r="H174" s="360"/>
      <c r="I174" s="6">
        <f t="shared" si="5"/>
        <v>7.413823511199999E7</v>
      </c>
    </row>
    <row r="175" spans="8:8">
      <c r="A175" s="3" t="s">
        <v>186</v>
      </c>
      <c r="B175" s="4" t="s">
        <v>65</v>
      </c>
      <c r="C175" s="93">
        <v>1.0</v>
      </c>
      <c r="D175" s="93">
        <v>6.238850763599999E7</v>
      </c>
      <c r="E175" s="372">
        <v>2417374.0</v>
      </c>
      <c r="F175" s="372">
        <v>3626048.0</v>
      </c>
      <c r="G175" s="372">
        <v>9467313.0</v>
      </c>
      <c r="H175" s="360"/>
      <c r="I175" s="6">
        <f t="shared" si="5"/>
        <v>7.789924363599999E7</v>
      </c>
    </row>
    <row r="176" spans="8:8">
      <c r="A176" s="3" t="s">
        <v>187</v>
      </c>
      <c r="B176" s="4" t="s">
        <v>65</v>
      </c>
      <c r="C176" s="93">
        <v>1.0</v>
      </c>
      <c r="D176" s="93">
        <v>6.9025585356E7</v>
      </c>
      <c r="E176" s="372">
        <v>2417374.0</v>
      </c>
      <c r="F176" s="372">
        <v>3626048.0</v>
      </c>
      <c r="G176" s="372">
        <v>9467313.0</v>
      </c>
      <c r="H176" s="360"/>
      <c r="I176" s="6">
        <f t="shared" si="5"/>
        <v>8.4536321356E7</v>
      </c>
    </row>
    <row r="177" spans="8:8">
      <c r="A177" s="15" t="s">
        <v>188</v>
      </c>
      <c r="B177" s="16" t="s">
        <v>65</v>
      </c>
      <c r="C177" s="93">
        <v>1.0</v>
      </c>
      <c r="D177" s="93">
        <v>2.9313749555999998E7</v>
      </c>
      <c r="E177" s="372">
        <v>2417374.0</v>
      </c>
      <c r="F177" s="372">
        <v>3626048.0</v>
      </c>
      <c r="G177" s="372">
        <v>9467313.0</v>
      </c>
      <c r="H177" s="360"/>
      <c r="I177" s="6">
        <f t="shared" si="5"/>
        <v>4.4824485555999994E7</v>
      </c>
    </row>
    <row r="178" spans="8:8">
      <c r="A178" s="3" t="s">
        <v>189</v>
      </c>
      <c r="B178" s="4" t="s">
        <v>65</v>
      </c>
      <c r="C178" s="93">
        <v>1.0</v>
      </c>
      <c r="D178" s="93">
        <v>3.1194255456000004E7</v>
      </c>
      <c r="E178" s="372">
        <v>2417374.0</v>
      </c>
      <c r="F178" s="372">
        <v>3626048.0</v>
      </c>
      <c r="G178" s="372">
        <v>9467313.0</v>
      </c>
      <c r="H178" s="360"/>
      <c r="I178" s="6">
        <f t="shared" si="5"/>
        <v>4.6704991456E7</v>
      </c>
    </row>
    <row r="179" spans="8:8">
      <c r="A179" s="3" t="s">
        <v>190</v>
      </c>
      <c r="B179" s="16" t="s">
        <v>65</v>
      </c>
      <c r="C179" s="93">
        <v>1.0</v>
      </c>
      <c r="D179" s="93">
        <v>2.9313749555999998E7</v>
      </c>
      <c r="E179" s="372">
        <v>2417374.0</v>
      </c>
      <c r="F179" s="372">
        <v>3626048.0</v>
      </c>
      <c r="G179" s="372">
        <v>9467313.0</v>
      </c>
      <c r="H179" s="360"/>
      <c r="I179" s="6">
        <f t="shared" si="6" ref="I179:I183">SUM(C179:H179)</f>
        <v>4.4824485555999994E7</v>
      </c>
    </row>
    <row r="180" spans="8:8" s="49" ht="15.0" customFormat="1">
      <c r="A180" s="3" t="s">
        <v>191</v>
      </c>
      <c r="B180" s="4" t="s">
        <v>65</v>
      </c>
      <c r="C180" s="93">
        <v>1.0</v>
      </c>
      <c r="D180" s="93">
        <v>3.1194255456000004E7</v>
      </c>
      <c r="E180" s="372">
        <v>2417374.0</v>
      </c>
      <c r="F180" s="372">
        <v>3626048.0</v>
      </c>
      <c r="G180" s="372">
        <v>9467313.0</v>
      </c>
      <c r="H180" s="360"/>
      <c r="I180" s="17">
        <f t="shared" si="6"/>
        <v>4.6704991456E7</v>
      </c>
    </row>
    <row r="181" spans="8:8">
      <c r="A181" s="3" t="s">
        <v>192</v>
      </c>
      <c r="B181" s="4" t="s">
        <v>65</v>
      </c>
      <c r="C181" s="93">
        <v>1.0</v>
      </c>
      <c r="D181" s="93">
        <v>3.4512794316E7</v>
      </c>
      <c r="E181" s="372">
        <v>2417374.0</v>
      </c>
      <c r="F181" s="372">
        <v>3626048.0</v>
      </c>
      <c r="G181" s="372">
        <v>9467313.0</v>
      </c>
      <c r="H181" s="360"/>
      <c r="I181" s="6">
        <f t="shared" si="6"/>
        <v>5.0023530316E7</v>
      </c>
    </row>
    <row r="182" spans="8:8">
      <c r="A182" s="3" t="s">
        <v>193</v>
      </c>
      <c r="B182" s="4" t="s">
        <v>65</v>
      </c>
      <c r="C182" s="93">
        <v>1.0</v>
      </c>
      <c r="D182" s="93">
        <v>2.9313749555999998E7</v>
      </c>
      <c r="E182" s="372">
        <v>2417374.0</v>
      </c>
      <c r="F182" s="372">
        <v>3626048.0</v>
      </c>
      <c r="G182" s="372">
        <v>9467313.0</v>
      </c>
      <c r="H182" s="360"/>
      <c r="I182" s="6">
        <f t="shared" si="6"/>
        <v>4.4824485555999994E7</v>
      </c>
    </row>
    <row r="183" spans="8:8">
      <c r="A183" s="3" t="s">
        <v>194</v>
      </c>
      <c r="B183" s="4" t="s">
        <v>65</v>
      </c>
      <c r="C183" s="93">
        <v>1.0</v>
      </c>
      <c r="D183" s="93">
        <v>3.1194255456000004E7</v>
      </c>
      <c r="E183" s="372">
        <v>2417374.0</v>
      </c>
      <c r="F183" s="372">
        <v>3626048.0</v>
      </c>
      <c r="G183" s="372">
        <v>9467313.0</v>
      </c>
      <c r="H183" s="360"/>
      <c r="I183" s="6">
        <f t="shared" si="6"/>
        <v>4.6704991456E7</v>
      </c>
    </row>
    <row r="184" spans="8:8">
      <c r="A184" s="3" t="s">
        <v>197</v>
      </c>
      <c r="B184" s="4" t="s">
        <v>196</v>
      </c>
      <c r="C184" s="93">
        <v>1.0</v>
      </c>
      <c r="D184" s="93">
        <v>7.262593556400001E7</v>
      </c>
      <c r="E184" s="372">
        <v>2417374.0</v>
      </c>
      <c r="F184" s="372">
        <v>3626048.0</v>
      </c>
      <c r="G184" s="360"/>
      <c r="H184" s="360"/>
      <c r="I184" s="6">
        <f t="shared" si="7" ref="I184:I240">SUM(C184:F184)</f>
        <v>7.866935856400001E7</v>
      </c>
    </row>
    <row r="185" spans="8:8">
      <c r="A185" s="3" t="s">
        <v>198</v>
      </c>
      <c r="B185" s="4" t="s">
        <v>196</v>
      </c>
      <c r="C185" s="93">
        <v>1.0</v>
      </c>
      <c r="D185" s="93">
        <v>5.423734953E8</v>
      </c>
      <c r="E185" s="372">
        <v>2417374.0</v>
      </c>
      <c r="F185" s="372">
        <v>3626048.0</v>
      </c>
      <c r="G185" s="360"/>
      <c r="H185" s="360"/>
      <c r="I185" s="6">
        <f t="shared" si="7"/>
        <v>5.484169183E8</v>
      </c>
    </row>
    <row r="186" spans="8:8">
      <c r="A186" s="3" t="s">
        <v>199</v>
      </c>
      <c r="B186" s="4" t="s">
        <v>196</v>
      </c>
      <c r="C186" s="93">
        <v>1.0</v>
      </c>
      <c r="D186" s="93">
        <v>1.5534481107600003E8</v>
      </c>
      <c r="E186" s="372">
        <v>2417374.0</v>
      </c>
      <c r="F186" s="372">
        <v>3626048.0</v>
      </c>
      <c r="G186" s="360"/>
      <c r="H186" s="360"/>
      <c r="I186" s="6">
        <f t="shared" si="7"/>
        <v>1.6138823407600003E8</v>
      </c>
      <c r="J186" s="238"/>
    </row>
    <row r="187" spans="8:8">
      <c r="A187" s="3" t="s">
        <v>201</v>
      </c>
      <c r="B187" s="4" t="s">
        <v>196</v>
      </c>
      <c r="C187" s="93">
        <v>1.0</v>
      </c>
      <c r="D187" s="93">
        <v>1.5534481107600003E8</v>
      </c>
      <c r="E187" s="372">
        <v>2417374.0</v>
      </c>
      <c r="F187" s="372">
        <v>3626048.0</v>
      </c>
      <c r="G187" s="360"/>
      <c r="H187" s="360"/>
      <c r="I187" s="6">
        <f t="shared" si="7"/>
        <v>1.6138823407600003E8</v>
      </c>
    </row>
    <row r="188" spans="8:8">
      <c r="A188" s="3" t="s">
        <v>202</v>
      </c>
      <c r="B188" s="16" t="s">
        <v>196</v>
      </c>
      <c r="C188" s="93">
        <v>1.0</v>
      </c>
      <c r="D188" s="93">
        <v>1.5534481107600003E8</v>
      </c>
      <c r="E188" s="372">
        <v>2417374.0</v>
      </c>
      <c r="F188" s="372">
        <v>3626048.0</v>
      </c>
      <c r="G188" s="360"/>
      <c r="H188" s="360"/>
      <c r="I188" s="6">
        <f t="shared" si="7"/>
        <v>1.6138823407600003E8</v>
      </c>
    </row>
    <row r="189" spans="8:8">
      <c r="A189" s="3" t="s">
        <v>203</v>
      </c>
      <c r="B189" s="4" t="s">
        <v>196</v>
      </c>
      <c r="C189" s="93">
        <v>1.0</v>
      </c>
      <c r="D189" s="93">
        <v>1.5534481107600003E8</v>
      </c>
      <c r="E189" s="372">
        <v>2417374.0</v>
      </c>
      <c r="F189" s="372">
        <v>3626048.0</v>
      </c>
      <c r="G189" s="360"/>
      <c r="H189" s="360"/>
      <c r="I189" s="6">
        <f t="shared" si="7"/>
        <v>1.6138823407600003E8</v>
      </c>
    </row>
    <row r="190" spans="8:8">
      <c r="A190" s="3" t="s">
        <v>204</v>
      </c>
      <c r="B190" s="4" t="s">
        <v>196</v>
      </c>
      <c r="C190" s="93">
        <v>1.0</v>
      </c>
      <c r="D190" s="93">
        <v>1.5534481107600003E8</v>
      </c>
      <c r="E190" s="372">
        <v>2417374.0</v>
      </c>
      <c r="F190" s="372">
        <v>3626048.0</v>
      </c>
      <c r="G190" s="360"/>
      <c r="H190" s="360"/>
      <c r="I190" s="6">
        <f t="shared" si="7"/>
        <v>1.6138823407600003E8</v>
      </c>
      <c r="L190" s="233"/>
    </row>
    <row r="191" spans="8:8">
      <c r="A191" s="3" t="s">
        <v>206</v>
      </c>
      <c r="B191" s="4" t="s">
        <v>196</v>
      </c>
      <c r="C191" s="93">
        <v>1.0</v>
      </c>
      <c r="D191" s="93">
        <v>1.5534481107600003E8</v>
      </c>
      <c r="E191" s="372">
        <v>2417374.0</v>
      </c>
      <c r="F191" s="372">
        <v>3626048.0</v>
      </c>
      <c r="G191" s="360"/>
      <c r="H191" s="360"/>
      <c r="I191" s="6">
        <f t="shared" si="7"/>
        <v>1.6138823407600003E8</v>
      </c>
    </row>
    <row r="192" spans="8:8">
      <c r="A192" s="3" t="s">
        <v>207</v>
      </c>
      <c r="B192" s="4" t="s">
        <v>196</v>
      </c>
      <c r="C192" s="93">
        <v>1.0</v>
      </c>
      <c r="D192" s="93">
        <v>1.5534481107600003E8</v>
      </c>
      <c r="E192" s="372">
        <v>2417374.0</v>
      </c>
      <c r="F192" s="372">
        <v>3626048.0</v>
      </c>
      <c r="G192" s="360"/>
      <c r="H192" s="360"/>
      <c r="I192" s="6">
        <f t="shared" si="7"/>
        <v>1.6138823407600003E8</v>
      </c>
      <c r="J192" s="233"/>
      <c r="K192" s="76"/>
    </row>
    <row r="193" spans="8:8">
      <c r="A193" s="3" t="s">
        <v>208</v>
      </c>
      <c r="B193" s="4" t="s">
        <v>196</v>
      </c>
      <c r="C193" s="93">
        <v>1.0</v>
      </c>
      <c r="D193" s="93">
        <v>1.5534481107600003E8</v>
      </c>
      <c r="E193" s="372">
        <v>2417374.0</v>
      </c>
      <c r="F193" s="372">
        <v>3626048.0</v>
      </c>
      <c r="G193" s="360"/>
      <c r="H193" s="360"/>
      <c r="I193" s="6">
        <f t="shared" si="7"/>
        <v>1.6138823407600003E8</v>
      </c>
    </row>
    <row r="194" spans="8:8">
      <c r="A194" s="3" t="s">
        <v>209</v>
      </c>
      <c r="B194" s="4" t="s">
        <v>196</v>
      </c>
      <c r="C194" s="93">
        <v>1.0</v>
      </c>
      <c r="D194" s="93">
        <v>1.5534481107600003E8</v>
      </c>
      <c r="E194" s="372">
        <v>2417374.0</v>
      </c>
      <c r="F194" s="372">
        <v>3626048.0</v>
      </c>
      <c r="G194" s="360"/>
      <c r="H194" s="360"/>
      <c r="I194" s="6">
        <f t="shared" si="7"/>
        <v>1.6138823407600003E8</v>
      </c>
    </row>
    <row r="195" spans="8:8">
      <c r="A195" s="3" t="s">
        <v>210</v>
      </c>
      <c r="B195" s="4" t="s">
        <v>196</v>
      </c>
      <c r="C195" s="93">
        <v>1.0</v>
      </c>
      <c r="D195" s="93">
        <v>1.5534481107600003E8</v>
      </c>
      <c r="E195" s="372">
        <v>2417374.0</v>
      </c>
      <c r="F195" s="372">
        <v>3626048.0</v>
      </c>
      <c r="G195" s="360"/>
      <c r="H195" s="360"/>
      <c r="I195" s="6">
        <f t="shared" si="7"/>
        <v>1.6138823407600003E8</v>
      </c>
    </row>
    <row r="196" spans="8:8">
      <c r="A196" s="3" t="s">
        <v>211</v>
      </c>
      <c r="B196" s="4" t="s">
        <v>196</v>
      </c>
      <c r="C196" s="93">
        <v>1.0</v>
      </c>
      <c r="D196" s="93">
        <v>1.5534481107600003E8</v>
      </c>
      <c r="E196" s="372">
        <v>2417374.0</v>
      </c>
      <c r="F196" s="372">
        <v>3626048.0</v>
      </c>
      <c r="G196" s="360"/>
      <c r="H196" s="360"/>
      <c r="I196" s="6">
        <f t="shared" si="7"/>
        <v>1.6138823407600003E8</v>
      </c>
    </row>
    <row r="197" spans="8:8">
      <c r="A197" s="3" t="s">
        <v>212</v>
      </c>
      <c r="B197" s="4" t="s">
        <v>196</v>
      </c>
      <c r="C197" s="93">
        <v>1.0</v>
      </c>
      <c r="D197" s="93">
        <v>1.5534481107600003E8</v>
      </c>
      <c r="E197" s="372">
        <v>2417374.0</v>
      </c>
      <c r="F197" s="372">
        <v>3626048.0</v>
      </c>
      <c r="G197" s="360"/>
      <c r="H197" s="360"/>
      <c r="I197" s="6">
        <f t="shared" si="7"/>
        <v>1.6138823407600003E8</v>
      </c>
    </row>
    <row r="198" spans="8:8">
      <c r="A198" s="3" t="s">
        <v>214</v>
      </c>
      <c r="B198" s="4" t="s">
        <v>196</v>
      </c>
      <c r="C198" s="93">
        <v>1.0</v>
      </c>
      <c r="D198" s="93">
        <v>1.5534481107600003E8</v>
      </c>
      <c r="E198" s="372">
        <v>2417374.0</v>
      </c>
      <c r="F198" s="372">
        <v>3626048.0</v>
      </c>
      <c r="G198" s="360"/>
      <c r="H198" s="360"/>
      <c r="I198" s="6">
        <f t="shared" si="7"/>
        <v>1.6138823407600003E8</v>
      </c>
    </row>
    <row r="199" spans="8:8">
      <c r="A199" s="3" t="s">
        <v>215</v>
      </c>
      <c r="B199" s="4" t="s">
        <v>196</v>
      </c>
      <c r="C199" s="93">
        <v>1.0</v>
      </c>
      <c r="D199" s="93">
        <v>1.5534481107600003E8</v>
      </c>
      <c r="E199" s="372">
        <v>2417374.0</v>
      </c>
      <c r="F199" s="372">
        <v>3626048.0</v>
      </c>
      <c r="G199" s="360"/>
      <c r="H199" s="360"/>
      <c r="I199" s="6">
        <f t="shared" si="7"/>
        <v>1.6138823407600003E8</v>
      </c>
    </row>
    <row r="200" spans="8:8">
      <c r="A200" s="3" t="s">
        <v>216</v>
      </c>
      <c r="B200" s="4" t="s">
        <v>196</v>
      </c>
      <c r="C200" s="93">
        <v>1.0</v>
      </c>
      <c r="D200" s="93">
        <v>1.5534481107600003E8</v>
      </c>
      <c r="E200" s="372">
        <v>2417374.0</v>
      </c>
      <c r="F200" s="372">
        <v>3626048.0</v>
      </c>
      <c r="G200" s="360"/>
      <c r="H200" s="360"/>
      <c r="I200" s="6">
        <f t="shared" si="7"/>
        <v>1.6138823407600003E8</v>
      </c>
    </row>
    <row r="201" spans="8:8">
      <c r="A201" s="3" t="s">
        <v>217</v>
      </c>
      <c r="B201" s="4" t="s">
        <v>196</v>
      </c>
      <c r="C201" s="93">
        <v>1.0</v>
      </c>
      <c r="D201" s="93">
        <v>1.5534481107600003E8</v>
      </c>
      <c r="E201" s="372">
        <v>2417374.0</v>
      </c>
      <c r="F201" s="372">
        <v>3626048.0</v>
      </c>
      <c r="G201" s="360"/>
      <c r="H201" s="360"/>
      <c r="I201" s="6">
        <f t="shared" si="7"/>
        <v>1.6138823407600003E8</v>
      </c>
    </row>
    <row r="202" spans="8:8">
      <c r="A202" s="3" t="s">
        <v>218</v>
      </c>
      <c r="B202" s="4" t="s">
        <v>196</v>
      </c>
      <c r="C202" s="93">
        <v>1.0</v>
      </c>
      <c r="D202" s="93">
        <v>1.5534481107600003E8</v>
      </c>
      <c r="E202" s="372">
        <v>2417374.0</v>
      </c>
      <c r="F202" s="372">
        <v>3626048.0</v>
      </c>
      <c r="G202" s="360"/>
      <c r="H202" s="360"/>
      <c r="I202" s="6">
        <f t="shared" si="7"/>
        <v>1.6138823407600003E8</v>
      </c>
    </row>
    <row r="203" spans="8:8">
      <c r="A203" s="3" t="s">
        <v>219</v>
      </c>
      <c r="B203" s="4" t="s">
        <v>196</v>
      </c>
      <c r="C203" s="93">
        <v>1.0</v>
      </c>
      <c r="D203" s="93">
        <v>1.5534481107600003E8</v>
      </c>
      <c r="E203" s="372">
        <v>2417374.0</v>
      </c>
      <c r="F203" s="372">
        <v>3626048.0</v>
      </c>
      <c r="G203" s="360"/>
      <c r="H203" s="360"/>
      <c r="I203" s="6">
        <f t="shared" si="7"/>
        <v>1.6138823407600003E8</v>
      </c>
    </row>
    <row r="204" spans="8:8">
      <c r="A204" s="3" t="s">
        <v>220</v>
      </c>
      <c r="B204" s="4" t="s">
        <v>196</v>
      </c>
      <c r="C204" s="93">
        <v>1.0</v>
      </c>
      <c r="D204" s="93">
        <v>1.5534481107600003E8</v>
      </c>
      <c r="E204" s="372">
        <v>2417374.0</v>
      </c>
      <c r="F204" s="372">
        <v>3626048.0</v>
      </c>
      <c r="G204" s="360"/>
      <c r="H204" s="360"/>
      <c r="I204" s="6">
        <f t="shared" si="7"/>
        <v>1.6138823407600003E8</v>
      </c>
    </row>
    <row r="205" spans="8:8">
      <c r="A205" s="15" t="s">
        <v>221</v>
      </c>
      <c r="B205" s="4" t="s">
        <v>196</v>
      </c>
      <c r="C205" s="93">
        <v>1.0</v>
      </c>
      <c r="D205" s="93">
        <v>1.5534481107600003E8</v>
      </c>
      <c r="E205" s="372">
        <v>2417374.0</v>
      </c>
      <c r="F205" s="372">
        <v>3626048.0</v>
      </c>
      <c r="G205" s="360"/>
      <c r="H205" s="360"/>
      <c r="I205" s="6">
        <f t="shared" si="7"/>
        <v>1.6138823407600003E8</v>
      </c>
    </row>
    <row r="206" spans="8:8">
      <c r="A206" s="3" t="s">
        <v>222</v>
      </c>
      <c r="B206" s="4" t="s">
        <v>196</v>
      </c>
      <c r="C206" s="93">
        <v>1.0</v>
      </c>
      <c r="D206" s="93">
        <v>3.1068962215200007E8</v>
      </c>
      <c r="E206" s="372">
        <v>2417374.0</v>
      </c>
      <c r="F206" s="372">
        <v>3626048.0</v>
      </c>
      <c r="G206" s="360"/>
      <c r="H206" s="360"/>
      <c r="I206" s="6">
        <f t="shared" si="7"/>
        <v>3.1673304515200007E8</v>
      </c>
    </row>
    <row r="207" spans="8:8">
      <c r="A207" s="3" t="s">
        <v>223</v>
      </c>
      <c r="B207" s="4" t="s">
        <v>196</v>
      </c>
      <c r="C207" s="93">
        <v>1.0</v>
      </c>
      <c r="D207" s="93">
        <v>1.5534481107600003E8</v>
      </c>
      <c r="E207" s="372">
        <v>2417374.0</v>
      </c>
      <c r="F207" s="372">
        <v>3626048.0</v>
      </c>
      <c r="G207" s="360"/>
      <c r="H207" s="360"/>
      <c r="I207" s="6">
        <f t="shared" si="7"/>
        <v>1.6138823407600003E8</v>
      </c>
    </row>
    <row r="208" spans="8:8">
      <c r="A208" s="3" t="s">
        <v>224</v>
      </c>
      <c r="B208" s="4" t="s">
        <v>196</v>
      </c>
      <c r="C208" s="93">
        <v>1.0</v>
      </c>
      <c r="D208" s="93">
        <v>1.5534481107600003E8</v>
      </c>
      <c r="E208" s="372">
        <v>2417374.0</v>
      </c>
      <c r="F208" s="372">
        <v>3626048.0</v>
      </c>
      <c r="G208" s="360"/>
      <c r="H208" s="360"/>
      <c r="I208" s="6">
        <f t="shared" si="7"/>
        <v>1.6138823407600003E8</v>
      </c>
    </row>
    <row r="209" spans="8:8">
      <c r="A209" s="3" t="s">
        <v>225</v>
      </c>
      <c r="B209" s="4" t="s">
        <v>196</v>
      </c>
      <c r="C209" s="93">
        <v>1.0</v>
      </c>
      <c r="D209" s="93">
        <v>1.5534481107600003E8</v>
      </c>
      <c r="E209" s="372">
        <v>2417374.0</v>
      </c>
      <c r="F209" s="372">
        <v>3626048.0</v>
      </c>
      <c r="G209" s="360"/>
      <c r="H209" s="360"/>
      <c r="I209" s="6">
        <f t="shared" si="7"/>
        <v>1.6138823407600003E8</v>
      </c>
    </row>
    <row r="210" spans="8:8">
      <c r="A210" s="3" t="s">
        <v>226</v>
      </c>
      <c r="B210" s="4" t="s">
        <v>196</v>
      </c>
      <c r="C210" s="93">
        <v>1.0</v>
      </c>
      <c r="D210" s="93">
        <v>2.04163435476E8</v>
      </c>
      <c r="E210" s="372">
        <v>2417374.0</v>
      </c>
      <c r="F210" s="372">
        <v>3626048.0</v>
      </c>
      <c r="G210" s="360"/>
      <c r="H210" s="360"/>
      <c r="I210" s="6">
        <f t="shared" si="7"/>
        <v>2.10206858476E8</v>
      </c>
    </row>
    <row r="211" spans="8:8">
      <c r="A211" s="3" t="s">
        <v>228</v>
      </c>
      <c r="B211" s="4" t="s">
        <v>196</v>
      </c>
      <c r="C211" s="93">
        <v>1.0</v>
      </c>
      <c r="D211" s="93">
        <v>1.5534481107600003E8</v>
      </c>
      <c r="E211" s="372">
        <v>2417374.0</v>
      </c>
      <c r="F211" s="372">
        <v>3626048.0</v>
      </c>
      <c r="G211" s="360"/>
      <c r="H211" s="360"/>
      <c r="I211" s="6">
        <f t="shared" si="7"/>
        <v>1.6138823407600003E8</v>
      </c>
    </row>
    <row r="212" spans="8:8">
      <c r="A212" s="3" t="s">
        <v>229</v>
      </c>
      <c r="B212" s="4" t="s">
        <v>196</v>
      </c>
      <c r="C212" s="93">
        <v>1.0</v>
      </c>
      <c r="D212" s="93">
        <v>1.5534481107600003E8</v>
      </c>
      <c r="E212" s="372">
        <v>2417374.0</v>
      </c>
      <c r="F212" s="372">
        <v>3626048.0</v>
      </c>
      <c r="G212" s="360"/>
      <c r="H212" s="360"/>
      <c r="I212" s="6">
        <f t="shared" si="7"/>
        <v>1.6138823407600003E8</v>
      </c>
    </row>
    <row r="213" spans="8:8">
      <c r="A213" s="3" t="s">
        <v>230</v>
      </c>
      <c r="B213" s="4" t="s">
        <v>196</v>
      </c>
      <c r="C213" s="93">
        <v>1.0</v>
      </c>
      <c r="D213" s="93">
        <v>1.5534481107600003E8</v>
      </c>
      <c r="E213" s="372">
        <v>2417374.0</v>
      </c>
      <c r="F213" s="372">
        <v>3626048.0</v>
      </c>
      <c r="G213" s="360"/>
      <c r="H213" s="360"/>
      <c r="I213" s="6">
        <f t="shared" si="7"/>
        <v>1.6138823407600003E8</v>
      </c>
    </row>
    <row r="214" spans="8:8">
      <c r="A214" s="3" t="s">
        <v>231</v>
      </c>
      <c r="B214" s="4" t="s">
        <v>196</v>
      </c>
      <c r="C214" s="93">
        <v>1.0</v>
      </c>
      <c r="D214" s="93">
        <v>1.5534481107600003E8</v>
      </c>
      <c r="E214" s="372">
        <v>2417374.0</v>
      </c>
      <c r="F214" s="372">
        <v>3626048.0</v>
      </c>
      <c r="G214" s="360"/>
      <c r="H214" s="360"/>
      <c r="I214" s="6">
        <f t="shared" si="7"/>
        <v>1.6138823407600003E8</v>
      </c>
    </row>
    <row r="215" spans="8:8">
      <c r="A215" s="3" t="s">
        <v>232</v>
      </c>
      <c r="B215" s="4" t="s">
        <v>196</v>
      </c>
      <c r="C215" s="93">
        <v>1.0</v>
      </c>
      <c r="D215" s="93">
        <v>1.5534481107600003E8</v>
      </c>
      <c r="E215" s="372">
        <v>2417374.0</v>
      </c>
      <c r="F215" s="372">
        <v>3626048.0</v>
      </c>
      <c r="G215" s="360"/>
      <c r="H215" s="360"/>
      <c r="I215" s="6">
        <f t="shared" si="7"/>
        <v>1.6138823407600003E8</v>
      </c>
    </row>
    <row r="216" spans="8:8">
      <c r="A216" s="3" t="s">
        <v>233</v>
      </c>
      <c r="B216" s="4" t="s">
        <v>196</v>
      </c>
      <c r="C216" s="93">
        <v>1.0</v>
      </c>
      <c r="D216" s="93">
        <v>1.5534481107600003E8</v>
      </c>
      <c r="E216" s="372">
        <v>2417374.0</v>
      </c>
      <c r="F216" s="372">
        <v>3626048.0</v>
      </c>
      <c r="G216" s="360"/>
      <c r="H216" s="360"/>
      <c r="I216" s="6">
        <f t="shared" si="7"/>
        <v>1.6138823407600003E8</v>
      </c>
    </row>
    <row r="217" spans="8:8">
      <c r="A217" s="3" t="s">
        <v>234</v>
      </c>
      <c r="B217" s="4" t="s">
        <v>196</v>
      </c>
      <c r="C217" s="93">
        <v>1.0</v>
      </c>
      <c r="D217" s="93">
        <v>1.5534481107600003E8</v>
      </c>
      <c r="E217" s="372">
        <v>2417374.0</v>
      </c>
      <c r="F217" s="372">
        <v>3626048.0</v>
      </c>
      <c r="G217" s="360"/>
      <c r="H217" s="360"/>
      <c r="I217" s="6">
        <f t="shared" si="7"/>
        <v>1.6138823407600003E8</v>
      </c>
    </row>
    <row r="218" spans="8:8">
      <c r="A218" s="3" t="s">
        <v>235</v>
      </c>
      <c r="B218" s="4" t="s">
        <v>196</v>
      </c>
      <c r="C218" s="93">
        <v>1.0</v>
      </c>
      <c r="D218" s="93">
        <v>1.5534481107600003E8</v>
      </c>
      <c r="E218" s="372">
        <v>2417374.0</v>
      </c>
      <c r="F218" s="372">
        <v>3626048.0</v>
      </c>
      <c r="G218" s="360"/>
      <c r="H218" s="360"/>
      <c r="I218" s="6">
        <f t="shared" si="7"/>
        <v>1.6138823407600003E8</v>
      </c>
    </row>
    <row r="219" spans="8:8">
      <c r="A219" s="3" t="s">
        <v>236</v>
      </c>
      <c r="B219" s="4" t="s">
        <v>196</v>
      </c>
      <c r="C219" s="93">
        <v>1.0</v>
      </c>
      <c r="D219" s="93">
        <v>1.5534481107600003E8</v>
      </c>
      <c r="E219" s="372">
        <v>2417374.0</v>
      </c>
      <c r="F219" s="372">
        <v>3626048.0</v>
      </c>
      <c r="G219" s="360"/>
      <c r="H219" s="360"/>
      <c r="I219" s="6">
        <f t="shared" si="7"/>
        <v>1.6138823407600003E8</v>
      </c>
    </row>
    <row r="220" spans="8:8">
      <c r="A220" s="3" t="s">
        <v>237</v>
      </c>
      <c r="B220" s="4" t="s">
        <v>196</v>
      </c>
      <c r="C220" s="93">
        <v>1.0</v>
      </c>
      <c r="D220" s="93">
        <v>1.5534481107600003E8</v>
      </c>
      <c r="E220" s="372">
        <v>2417374.0</v>
      </c>
      <c r="F220" s="372">
        <v>3626048.0</v>
      </c>
      <c r="G220" s="360"/>
      <c r="H220" s="360"/>
      <c r="I220" s="6">
        <f t="shared" si="7"/>
        <v>1.6138823407600003E8</v>
      </c>
    </row>
    <row r="221" spans="8:8">
      <c r="A221" s="3" t="s">
        <v>238</v>
      </c>
      <c r="B221" s="4" t="s">
        <v>196</v>
      </c>
      <c r="C221" s="93">
        <v>1.0</v>
      </c>
      <c r="D221" s="93">
        <v>1.5534481107600003E8</v>
      </c>
      <c r="E221" s="372">
        <v>2417374.0</v>
      </c>
      <c r="F221" s="372">
        <v>3626048.0</v>
      </c>
      <c r="G221" s="360"/>
      <c r="H221" s="360"/>
      <c r="I221" s="6">
        <f t="shared" si="7"/>
        <v>1.6138823407600003E8</v>
      </c>
    </row>
    <row r="222" spans="8:8">
      <c r="A222" s="3" t="s">
        <v>239</v>
      </c>
      <c r="B222" s="4" t="s">
        <v>196</v>
      </c>
      <c r="C222" s="93">
        <v>1.0</v>
      </c>
      <c r="D222" s="93">
        <v>1.5534481107600003E8</v>
      </c>
      <c r="E222" s="372">
        <v>2417374.0</v>
      </c>
      <c r="F222" s="372">
        <v>3626048.0</v>
      </c>
      <c r="G222" s="360"/>
      <c r="H222" s="360"/>
      <c r="I222" s="6">
        <f t="shared" si="7"/>
        <v>1.6138823407600003E8</v>
      </c>
    </row>
    <row r="223" spans="8:8">
      <c r="A223" s="3" t="s">
        <v>240</v>
      </c>
      <c r="B223" s="4" t="s">
        <v>196</v>
      </c>
      <c r="C223" s="93">
        <v>1.0</v>
      </c>
      <c r="D223" s="93">
        <v>1.5534481107600003E8</v>
      </c>
      <c r="E223" s="372">
        <v>2417374.0</v>
      </c>
      <c r="F223" s="372">
        <v>3626048.0</v>
      </c>
      <c r="G223" s="360"/>
      <c r="H223" s="360"/>
      <c r="I223" s="6">
        <f t="shared" si="7"/>
        <v>1.6138823407600003E8</v>
      </c>
    </row>
    <row r="224" spans="8:8">
      <c r="A224" s="3" t="s">
        <v>241</v>
      </c>
      <c r="B224" s="16" t="s">
        <v>196</v>
      </c>
      <c r="C224" s="93">
        <v>1.0</v>
      </c>
      <c r="D224" s="93">
        <v>1.5534481107600003E8</v>
      </c>
      <c r="E224" s="372">
        <v>2417374.0</v>
      </c>
      <c r="F224" s="372">
        <v>3626048.0</v>
      </c>
      <c r="G224" s="360"/>
      <c r="H224" s="360"/>
      <c r="I224" s="6">
        <f t="shared" si="7"/>
        <v>1.6138823407600003E8</v>
      </c>
    </row>
    <row r="225" spans="8:8">
      <c r="A225" s="3" t="s">
        <v>242</v>
      </c>
      <c r="B225" s="4" t="s">
        <v>196</v>
      </c>
      <c r="C225" s="93">
        <v>1.0</v>
      </c>
      <c r="D225" s="93">
        <v>1.5534481107600003E8</v>
      </c>
      <c r="E225" s="372">
        <v>2417374.0</v>
      </c>
      <c r="F225" s="372">
        <v>3626048.0</v>
      </c>
      <c r="G225" s="360"/>
      <c r="H225" s="360"/>
      <c r="I225" s="6">
        <f t="shared" si="7"/>
        <v>1.6138823407600003E8</v>
      </c>
    </row>
    <row r="226" spans="8:8">
      <c r="A226" s="3" t="s">
        <v>243</v>
      </c>
      <c r="B226" s="4" t="s">
        <v>196</v>
      </c>
      <c r="C226" s="93">
        <v>1.0</v>
      </c>
      <c r="D226" s="93">
        <v>1.5534481107600003E8</v>
      </c>
      <c r="E226" s="372">
        <v>2417374.0</v>
      </c>
      <c r="F226" s="372">
        <v>3626048.0</v>
      </c>
      <c r="G226" s="360"/>
      <c r="H226" s="360"/>
      <c r="I226" s="6">
        <f t="shared" si="7"/>
        <v>1.6138823407600003E8</v>
      </c>
    </row>
    <row r="227" spans="8:8" s="49" ht="15.0" customFormat="1">
      <c r="A227" s="3" t="s">
        <v>244</v>
      </c>
      <c r="B227" s="4" t="s">
        <v>196</v>
      </c>
      <c r="C227" s="93">
        <v>1.0</v>
      </c>
      <c r="D227" s="93">
        <v>1.5534481107600003E8</v>
      </c>
      <c r="E227" s="372">
        <v>2417374.0</v>
      </c>
      <c r="F227" s="372">
        <v>3626048.0</v>
      </c>
      <c r="G227" s="360"/>
      <c r="H227" s="360"/>
      <c r="I227" s="17">
        <f t="shared" si="7"/>
        <v>1.6138823407600003E8</v>
      </c>
    </row>
    <row r="228" spans="8:8">
      <c r="A228" s="3" t="s">
        <v>246</v>
      </c>
      <c r="B228" s="4" t="s">
        <v>196</v>
      </c>
      <c r="C228" s="93">
        <v>1.0</v>
      </c>
      <c r="D228" s="93">
        <v>1.5534481107600003E8</v>
      </c>
      <c r="E228" s="372">
        <v>2417374.0</v>
      </c>
      <c r="F228" s="372">
        <v>3626048.0</v>
      </c>
      <c r="G228" s="360"/>
      <c r="H228" s="360"/>
      <c r="I228" s="6">
        <f t="shared" si="7"/>
        <v>1.6138823407600003E8</v>
      </c>
    </row>
    <row r="229" spans="8:8">
      <c r="A229" s="3" t="s">
        <v>247</v>
      </c>
      <c r="B229" s="4" t="s">
        <v>196</v>
      </c>
      <c r="C229" s="93">
        <v>1.0</v>
      </c>
      <c r="D229" s="93">
        <v>1.5534481107600003E8</v>
      </c>
      <c r="E229" s="372">
        <v>2417374.0</v>
      </c>
      <c r="F229" s="372">
        <v>3626048.0</v>
      </c>
      <c r="G229" s="360"/>
      <c r="H229" s="360"/>
      <c r="I229" s="6">
        <f t="shared" si="7"/>
        <v>1.6138823407600003E8</v>
      </c>
    </row>
    <row r="230" spans="8:8">
      <c r="A230" s="3" t="s">
        <v>248</v>
      </c>
      <c r="B230" s="4" t="s">
        <v>196</v>
      </c>
      <c r="C230" s="93">
        <v>1.0</v>
      </c>
      <c r="D230" s="93">
        <v>1.5534481107600003E8</v>
      </c>
      <c r="E230" s="372">
        <v>2417374.0</v>
      </c>
      <c r="F230" s="372">
        <v>3626048.0</v>
      </c>
      <c r="G230" s="360"/>
      <c r="H230" s="360"/>
      <c r="I230" s="6">
        <f t="shared" si="7"/>
        <v>1.6138823407600003E8</v>
      </c>
    </row>
    <row r="231" spans="8:8">
      <c r="A231" s="3" t="s">
        <v>249</v>
      </c>
      <c r="B231" s="4" t="s">
        <v>196</v>
      </c>
      <c r="C231" s="93">
        <v>1.0</v>
      </c>
      <c r="D231" s="93">
        <v>1.5534481107600003E8</v>
      </c>
      <c r="E231" s="372">
        <v>2417374.0</v>
      </c>
      <c r="F231" s="372">
        <v>3626048.0</v>
      </c>
      <c r="G231" s="360"/>
      <c r="H231" s="360"/>
      <c r="I231" s="6">
        <f t="shared" si="7"/>
        <v>1.6138823407600003E8</v>
      </c>
    </row>
    <row r="232" spans="8:8">
      <c r="A232" s="3" t="s">
        <v>250</v>
      </c>
      <c r="B232" s="4" t="s">
        <v>196</v>
      </c>
      <c r="C232" s="93">
        <v>1.0</v>
      </c>
      <c r="D232" s="93">
        <v>1.5534481107600003E8</v>
      </c>
      <c r="E232" s="372">
        <v>2417374.0</v>
      </c>
      <c r="F232" s="372">
        <v>3626048.0</v>
      </c>
      <c r="G232" s="360"/>
      <c r="H232" s="360"/>
      <c r="I232" s="6">
        <f t="shared" si="7"/>
        <v>1.6138823407600003E8</v>
      </c>
    </row>
    <row r="233" spans="8:8">
      <c r="A233" s="3" t="s">
        <v>251</v>
      </c>
      <c r="B233" s="4" t="s">
        <v>196</v>
      </c>
      <c r="C233" s="93">
        <v>1.0</v>
      </c>
      <c r="D233" s="93">
        <v>1.5534481107600003E8</v>
      </c>
      <c r="E233" s="372">
        <v>2417374.0</v>
      </c>
      <c r="F233" s="372">
        <v>3626048.0</v>
      </c>
      <c r="G233" s="360"/>
      <c r="H233" s="360"/>
      <c r="I233" s="6">
        <f t="shared" si="7"/>
        <v>1.6138823407600003E8</v>
      </c>
    </row>
    <row r="234" spans="8:8">
      <c r="A234" s="3" t="s">
        <v>252</v>
      </c>
      <c r="B234" s="4" t="s">
        <v>196</v>
      </c>
      <c r="C234" s="93">
        <v>1.0</v>
      </c>
      <c r="D234" s="93">
        <v>1.5534481107600003E8</v>
      </c>
      <c r="E234" s="372">
        <v>2417374.0</v>
      </c>
      <c r="F234" s="372">
        <v>3626048.0</v>
      </c>
      <c r="G234" s="360"/>
      <c r="H234" s="360"/>
      <c r="I234" s="6">
        <f t="shared" si="7"/>
        <v>1.6138823407600003E8</v>
      </c>
    </row>
    <row r="235" spans="8:8">
      <c r="A235" s="3" t="s">
        <v>253</v>
      </c>
      <c r="B235" s="4" t="s">
        <v>196</v>
      </c>
      <c r="C235" s="93">
        <v>1.0</v>
      </c>
      <c r="D235" s="93">
        <v>1.5534481107600003E8</v>
      </c>
      <c r="E235" s="372">
        <v>2417374.0</v>
      </c>
      <c r="F235" s="372">
        <v>3626048.0</v>
      </c>
      <c r="G235" s="360"/>
      <c r="H235" s="360"/>
      <c r="I235" s="6">
        <f t="shared" si="7"/>
        <v>1.6138823407600003E8</v>
      </c>
    </row>
    <row r="236" spans="8:8">
      <c r="A236" s="3" t="s">
        <v>254</v>
      </c>
      <c r="B236" s="4" t="s">
        <v>196</v>
      </c>
      <c r="C236" s="93">
        <v>1.0</v>
      </c>
      <c r="D236" s="93">
        <v>1.5534481107600003E8</v>
      </c>
      <c r="E236" s="372">
        <v>2417374.0</v>
      </c>
      <c r="F236" s="372">
        <v>3626048.0</v>
      </c>
      <c r="G236" s="360"/>
      <c r="H236" s="360"/>
      <c r="I236" s="6">
        <f t="shared" si="7"/>
        <v>1.6138823407600003E8</v>
      </c>
    </row>
    <row r="237" spans="8:8">
      <c r="A237" s="3" t="s">
        <v>255</v>
      </c>
      <c r="B237" s="4" t="s">
        <v>196</v>
      </c>
      <c r="C237" s="93">
        <v>1.0</v>
      </c>
      <c r="D237" s="93">
        <v>1.5534481107600003E8</v>
      </c>
      <c r="E237" s="372">
        <v>2417374.0</v>
      </c>
      <c r="F237" s="372">
        <v>3626048.0</v>
      </c>
      <c r="G237" s="360"/>
      <c r="H237" s="360"/>
      <c r="I237" s="6">
        <f t="shared" si="7"/>
        <v>1.6138823407600003E8</v>
      </c>
    </row>
    <row r="238" spans="8:8">
      <c r="A238" s="3" t="s">
        <v>256</v>
      </c>
      <c r="B238" s="4" t="s">
        <v>196</v>
      </c>
      <c r="C238" s="93">
        <v>1.0</v>
      </c>
      <c r="D238" s="93">
        <v>1.5534481107600003E8</v>
      </c>
      <c r="E238" s="372">
        <v>2417374.0</v>
      </c>
      <c r="F238" s="372">
        <v>3626048.0</v>
      </c>
      <c r="G238" s="360"/>
      <c r="H238" s="360"/>
      <c r="I238" s="6">
        <f t="shared" si="7"/>
        <v>1.6138823407600003E8</v>
      </c>
    </row>
    <row r="239" spans="8:8">
      <c r="A239" s="3" t="s">
        <v>257</v>
      </c>
      <c r="B239" s="4" t="s">
        <v>196</v>
      </c>
      <c r="C239" s="93">
        <v>1.0</v>
      </c>
      <c r="D239" s="93">
        <v>1.5534481107600003E8</v>
      </c>
      <c r="E239" s="372">
        <v>2417374.0</v>
      </c>
      <c r="F239" s="372">
        <v>3626048.0</v>
      </c>
      <c r="G239" s="360"/>
      <c r="H239" s="360"/>
      <c r="I239" s="6">
        <f t="shared" si="7"/>
        <v>1.6138823407600003E8</v>
      </c>
    </row>
    <row r="240" spans="8:8">
      <c r="A240" s="3" t="s">
        <v>258</v>
      </c>
      <c r="B240" s="4" t="s">
        <v>196</v>
      </c>
      <c r="C240" s="93">
        <v>1.0</v>
      </c>
      <c r="D240" s="93">
        <v>1.5534481107600003E8</v>
      </c>
      <c r="E240" s="372">
        <v>2417374.0</v>
      </c>
      <c r="F240" s="372">
        <v>3626048.0</v>
      </c>
      <c r="G240" s="360"/>
      <c r="H240" s="360"/>
      <c r="I240" s="6">
        <f t="shared" si="7"/>
        <v>1.6138823407600003E8</v>
      </c>
    </row>
    <row r="241" spans="8:8">
      <c r="A241" s="3" t="s">
        <v>259</v>
      </c>
      <c r="B241" s="4" t="s">
        <v>196</v>
      </c>
      <c r="C241" s="93">
        <v>1.0</v>
      </c>
      <c r="D241" s="93">
        <v>1.5534481107600003E8</v>
      </c>
      <c r="E241" s="372">
        <v>2417374.0</v>
      </c>
      <c r="F241" s="372">
        <v>3626048.0</v>
      </c>
      <c r="G241" s="360"/>
      <c r="H241" s="360"/>
      <c r="I241" s="6">
        <f>SUM(C241:H241)</f>
        <v>1.6138823407600003E8</v>
      </c>
    </row>
    <row r="242" spans="8:8">
      <c r="A242" s="3" t="s">
        <v>260</v>
      </c>
      <c r="B242" s="4" t="s">
        <v>196</v>
      </c>
      <c r="C242" s="93">
        <v>6.4480374504E7</v>
      </c>
      <c r="D242" s="93">
        <v>1.8658308614399996E8</v>
      </c>
      <c r="E242" s="372">
        <v>2417374.0</v>
      </c>
      <c r="F242" s="372">
        <v>3626048.0</v>
      </c>
      <c r="G242" s="360"/>
      <c r="H242" s="360"/>
      <c r="I242" s="6">
        <f>SUM(C242:H242)</f>
        <v>2.5710688264799997E8</v>
      </c>
    </row>
    <row r="243" spans="8:8">
      <c r="A243" s="3" t="s">
        <v>262</v>
      </c>
      <c r="B243" s="4" t="s">
        <v>196</v>
      </c>
      <c r="C243" s="93">
        <v>1.0</v>
      </c>
      <c r="D243" s="93">
        <v>1.8641377263600004E8</v>
      </c>
      <c r="E243" s="372">
        <v>2417374.0</v>
      </c>
      <c r="F243" s="372">
        <v>3626048.0</v>
      </c>
      <c r="G243" s="360"/>
      <c r="H243" s="360"/>
      <c r="I243" s="6">
        <f t="shared" si="8" ref="I243:I255">SUM(C243:F243)</f>
        <v>1.9245719563600004E8</v>
      </c>
    </row>
    <row r="244" spans="8:8">
      <c r="A244" s="3" t="s">
        <v>265</v>
      </c>
      <c r="B244" s="4" t="s">
        <v>196</v>
      </c>
      <c r="C244" s="93">
        <v>1.0</v>
      </c>
      <c r="D244" s="93">
        <v>1.5534481107600003E8</v>
      </c>
      <c r="E244" s="372">
        <v>2417374.0</v>
      </c>
      <c r="F244" s="372">
        <v>3626048.0</v>
      </c>
      <c r="G244" s="360"/>
      <c r="H244" s="360"/>
      <c r="I244" s="6">
        <f t="shared" si="8"/>
        <v>1.6138823407600003E8</v>
      </c>
    </row>
    <row r="245" spans="8:8">
      <c r="A245" s="3" t="s">
        <v>266</v>
      </c>
      <c r="B245" s="4" t="s">
        <v>196</v>
      </c>
      <c r="C245" s="93">
        <v>1.0</v>
      </c>
      <c r="D245" s="93">
        <v>1.5534481107600003E8</v>
      </c>
      <c r="E245" s="372">
        <v>2417374.0</v>
      </c>
      <c r="F245" s="372">
        <v>3626048.0</v>
      </c>
      <c r="G245" s="360"/>
      <c r="H245" s="360"/>
      <c r="I245" s="6">
        <f t="shared" si="8"/>
        <v>1.6138823407600003E8</v>
      </c>
    </row>
    <row r="246" spans="8:8">
      <c r="A246" s="3" t="s">
        <v>267</v>
      </c>
      <c r="B246" s="4" t="s">
        <v>196</v>
      </c>
      <c r="C246" s="93">
        <v>1.0</v>
      </c>
      <c r="D246" s="93">
        <v>1.5534481107600003E8</v>
      </c>
      <c r="E246" s="372">
        <v>2417374.0</v>
      </c>
      <c r="F246" s="372">
        <v>3626048.0</v>
      </c>
      <c r="G246" s="360"/>
      <c r="H246" s="360"/>
      <c r="I246" s="6">
        <f t="shared" si="8"/>
        <v>1.6138823407600003E8</v>
      </c>
    </row>
    <row r="247" spans="8:8">
      <c r="A247" s="3" t="s">
        <v>268</v>
      </c>
      <c r="B247" s="4" t="s">
        <v>196</v>
      </c>
      <c r="C247" s="93">
        <v>1.0</v>
      </c>
      <c r="D247" s="93">
        <v>1.5534481107600003E8</v>
      </c>
      <c r="E247" s="372">
        <v>2417374.0</v>
      </c>
      <c r="F247" s="372">
        <v>3626048.0</v>
      </c>
      <c r="G247" s="360"/>
      <c r="H247" s="360"/>
      <c r="I247" s="6">
        <f t="shared" si="8"/>
        <v>1.6138823407600003E8</v>
      </c>
    </row>
    <row r="248" spans="8:8">
      <c r="A248" s="3" t="s">
        <v>269</v>
      </c>
      <c r="B248" s="4" t="s">
        <v>196</v>
      </c>
      <c r="C248" s="93">
        <v>1.0</v>
      </c>
      <c r="D248" s="93">
        <v>1.5534481107600003E8</v>
      </c>
      <c r="E248" s="372">
        <v>2417374.0</v>
      </c>
      <c r="F248" s="372">
        <v>3626048.0</v>
      </c>
      <c r="G248" s="360"/>
      <c r="H248" s="360"/>
      <c r="I248" s="6">
        <f t="shared" si="8"/>
        <v>1.6138823407600003E8</v>
      </c>
    </row>
    <row r="249" spans="8:8">
      <c r="A249" s="3" t="s">
        <v>270</v>
      </c>
      <c r="B249" s="4" t="s">
        <v>196</v>
      </c>
      <c r="C249" s="93">
        <v>1.0</v>
      </c>
      <c r="D249" s="93">
        <v>1.5534481107600003E8</v>
      </c>
      <c r="E249" s="372">
        <v>2417374.0</v>
      </c>
      <c r="F249" s="372">
        <v>3626048.0</v>
      </c>
      <c r="G249" s="360"/>
      <c r="H249" s="360"/>
      <c r="I249" s="6">
        <f t="shared" si="8"/>
        <v>1.6138823407600003E8</v>
      </c>
    </row>
    <row r="250" spans="8:8">
      <c r="A250" s="3" t="s">
        <v>271</v>
      </c>
      <c r="B250" s="4" t="s">
        <v>196</v>
      </c>
      <c r="C250" s="93">
        <v>1.0</v>
      </c>
      <c r="D250" s="93">
        <v>1.5534481107600003E8</v>
      </c>
      <c r="E250" s="372">
        <v>2417374.0</v>
      </c>
      <c r="F250" s="372">
        <v>3626048.0</v>
      </c>
      <c r="G250" s="360"/>
      <c r="H250" s="360"/>
      <c r="I250" s="6">
        <f t="shared" si="8"/>
        <v>1.6138823407600003E8</v>
      </c>
    </row>
    <row r="251" spans="8:8">
      <c r="A251" s="3" t="s">
        <v>272</v>
      </c>
      <c r="B251" s="4" t="s">
        <v>196</v>
      </c>
      <c r="C251" s="93">
        <v>1.0</v>
      </c>
      <c r="D251" s="93">
        <v>1.5534481107600003E8</v>
      </c>
      <c r="E251" s="372">
        <v>2417374.0</v>
      </c>
      <c r="F251" s="372">
        <v>3626048.0</v>
      </c>
      <c r="G251" s="360"/>
      <c r="H251" s="360"/>
      <c r="I251" s="6">
        <f t="shared" si="8"/>
        <v>1.6138823407600003E8</v>
      </c>
    </row>
    <row r="252" spans="8:8">
      <c r="A252" s="3" t="s">
        <v>273</v>
      </c>
      <c r="B252" s="4" t="s">
        <v>196</v>
      </c>
      <c r="C252" s="93">
        <v>1.0</v>
      </c>
      <c r="D252" s="93">
        <v>1.5534481107600003E8</v>
      </c>
      <c r="E252" s="372">
        <v>2417374.0</v>
      </c>
      <c r="F252" s="372">
        <v>3626048.0</v>
      </c>
      <c r="G252" s="360"/>
      <c r="H252" s="360"/>
      <c r="I252" s="6">
        <f t="shared" si="8"/>
        <v>1.6138823407600003E8</v>
      </c>
    </row>
    <row r="253" spans="8:8">
      <c r="A253" s="3" t="s">
        <v>274</v>
      </c>
      <c r="B253" s="4" t="s">
        <v>196</v>
      </c>
      <c r="C253" s="93">
        <v>1.0</v>
      </c>
      <c r="D253" s="93">
        <v>1.5534481107600003E8</v>
      </c>
      <c r="E253" s="372">
        <v>2417374.0</v>
      </c>
      <c r="F253" s="372">
        <v>3626048.0</v>
      </c>
      <c r="G253" s="360"/>
      <c r="H253" s="360"/>
      <c r="I253" s="6">
        <f t="shared" si="8"/>
        <v>1.6138823407600003E8</v>
      </c>
    </row>
    <row r="254" spans="8:8">
      <c r="A254" s="3" t="s">
        <v>275</v>
      </c>
      <c r="B254" s="4" t="s">
        <v>196</v>
      </c>
      <c r="C254" s="93">
        <v>1.0</v>
      </c>
      <c r="D254" s="93">
        <v>1.5534481107600003E8</v>
      </c>
      <c r="E254" s="372">
        <v>2417374.0</v>
      </c>
      <c r="F254" s="372">
        <v>3626048.0</v>
      </c>
      <c r="G254" s="360"/>
      <c r="H254" s="360"/>
      <c r="I254" s="6">
        <f t="shared" si="8"/>
        <v>1.6138823407600003E8</v>
      </c>
    </row>
    <row r="255" spans="8:8">
      <c r="A255" s="3" t="s">
        <v>276</v>
      </c>
      <c r="B255" s="4" t="s">
        <v>196</v>
      </c>
      <c r="C255" s="93">
        <v>1.0</v>
      </c>
      <c r="D255" s="93">
        <v>1.5534481107600003E8</v>
      </c>
      <c r="E255" s="372">
        <v>2417374.0</v>
      </c>
      <c r="F255" s="372">
        <v>3626048.0</v>
      </c>
      <c r="G255" s="360"/>
      <c r="H255" s="360"/>
      <c r="I255" s="6">
        <f t="shared" si="8"/>
        <v>1.6138823407600003E8</v>
      </c>
    </row>
    <row r="256" spans="8:8">
      <c r="A256" s="382" t="s">
        <v>407</v>
      </c>
      <c r="B256" s="4" t="s">
        <v>196</v>
      </c>
      <c r="C256" s="93">
        <v>1.0</v>
      </c>
      <c r="D256" s="93">
        <v>3.1068962215200007E8</v>
      </c>
      <c r="E256" s="372">
        <v>2417374.0</v>
      </c>
      <c r="F256" s="372">
        <v>3626048.0</v>
      </c>
      <c r="G256" s="360"/>
      <c r="H256" s="360"/>
      <c r="I256" s="6">
        <f t="shared" si="9" ref="I256:I270">SUM(C256:H256)</f>
        <v>3.1673304515200007E8</v>
      </c>
    </row>
    <row r="257" spans="8:8">
      <c r="A257" s="382" t="s">
        <v>408</v>
      </c>
      <c r="B257" s="4" t="s">
        <v>196</v>
      </c>
      <c r="C257" s="93">
        <v>1.0</v>
      </c>
      <c r="D257" s="93">
        <v>3.1068962215200007E8</v>
      </c>
      <c r="E257" s="372">
        <v>2417374.0</v>
      </c>
      <c r="F257" s="372">
        <v>3626048.0</v>
      </c>
      <c r="G257" s="360"/>
      <c r="H257" s="360"/>
      <c r="I257" s="6">
        <f t="shared" si="9"/>
        <v>3.1673304515200007E8</v>
      </c>
    </row>
    <row r="258" spans="8:8">
      <c r="A258" s="15" t="s">
        <v>277</v>
      </c>
      <c r="B258" s="4" t="s">
        <v>196</v>
      </c>
      <c r="C258" s="93">
        <v>1.0</v>
      </c>
      <c r="D258" s="93">
        <v>1.5534481107600003E8</v>
      </c>
      <c r="E258" s="372">
        <v>2417374.0</v>
      </c>
      <c r="F258" s="372">
        <v>3626048.0</v>
      </c>
      <c r="G258" s="360"/>
      <c r="H258" s="360"/>
      <c r="I258" s="6">
        <f t="shared" si="9"/>
        <v>1.6138823407600003E8</v>
      </c>
    </row>
    <row r="259" spans="8:8">
      <c r="A259" s="3" t="s">
        <v>280</v>
      </c>
      <c r="B259" s="4" t="s">
        <v>196</v>
      </c>
      <c r="C259" s="93">
        <v>6.4480371228E7</v>
      </c>
      <c r="D259" s="93">
        <v>1.8658308614399996E8</v>
      </c>
      <c r="E259" s="372">
        <v>2417374.0</v>
      </c>
      <c r="F259" s="372">
        <v>3626048.0</v>
      </c>
      <c r="G259" s="360"/>
      <c r="H259" s="360"/>
      <c r="I259" s="6">
        <f t="shared" si="9"/>
        <v>2.5710687937199998E8</v>
      </c>
    </row>
    <row r="260" spans="8:8">
      <c r="A260" s="207" t="s">
        <v>281</v>
      </c>
      <c r="B260" s="208" t="s">
        <v>282</v>
      </c>
      <c r="C260" s="93">
        <v>2.0E8</v>
      </c>
      <c r="D260" s="371"/>
      <c r="E260" s="372"/>
      <c r="F260" s="372"/>
      <c r="G260" s="360"/>
      <c r="H260" s="360"/>
      <c r="I260" s="210">
        <f t="shared" si="9"/>
        <v>2.0E8</v>
      </c>
    </row>
    <row r="261" spans="8:8">
      <c r="A261" s="207" t="s">
        <v>283</v>
      </c>
      <c r="B261" s="208" t="s">
        <v>282</v>
      </c>
      <c r="C261" s="93">
        <v>2.0E8</v>
      </c>
      <c r="D261" s="371"/>
      <c r="E261" s="372"/>
      <c r="F261" s="372"/>
      <c r="G261" s="360"/>
      <c r="H261" s="360"/>
      <c r="I261" s="210">
        <f t="shared" si="9"/>
        <v>2.0E8</v>
      </c>
    </row>
    <row r="262" spans="8:8">
      <c r="A262" s="207" t="s">
        <v>284</v>
      </c>
      <c r="B262" s="208" t="s">
        <v>285</v>
      </c>
      <c r="C262" s="62">
        <v>690950.0</v>
      </c>
      <c r="D262" s="371"/>
      <c r="E262" s="372"/>
      <c r="F262" s="372"/>
      <c r="G262" s="360"/>
      <c r="H262" s="360"/>
      <c r="I262" s="210">
        <f t="shared" si="9"/>
        <v>690950.0</v>
      </c>
    </row>
    <row r="263" spans="8:8">
      <c r="A263" s="207" t="s">
        <v>286</v>
      </c>
      <c r="B263" s="208" t="s">
        <v>285</v>
      </c>
      <c r="C263" s="372">
        <v>1043337.0</v>
      </c>
      <c r="D263" s="371"/>
      <c r="E263" s="372"/>
      <c r="F263" s="372"/>
      <c r="G263" s="360"/>
      <c r="H263" s="360"/>
      <c r="I263" s="210">
        <f t="shared" si="9"/>
        <v>1043337.0</v>
      </c>
    </row>
    <row r="264" spans="8:8">
      <c r="A264" s="15" t="s">
        <v>4</v>
      </c>
      <c r="B264" s="16" t="s">
        <v>285</v>
      </c>
      <c r="C264" s="372">
        <v>2417374.0</v>
      </c>
      <c r="D264" s="371"/>
      <c r="E264" s="372"/>
      <c r="F264" s="372"/>
      <c r="G264" s="360"/>
      <c r="H264" s="360"/>
      <c r="I264" s="210">
        <f t="shared" si="9"/>
        <v>2417374.0</v>
      </c>
    </row>
    <row r="265" spans="8:8">
      <c r="A265" s="15" t="s">
        <v>406</v>
      </c>
      <c r="B265" s="16" t="s">
        <v>285</v>
      </c>
      <c r="C265" s="62">
        <v>9467313.0</v>
      </c>
      <c r="D265" s="371"/>
      <c r="E265" s="372"/>
      <c r="F265" s="372"/>
      <c r="G265" s="360"/>
      <c r="H265" s="360"/>
      <c r="I265" s="210">
        <f t="shared" si="9"/>
        <v>9467313.0</v>
      </c>
    </row>
    <row r="266" spans="8:8">
      <c r="A266" s="207" t="s">
        <v>287</v>
      </c>
      <c r="B266" s="16" t="s">
        <v>285</v>
      </c>
      <c r="C266" s="372">
        <v>7252091.0</v>
      </c>
      <c r="D266" s="371"/>
      <c r="E266" s="372"/>
      <c r="F266" s="372"/>
      <c r="G266" s="360"/>
      <c r="H266" s="360"/>
      <c r="I266" s="210">
        <f t="shared" si="9"/>
        <v>7252091.0</v>
      </c>
    </row>
    <row r="267" spans="8:8">
      <c r="A267" s="15" t="s">
        <v>319</v>
      </c>
      <c r="B267" s="16" t="s">
        <v>285</v>
      </c>
      <c r="C267" s="372">
        <v>4384862.0</v>
      </c>
      <c r="D267" s="372"/>
      <c r="E267" s="372"/>
      <c r="F267" s="372"/>
      <c r="G267" s="360"/>
      <c r="H267" s="360"/>
      <c r="I267" s="210">
        <f t="shared" si="9"/>
        <v>4384862.0</v>
      </c>
    </row>
    <row r="268" spans="8:8">
      <c r="A268" s="15" t="s">
        <v>5</v>
      </c>
      <c r="B268" s="16" t="s">
        <v>285</v>
      </c>
      <c r="C268" s="62">
        <v>3626048.0</v>
      </c>
      <c r="D268" s="3"/>
      <c r="E268" s="372"/>
      <c r="F268" s="372"/>
      <c r="G268" s="360"/>
      <c r="H268" s="360"/>
      <c r="I268" s="210">
        <f t="shared" si="9"/>
        <v>3626048.0</v>
      </c>
    </row>
    <row r="269" spans="8:8">
      <c r="A269" s="15" t="s">
        <v>288</v>
      </c>
      <c r="B269" s="16" t="s">
        <v>285</v>
      </c>
      <c r="C269" s="62">
        <v>1.2105922E7</v>
      </c>
      <c r="D269" s="3"/>
      <c r="E269" s="372"/>
      <c r="F269" s="372"/>
      <c r="G269" s="360"/>
      <c r="H269" s="360"/>
      <c r="I269" s="210">
        <f t="shared" si="9"/>
        <v>1.2105922E7</v>
      </c>
    </row>
    <row r="270" spans="8:8">
      <c r="A270" s="207" t="s">
        <v>291</v>
      </c>
      <c r="B270" s="208" t="s">
        <v>290</v>
      </c>
      <c r="C270" s="93">
        <v>4.910528368199999E7</v>
      </c>
      <c r="D270" s="93">
        <v>4.910528368199999E7</v>
      </c>
      <c r="E270" s="372">
        <v>2417374.0</v>
      </c>
      <c r="F270" s="372">
        <v>3626048.0</v>
      </c>
      <c r="G270" s="360"/>
      <c r="H270" s="360"/>
      <c r="I270" s="210">
        <f t="shared" si="9"/>
        <v>1.0425398936399998E8</v>
      </c>
    </row>
    <row r="271" spans="8:8">
      <c r="A271" s="39"/>
      <c r="C271" s="161"/>
    </row>
    <row r="272" spans="8:8">
      <c r="A272" s="39"/>
      <c r="C272" s="161"/>
    </row>
    <row r="273" spans="8:8">
      <c r="A273" s="39"/>
    </row>
    <row r="274" spans="8:8">
      <c r="A274" s="39"/>
    </row>
    <row r="276" spans="8:8">
      <c r="A276" s="38" t="s">
        <v>351</v>
      </c>
    </row>
    <row r="285" spans="8:8">
      <c r="H285" s="351"/>
    </row>
    <row r="286" spans="8:8" s="49" ht="15.0" customFormat="1">
      <c r="A286" s="38"/>
      <c r="B286" s="39"/>
      <c r="C286" s="40"/>
      <c r="D286" s="163"/>
      <c r="E286" s="163"/>
      <c r="F286" s="163"/>
      <c r="G286" s="314"/>
      <c r="H286" s="351"/>
    </row>
    <row r="294" spans="8:8" s="49" ht="15.0" customFormat="1">
      <c r="A294" s="38"/>
      <c r="B294" s="39"/>
      <c r="C294" s="40"/>
      <c r="D294" s="163"/>
      <c r="E294" s="163"/>
      <c r="F294" s="163"/>
      <c r="G294" s="314"/>
      <c r="H294" s="351"/>
    </row>
    <row r="297" spans="8:8" s="49" ht="15.0" customFormat="1">
      <c r="A297" s="38"/>
      <c r="B297" s="39"/>
      <c r="C297" s="40"/>
      <c r="D297" s="163"/>
      <c r="E297" s="163"/>
      <c r="F297" s="163"/>
      <c r="G297" s="314"/>
      <c r="H297" s="351"/>
    </row>
    <row r="298" spans="8:8" s="49" ht="15.0" customFormat="1">
      <c r="A298" s="38"/>
      <c r="B298" s="39"/>
      <c r="C298" s="40"/>
      <c r="D298" s="163"/>
      <c r="E298" s="163"/>
      <c r="F298" s="163"/>
      <c r="G298" s="314"/>
      <c r="H298" s="351"/>
    </row>
    <row r="299" spans="8:8">
      <c r="H299" s="248"/>
    </row>
    <row r="300" spans="8:8">
      <c r="H300" s="248"/>
    </row>
  </sheetData>
  <pageMargins left="0.7" right="0.7" top="0.75" bottom="0.75" header="0.3" footer="0.3"/>
</worksheet>
</file>

<file path=xl/worksheets/sheet32.xml><?xml version="1.0" encoding="utf-8"?>
<worksheet xmlns:r="http://schemas.openxmlformats.org/officeDocument/2006/relationships" xmlns="http://schemas.openxmlformats.org/spreadsheetml/2006/main">
  <dimension ref="A1:M300"/>
  <sheetViews>
    <sheetView workbookViewId="0">
      <selection activeCell="A1" sqref="A1:XFD1048576"/>
    </sheetView>
  </sheetViews>
  <sheetFormatPr defaultRowHeight="15.0" defaultColWidth="10"/>
  <cols>
    <col min="1" max="1" customWidth="1" width="65.28516" style="38"/>
    <col min="2" max="2" customWidth="1" width="14.285156" style="39"/>
    <col min="3" max="3" hidden="1" customWidth="1" width="14.5703125" style="40"/>
    <col min="4" max="5" hidden="1" customWidth="1" width="18.140625" style="163"/>
    <col min="6" max="6" hidden="1" customWidth="1" width="19.710938" style="163"/>
    <col min="7" max="7" hidden="1" customWidth="1" width="14.5703125" style="314"/>
    <col min="8" max="8" hidden="1" customWidth="1" width="19.710938" style="244"/>
    <col min="9" max="9" customWidth="1" bestFit="1" width="17.0" style="39"/>
    <col min="10" max="10" customWidth="1" width="11.425781" style="39"/>
    <col min="11" max="11" customWidth="1" bestFit="1" width="12.5703125" style="39"/>
    <col min="12" max="16384" customWidth="0" width="11.425781" style="39"/>
  </cols>
  <sheetData>
    <row r="1" spans="8:8" ht="15.75">
      <c r="A1" s="383" t="s">
        <v>0</v>
      </c>
      <c r="B1" s="384" t="s">
        <v>1</v>
      </c>
      <c r="C1" s="385" t="s">
        <v>416</v>
      </c>
      <c r="D1" s="385" t="s">
        <v>3</v>
      </c>
      <c r="E1" s="386" t="s">
        <v>4</v>
      </c>
      <c r="F1" s="386" t="s">
        <v>5</v>
      </c>
      <c r="G1" s="386" t="s">
        <v>406</v>
      </c>
      <c r="H1" s="386" t="s">
        <v>319</v>
      </c>
      <c r="I1" s="387" t="s">
        <v>425</v>
      </c>
    </row>
    <row r="2" spans="8:8" ht="15.75">
      <c r="A2" s="10" t="s">
        <v>7</v>
      </c>
      <c r="B2" s="11" t="s">
        <v>8</v>
      </c>
      <c r="C2" s="118">
        <v>1.0</v>
      </c>
      <c r="D2" s="118">
        <v>9.711368634240001E7</v>
      </c>
      <c r="E2" s="370">
        <v>3626061.0</v>
      </c>
      <c r="F2" s="370">
        <v>5439072.0</v>
      </c>
      <c r="G2" s="316"/>
      <c r="H2" s="362"/>
      <c r="I2" s="13">
        <f>SUM(C2:H2)</f>
        <v>1.0617882034240001E8</v>
      </c>
    </row>
    <row r="3" spans="8:8">
      <c r="A3" s="3" t="s">
        <v>9</v>
      </c>
      <c r="B3" s="4" t="s">
        <v>8</v>
      </c>
      <c r="C3" s="93">
        <v>1.0</v>
      </c>
      <c r="D3" s="93">
        <v>9.711368634240001E7</v>
      </c>
      <c r="E3" s="372">
        <v>3626061.0</v>
      </c>
      <c r="F3" s="372">
        <v>5439072.0</v>
      </c>
      <c r="G3" s="329"/>
      <c r="H3" s="329"/>
      <c r="I3" s="6">
        <f>SUM(C3:F3)</f>
        <v>1.0617882034240001E8</v>
      </c>
    </row>
    <row r="4" spans="8:8">
      <c r="A4" s="3" t="s">
        <v>10</v>
      </c>
      <c r="B4" s="4" t="s">
        <v>8</v>
      </c>
      <c r="C4" s="93">
        <v>1.0</v>
      </c>
      <c r="D4" s="93">
        <v>9.711368634240001E7</v>
      </c>
      <c r="E4" s="372">
        <v>3626061.0</v>
      </c>
      <c r="F4" s="372">
        <v>5439072.0</v>
      </c>
      <c r="G4" s="329"/>
      <c r="H4" s="329"/>
      <c r="I4" s="6">
        <f>SUM(C4:F4)</f>
        <v>1.0617882034240001E8</v>
      </c>
    </row>
    <row r="5" spans="8:8" ht="15.75">
      <c r="A5" s="388" t="s">
        <v>11</v>
      </c>
      <c r="B5" s="389" t="s">
        <v>8</v>
      </c>
      <c r="C5" s="390">
        <v>1.0</v>
      </c>
      <c r="D5" s="391">
        <v>8.232514568E7</v>
      </c>
      <c r="E5" s="392">
        <v>3626061.0</v>
      </c>
      <c r="F5" s="392">
        <v>5439072.0</v>
      </c>
      <c r="G5" s="393"/>
      <c r="H5" s="393"/>
      <c r="I5" s="394">
        <f>SUM(C5:H5)</f>
        <v>9.139027968E7</v>
      </c>
    </row>
    <row r="6" spans="8:8" ht="15.75">
      <c r="A6" s="353" t="s">
        <v>426</v>
      </c>
      <c r="B6" s="25" t="s">
        <v>13</v>
      </c>
      <c r="C6" s="118">
        <v>5.590306753919999E7</v>
      </c>
      <c r="D6" s="118">
        <v>3.83596282944E7</v>
      </c>
      <c r="E6" s="370">
        <v>3626061.0</v>
      </c>
      <c r="F6" s="370">
        <v>5439072.0</v>
      </c>
      <c r="G6" s="395"/>
      <c r="H6" s="370">
        <v>6577293.0</v>
      </c>
      <c r="I6" s="13">
        <f>SUM(C6:H6)</f>
        <v>1.0990512183359998E8</v>
      </c>
      <c r="J6" s="71"/>
      <c r="K6" s="71"/>
    </row>
    <row r="7" spans="8:8" s="49" ht="15.0" customFormat="1">
      <c r="A7" s="206" t="s">
        <v>433</v>
      </c>
      <c r="B7" s="16" t="s">
        <v>13</v>
      </c>
      <c r="C7" s="15"/>
      <c r="D7" s="93"/>
      <c r="E7" s="372"/>
      <c r="F7" s="372"/>
      <c r="G7" s="360"/>
      <c r="H7" s="372"/>
      <c r="I7" s="43">
        <f>I6*2</f>
        <v>2.1981024366719997E8</v>
      </c>
      <c r="J7" s="312"/>
      <c r="K7" s="312"/>
    </row>
    <row r="8" spans="8:8">
      <c r="A8" s="3" t="s">
        <v>15</v>
      </c>
      <c r="B8" s="4" t="s">
        <v>13</v>
      </c>
      <c r="C8" s="93">
        <v>5.590306753919999E7</v>
      </c>
      <c r="D8" s="93">
        <v>3.83596282944E7</v>
      </c>
      <c r="E8" s="372">
        <v>3626061.0</v>
      </c>
      <c r="F8" s="372">
        <v>5439072.0</v>
      </c>
      <c r="G8" s="360"/>
      <c r="H8" s="372">
        <v>6577293.0</v>
      </c>
      <c r="I8" s="6">
        <f t="shared" si="0" ref="I8:I13">SUM(C8:H8)</f>
        <v>1.0990512183359998E8</v>
      </c>
      <c r="J8" s="71"/>
      <c r="K8" s="71"/>
    </row>
    <row r="9" spans="8:8">
      <c r="A9" s="3" t="s">
        <v>16</v>
      </c>
      <c r="B9" s="4" t="s">
        <v>13</v>
      </c>
      <c r="C9" s="93">
        <v>5.590306753919999E7</v>
      </c>
      <c r="D9" s="93">
        <v>3.83596282944E7</v>
      </c>
      <c r="E9" s="372">
        <v>3626061.0</v>
      </c>
      <c r="F9" s="372">
        <v>5439072.0</v>
      </c>
      <c r="G9" s="360"/>
      <c r="H9" s="372">
        <v>6577293.0</v>
      </c>
      <c r="I9" s="6">
        <f t="shared" si="0"/>
        <v>1.0990512183359998E8</v>
      </c>
      <c r="J9" s="71"/>
      <c r="K9" s="71"/>
    </row>
    <row r="10" spans="8:8">
      <c r="A10" s="3" t="s">
        <v>17</v>
      </c>
      <c r="B10" s="4" t="s">
        <v>13</v>
      </c>
      <c r="C10" s="93">
        <v>1.946712934656E8</v>
      </c>
      <c r="D10" s="93">
        <v>8.767914744960001E7</v>
      </c>
      <c r="E10" s="372">
        <v>3626061.0</v>
      </c>
      <c r="F10" s="372">
        <v>5439072.0</v>
      </c>
      <c r="G10" s="360"/>
      <c r="H10" s="372">
        <v>6577293.0</v>
      </c>
      <c r="I10" s="6">
        <f t="shared" si="0"/>
        <v>2.979928669152E8</v>
      </c>
      <c r="J10" s="71"/>
      <c r="K10" s="71"/>
    </row>
    <row r="11" spans="8:8">
      <c r="A11" s="3" t="s">
        <v>18</v>
      </c>
      <c r="B11" s="4" t="s">
        <v>13</v>
      </c>
      <c r="C11" s="93">
        <v>6.6292130822399996E7</v>
      </c>
      <c r="D11" s="93">
        <v>8.767914744960001E7</v>
      </c>
      <c r="E11" s="372">
        <v>3626061.0</v>
      </c>
      <c r="F11" s="372">
        <v>5439072.0</v>
      </c>
      <c r="G11" s="360"/>
      <c r="H11" s="372">
        <v>6577293.0</v>
      </c>
      <c r="I11" s="6">
        <f t="shared" si="0"/>
        <v>1.69613704272E8</v>
      </c>
      <c r="J11" s="71"/>
      <c r="K11" s="71"/>
    </row>
    <row r="12" spans="8:8">
      <c r="A12" s="3" t="s">
        <v>19</v>
      </c>
      <c r="B12" s="4" t="s">
        <v>13</v>
      </c>
      <c r="C12" s="93">
        <v>6.6292130822399996E7</v>
      </c>
      <c r="D12" s="93">
        <v>8.767914744960001E7</v>
      </c>
      <c r="E12" s="372">
        <v>3626061.0</v>
      </c>
      <c r="F12" s="372">
        <v>5439072.0</v>
      </c>
      <c r="G12" s="360"/>
      <c r="H12" s="372">
        <v>6577293.0</v>
      </c>
      <c r="I12" s="6">
        <f t="shared" si="0"/>
        <v>1.69613704272E8</v>
      </c>
      <c r="J12" s="71"/>
      <c r="K12" s="380"/>
    </row>
    <row r="13" spans="8:8">
      <c r="A13" s="3" t="s">
        <v>20</v>
      </c>
      <c r="B13" s="4" t="s">
        <v>13</v>
      </c>
      <c r="C13" s="93">
        <v>6.6292130822399996E7</v>
      </c>
      <c r="D13" s="93">
        <v>8.767914744960001E7</v>
      </c>
      <c r="E13" s="372">
        <v>3626061.0</v>
      </c>
      <c r="F13" s="372">
        <v>5439072.0</v>
      </c>
      <c r="G13" s="360"/>
      <c r="H13" s="372">
        <v>6577293.0</v>
      </c>
      <c r="I13" s="6">
        <f t="shared" si="0"/>
        <v>1.69613704272E8</v>
      </c>
      <c r="K13" s="380"/>
    </row>
    <row r="14" spans="8:8">
      <c r="A14" s="206" t="s">
        <v>21</v>
      </c>
      <c r="B14" s="4" t="s">
        <v>13</v>
      </c>
      <c r="C14" s="93">
        <v>6.6292130822399996E7</v>
      </c>
      <c r="D14" s="93">
        <v>8.767914744960001E7</v>
      </c>
      <c r="E14" s="372">
        <v>3626061.0</v>
      </c>
      <c r="F14" s="372">
        <v>5439072.0</v>
      </c>
      <c r="G14" s="360"/>
      <c r="H14" s="372">
        <v>6577293.0</v>
      </c>
      <c r="I14" s="6">
        <f>SUM(C14:H14)*2</f>
        <v>3.39227408544E8</v>
      </c>
      <c r="K14" s="381"/>
    </row>
    <row r="15" spans="8:8">
      <c r="A15" s="15" t="s">
        <v>22</v>
      </c>
      <c r="B15" s="16" t="s">
        <v>13</v>
      </c>
      <c r="C15" s="93">
        <v>6.6292130822399996E7</v>
      </c>
      <c r="D15" s="93">
        <v>8.767914744960001E7</v>
      </c>
      <c r="E15" s="372">
        <v>3626061.0</v>
      </c>
      <c r="F15" s="372">
        <v>5439072.0</v>
      </c>
      <c r="G15" s="360"/>
      <c r="H15" s="372">
        <v>6577293.0</v>
      </c>
      <c r="I15" s="6">
        <f>SUM(C15:H15)</f>
        <v>1.69613704272E8</v>
      </c>
    </row>
    <row r="16" spans="8:8">
      <c r="A16" s="206" t="s">
        <v>23</v>
      </c>
      <c r="B16" s="16" t="s">
        <v>13</v>
      </c>
      <c r="C16" s="93">
        <v>6.6292130822399996E7</v>
      </c>
      <c r="D16" s="93">
        <v>8.767914744960001E7</v>
      </c>
      <c r="E16" s="372">
        <v>3626061.0</v>
      </c>
      <c r="F16" s="372">
        <v>5439072.0</v>
      </c>
      <c r="G16" s="360"/>
      <c r="H16" s="372">
        <v>6577293.0</v>
      </c>
      <c r="I16" s="6">
        <f>SUM(C16:H16)*2</f>
        <v>3.39227408544E8</v>
      </c>
    </row>
    <row r="17" spans="8:8">
      <c r="A17" s="3" t="s">
        <v>24</v>
      </c>
      <c r="B17" s="16" t="s">
        <v>13</v>
      </c>
      <c r="C17" s="93">
        <v>6.6292130822399996E7</v>
      </c>
      <c r="D17" s="93">
        <v>8.767914744960001E7</v>
      </c>
      <c r="E17" s="372">
        <v>3626061.0</v>
      </c>
      <c r="F17" s="372">
        <v>5439072.0</v>
      </c>
      <c r="G17" s="360"/>
      <c r="H17" s="372">
        <v>6577293.0</v>
      </c>
      <c r="I17" s="6">
        <f t="shared" si="1" ref="I17:I50">SUM(C17:H17)</f>
        <v>1.69613704272E8</v>
      </c>
    </row>
    <row r="18" spans="8:8">
      <c r="A18" s="3" t="s">
        <v>25</v>
      </c>
      <c r="B18" s="4" t="s">
        <v>13</v>
      </c>
      <c r="C18" s="93">
        <v>6.6292130822399996E7</v>
      </c>
      <c r="D18" s="93">
        <v>8.767914744960001E7</v>
      </c>
      <c r="E18" s="372">
        <v>3626061.0</v>
      </c>
      <c r="F18" s="372">
        <v>5439072.0</v>
      </c>
      <c r="G18" s="360"/>
      <c r="H18" s="372">
        <v>6577293.0</v>
      </c>
      <c r="I18" s="6">
        <f t="shared" si="1"/>
        <v>1.69613704272E8</v>
      </c>
    </row>
    <row r="19" spans="8:8">
      <c r="A19" s="3" t="s">
        <v>26</v>
      </c>
      <c r="B19" s="4" t="s">
        <v>13</v>
      </c>
      <c r="C19" s="93">
        <v>6.6292130822399996E7</v>
      </c>
      <c r="D19" s="93">
        <v>8.767914744960001E7</v>
      </c>
      <c r="E19" s="372">
        <v>3626061.0</v>
      </c>
      <c r="F19" s="372">
        <v>5439072.0</v>
      </c>
      <c r="G19" s="360"/>
      <c r="H19" s="372">
        <v>6577293.0</v>
      </c>
      <c r="I19" s="6">
        <f t="shared" si="1"/>
        <v>1.69613704272E8</v>
      </c>
    </row>
    <row r="20" spans="8:8">
      <c r="A20" s="3" t="s">
        <v>27</v>
      </c>
      <c r="B20" s="4" t="s">
        <v>13</v>
      </c>
      <c r="C20" s="93">
        <v>6.6292130822399996E7</v>
      </c>
      <c r="D20" s="93">
        <v>8.767914744960001E7</v>
      </c>
      <c r="E20" s="372">
        <v>3626061.0</v>
      </c>
      <c r="F20" s="372">
        <v>5439072.0</v>
      </c>
      <c r="G20" s="360"/>
      <c r="H20" s="372">
        <v>6577293.0</v>
      </c>
      <c r="I20" s="6">
        <f t="shared" si="1"/>
        <v>1.69613704272E8</v>
      </c>
    </row>
    <row r="21" spans="8:8">
      <c r="A21" s="3" t="s">
        <v>28</v>
      </c>
      <c r="B21" s="4" t="s">
        <v>13</v>
      </c>
      <c r="C21" s="93">
        <v>6.6292130822399996E7</v>
      </c>
      <c r="D21" s="93">
        <v>8.767914744960001E7</v>
      </c>
      <c r="E21" s="372">
        <v>3626061.0</v>
      </c>
      <c r="F21" s="372">
        <v>5439072.0</v>
      </c>
      <c r="G21" s="360"/>
      <c r="H21" s="372">
        <v>6577293.0</v>
      </c>
      <c r="I21" s="6">
        <f t="shared" si="1"/>
        <v>1.69613704272E8</v>
      </c>
    </row>
    <row r="22" spans="8:8">
      <c r="A22" s="3" t="s">
        <v>29</v>
      </c>
      <c r="B22" s="4" t="s">
        <v>13</v>
      </c>
      <c r="C22" s="93">
        <v>6.6292130822399996E7</v>
      </c>
      <c r="D22" s="93">
        <v>8.767914744960001E7</v>
      </c>
      <c r="E22" s="372">
        <v>3626061.0</v>
      </c>
      <c r="F22" s="372">
        <v>5439072.0</v>
      </c>
      <c r="G22" s="360"/>
      <c r="H22" s="372">
        <v>6577293.0</v>
      </c>
      <c r="I22" s="6">
        <f t="shared" si="1"/>
        <v>1.69613704272E8</v>
      </c>
    </row>
    <row r="23" spans="8:8">
      <c r="A23" s="14" t="s">
        <v>427</v>
      </c>
      <c r="B23" s="4" t="s">
        <v>13</v>
      </c>
      <c r="C23" s="93">
        <v>6.6292130822399996E7</v>
      </c>
      <c r="D23" s="93">
        <v>8.767914744960001E7</v>
      </c>
      <c r="E23" s="372">
        <v>3626061.0</v>
      </c>
      <c r="F23" s="372">
        <v>5439072.0</v>
      </c>
      <c r="G23" s="360"/>
      <c r="H23" s="372">
        <v>6577293.0</v>
      </c>
      <c r="I23" s="6">
        <f t="shared" si="1"/>
        <v>1.69613704272E8</v>
      </c>
    </row>
    <row r="24" spans="8:8">
      <c r="A24" s="3" t="s">
        <v>31</v>
      </c>
      <c r="B24" s="4" t="s">
        <v>13</v>
      </c>
      <c r="C24" s="93">
        <v>6.6292130822399996E7</v>
      </c>
      <c r="D24" s="93">
        <v>8.767914744960001E7</v>
      </c>
      <c r="E24" s="372">
        <v>3626061.0</v>
      </c>
      <c r="F24" s="372">
        <v>5439072.0</v>
      </c>
      <c r="G24" s="360"/>
      <c r="H24" s="372">
        <v>6577293.0</v>
      </c>
      <c r="I24" s="6">
        <f t="shared" si="1"/>
        <v>1.69613704272E8</v>
      </c>
    </row>
    <row r="25" spans="8:8">
      <c r="A25" s="3" t="s">
        <v>32</v>
      </c>
      <c r="B25" s="4" t="s">
        <v>13</v>
      </c>
      <c r="C25" s="93">
        <v>6.6292130822399996E7</v>
      </c>
      <c r="D25" s="93">
        <v>8.767914744960001E7</v>
      </c>
      <c r="E25" s="372">
        <v>3626061.0</v>
      </c>
      <c r="F25" s="372">
        <v>5439072.0</v>
      </c>
      <c r="G25" s="360"/>
      <c r="H25" s="372">
        <v>6577293.0</v>
      </c>
      <c r="I25" s="6">
        <f t="shared" si="1"/>
        <v>1.69613704272E8</v>
      </c>
    </row>
    <row r="26" spans="8:8">
      <c r="A26" s="3" t="s">
        <v>33</v>
      </c>
      <c r="B26" s="4" t="s">
        <v>13</v>
      </c>
      <c r="C26" s="93">
        <v>6.6292130822399996E7</v>
      </c>
      <c r="D26" s="93">
        <v>8.767914744960001E7</v>
      </c>
      <c r="E26" s="372">
        <v>3626061.0</v>
      </c>
      <c r="F26" s="372">
        <v>5439072.0</v>
      </c>
      <c r="G26" s="360"/>
      <c r="H26" s="372">
        <v>6577293.0</v>
      </c>
      <c r="I26" s="6">
        <f t="shared" si="1"/>
        <v>1.69613704272E8</v>
      </c>
    </row>
    <row r="27" spans="8:8">
      <c r="A27" s="3" t="s">
        <v>34</v>
      </c>
      <c r="B27" s="4" t="s">
        <v>13</v>
      </c>
      <c r="C27" s="93">
        <v>5.590306753919999E7</v>
      </c>
      <c r="D27" s="93">
        <v>3.83596282944E7</v>
      </c>
      <c r="E27" s="372">
        <v>3626061.0</v>
      </c>
      <c r="F27" s="372">
        <v>5439072.0</v>
      </c>
      <c r="G27" s="360"/>
      <c r="H27" s="372">
        <v>6577293.0</v>
      </c>
      <c r="I27" s="6">
        <f t="shared" si="1"/>
        <v>1.0990512183359998E8</v>
      </c>
    </row>
    <row r="28" spans="8:8">
      <c r="A28" s="3" t="s">
        <v>35</v>
      </c>
      <c r="B28" s="4" t="s">
        <v>13</v>
      </c>
      <c r="C28" s="93">
        <v>5.590306753919999E7</v>
      </c>
      <c r="D28" s="93">
        <v>3.83596282944E7</v>
      </c>
      <c r="E28" s="372">
        <v>3626061.0</v>
      </c>
      <c r="F28" s="372">
        <v>5439072.0</v>
      </c>
      <c r="G28" s="360"/>
      <c r="H28" s="372">
        <v>6577293.0</v>
      </c>
      <c r="I28" s="6">
        <f t="shared" si="1"/>
        <v>1.0990512183359998E8</v>
      </c>
    </row>
    <row r="29" spans="8:8">
      <c r="A29" s="3" t="s">
        <v>36</v>
      </c>
      <c r="B29" s="4" t="s">
        <v>13</v>
      </c>
      <c r="C29" s="93">
        <v>5.590306753919999E7</v>
      </c>
      <c r="D29" s="93">
        <v>3.83596282944E7</v>
      </c>
      <c r="E29" s="372">
        <v>3626061.0</v>
      </c>
      <c r="F29" s="372">
        <v>5439072.0</v>
      </c>
      <c r="G29" s="360"/>
      <c r="H29" s="372">
        <v>6577293.0</v>
      </c>
      <c r="I29" s="6">
        <f t="shared" si="1"/>
        <v>1.0990512183359998E8</v>
      </c>
    </row>
    <row r="30" spans="8:8">
      <c r="A30" s="14" t="s">
        <v>428</v>
      </c>
      <c r="B30" s="4" t="s">
        <v>13</v>
      </c>
      <c r="C30" s="93">
        <v>5.590306753919999E7</v>
      </c>
      <c r="D30" s="93">
        <v>3.83596282944E7</v>
      </c>
      <c r="E30" s="372">
        <v>3626061.0</v>
      </c>
      <c r="F30" s="372">
        <v>5439072.0</v>
      </c>
      <c r="G30" s="360"/>
      <c r="H30" s="372">
        <v>6577293.0</v>
      </c>
      <c r="I30" s="6">
        <f t="shared" si="1"/>
        <v>1.0990512183359998E8</v>
      </c>
    </row>
    <row r="31" spans="8:8">
      <c r="A31" s="3" t="s">
        <v>38</v>
      </c>
      <c r="B31" s="4" t="s">
        <v>13</v>
      </c>
      <c r="C31" s="93">
        <v>5.590306753919999E7</v>
      </c>
      <c r="D31" s="93">
        <v>3.83596282944E7</v>
      </c>
      <c r="E31" s="372">
        <v>3626061.0</v>
      </c>
      <c r="F31" s="372">
        <v>5439072.0</v>
      </c>
      <c r="G31" s="360"/>
      <c r="H31" s="372">
        <v>6577293.0</v>
      </c>
      <c r="I31" s="6">
        <f t="shared" si="1"/>
        <v>1.0990512183359998E8</v>
      </c>
    </row>
    <row r="32" spans="8:8">
      <c r="A32" s="15" t="s">
        <v>39</v>
      </c>
      <c r="B32" s="4" t="s">
        <v>13</v>
      </c>
      <c r="C32" s="93">
        <v>5.590306753919999E7</v>
      </c>
      <c r="D32" s="93">
        <v>3.83596282944E7</v>
      </c>
      <c r="E32" s="372">
        <v>3626061.0</v>
      </c>
      <c r="F32" s="372">
        <v>5439072.0</v>
      </c>
      <c r="G32" s="360"/>
      <c r="H32" s="372">
        <v>6577293.0</v>
      </c>
      <c r="I32" s="6">
        <f t="shared" si="1"/>
        <v>1.0990512183359998E8</v>
      </c>
    </row>
    <row r="33" spans="8:8" s="49" ht="15.0" customFormat="1">
      <c r="A33" s="3" t="s">
        <v>40</v>
      </c>
      <c r="B33" s="16" t="s">
        <v>13</v>
      </c>
      <c r="C33" s="93">
        <v>5.590306753919999E7</v>
      </c>
      <c r="D33" s="93">
        <v>3.83596282944E7</v>
      </c>
      <c r="E33" s="372">
        <v>3626061.0</v>
      </c>
      <c r="F33" s="372">
        <v>5439072.0</v>
      </c>
      <c r="G33" s="360"/>
      <c r="H33" s="372">
        <v>6577293.0</v>
      </c>
      <c r="I33" s="6">
        <f t="shared" si="1"/>
        <v>1.0990512183359998E8</v>
      </c>
    </row>
    <row r="34" spans="8:8">
      <c r="A34" s="15" t="s">
        <v>41</v>
      </c>
      <c r="B34" s="16" t="s">
        <v>13</v>
      </c>
      <c r="C34" s="93">
        <v>5.590306753919999E7</v>
      </c>
      <c r="D34" s="93">
        <v>3.83596282944E7</v>
      </c>
      <c r="E34" s="372">
        <v>3626061.0</v>
      </c>
      <c r="F34" s="372">
        <v>5439072.0</v>
      </c>
      <c r="G34" s="360"/>
      <c r="H34" s="372">
        <v>6577293.0</v>
      </c>
      <c r="I34" s="6">
        <f t="shared" si="1"/>
        <v>1.0990512183359998E8</v>
      </c>
    </row>
    <row r="35" spans="8:8" s="49" ht="15.0" customFormat="1">
      <c r="A35" s="14" t="s">
        <v>429</v>
      </c>
      <c r="B35" s="16" t="s">
        <v>13</v>
      </c>
      <c r="C35" s="93">
        <v>5.590306753919999E7</v>
      </c>
      <c r="D35" s="93">
        <v>3.83596282944E7</v>
      </c>
      <c r="E35" s="372">
        <v>3626061.0</v>
      </c>
      <c r="F35" s="372">
        <v>5439072.0</v>
      </c>
      <c r="G35" s="360"/>
      <c r="H35" s="372">
        <v>6577293.0</v>
      </c>
      <c r="I35" s="6">
        <f t="shared" si="1"/>
        <v>1.0990512183359998E8</v>
      </c>
    </row>
    <row r="36" spans="8:8">
      <c r="A36" s="3" t="s">
        <v>43</v>
      </c>
      <c r="B36" s="4" t="s">
        <v>13</v>
      </c>
      <c r="C36" s="93">
        <v>5.590306753919999E7</v>
      </c>
      <c r="D36" s="93">
        <v>3.83596282944E7</v>
      </c>
      <c r="E36" s="372">
        <v>3626061.0</v>
      </c>
      <c r="F36" s="372">
        <v>5439072.0</v>
      </c>
      <c r="G36" s="360"/>
      <c r="H36" s="372">
        <v>6577293.0</v>
      </c>
      <c r="I36" s="6">
        <f t="shared" si="1"/>
        <v>1.0990512183359998E8</v>
      </c>
    </row>
    <row r="37" spans="8:8">
      <c r="A37" s="14" t="s">
        <v>430</v>
      </c>
      <c r="B37" s="4" t="s">
        <v>13</v>
      </c>
      <c r="C37" s="93">
        <v>5.590306753919999E7</v>
      </c>
      <c r="D37" s="93">
        <v>3.83596282944E7</v>
      </c>
      <c r="E37" s="372">
        <v>3626061.0</v>
      </c>
      <c r="F37" s="372">
        <v>5439072.0</v>
      </c>
      <c r="G37" s="360"/>
      <c r="H37" s="372">
        <v>6577293.0</v>
      </c>
      <c r="I37" s="6">
        <f t="shared" si="1"/>
        <v>1.0990512183359998E8</v>
      </c>
    </row>
    <row r="38" spans="8:8">
      <c r="A38" s="3" t="s">
        <v>45</v>
      </c>
      <c r="B38" s="4" t="s">
        <v>13</v>
      </c>
      <c r="C38" s="93">
        <v>1.2640029050880003E8</v>
      </c>
      <c r="D38" s="93">
        <v>9.133243983360001E7</v>
      </c>
      <c r="E38" s="372">
        <v>3626061.0</v>
      </c>
      <c r="F38" s="372">
        <v>5439072.0</v>
      </c>
      <c r="G38" s="360"/>
      <c r="H38" s="372">
        <v>6577293.0</v>
      </c>
      <c r="I38" s="6">
        <f t="shared" si="1"/>
        <v>2.3337515634240004E8</v>
      </c>
    </row>
    <row r="39" spans="8:8">
      <c r="A39" s="3" t="s">
        <v>46</v>
      </c>
      <c r="B39" s="4" t="s">
        <v>13</v>
      </c>
      <c r="C39" s="93">
        <v>1.2640029050880003E8</v>
      </c>
      <c r="D39" s="93">
        <v>9.133243983360001E7</v>
      </c>
      <c r="E39" s="372">
        <v>3626061.0</v>
      </c>
      <c r="F39" s="372">
        <v>5439072.0</v>
      </c>
      <c r="G39" s="360"/>
      <c r="H39" s="372">
        <v>6577293.0</v>
      </c>
      <c r="I39" s="6">
        <f t="shared" si="1"/>
        <v>2.3337515634240004E8</v>
      </c>
    </row>
    <row r="40" spans="8:8">
      <c r="A40" s="3" t="s">
        <v>47</v>
      </c>
      <c r="B40" s="4" t="s">
        <v>13</v>
      </c>
      <c r="C40" s="93">
        <v>1.778508974592E8</v>
      </c>
      <c r="D40" s="93">
        <v>9.133243983360001E7</v>
      </c>
      <c r="E40" s="372">
        <v>3626061.0</v>
      </c>
      <c r="F40" s="372">
        <v>5439072.0</v>
      </c>
      <c r="G40" s="360"/>
      <c r="H40" s="372">
        <v>6577293.0</v>
      </c>
      <c r="I40" s="6">
        <f t="shared" si="1"/>
        <v>2.848257632928E8</v>
      </c>
    </row>
    <row r="41" spans="8:8">
      <c r="A41" s="3" t="s">
        <v>48</v>
      </c>
      <c r="B41" s="4" t="s">
        <v>13</v>
      </c>
      <c r="C41" s="93">
        <v>5.590306753919999E7</v>
      </c>
      <c r="D41" s="93">
        <v>9.133243983360001E7</v>
      </c>
      <c r="E41" s="372">
        <v>3626061.0</v>
      </c>
      <c r="F41" s="372">
        <v>5439072.0</v>
      </c>
      <c r="G41" s="360"/>
      <c r="H41" s="372">
        <v>6577293.0</v>
      </c>
      <c r="I41" s="6">
        <f t="shared" si="1"/>
        <v>1.628779333728E8</v>
      </c>
    </row>
    <row r="42" spans="8:8">
      <c r="A42" s="3" t="s">
        <v>49</v>
      </c>
      <c r="B42" s="4" t="s">
        <v>13</v>
      </c>
      <c r="C42" s="93">
        <v>5.590306753919999E7</v>
      </c>
      <c r="D42" s="93">
        <v>3.83596282944E7</v>
      </c>
      <c r="E42" s="372">
        <v>3626061.0</v>
      </c>
      <c r="F42" s="372">
        <v>5439072.0</v>
      </c>
      <c r="G42" s="360"/>
      <c r="H42" s="372">
        <v>6577293.0</v>
      </c>
      <c r="I42" s="6">
        <f t="shared" si="1"/>
        <v>1.0990512183359998E8</v>
      </c>
    </row>
    <row r="43" spans="8:8">
      <c r="A43" s="18" t="s">
        <v>431</v>
      </c>
      <c r="B43" s="4" t="s">
        <v>13</v>
      </c>
      <c r="C43" s="93">
        <v>5.590306753919999E7</v>
      </c>
      <c r="D43" s="93">
        <v>3.83596282944E7</v>
      </c>
      <c r="E43" s="372">
        <v>3626061.0</v>
      </c>
      <c r="F43" s="372">
        <v>5439072.0</v>
      </c>
      <c r="G43" s="360"/>
      <c r="H43" s="372">
        <v>6577293.0</v>
      </c>
      <c r="I43" s="6">
        <f t="shared" si="1"/>
        <v>1.0990512183359998E8</v>
      </c>
    </row>
    <row r="44" spans="8:8" s="49" ht="15.0" customFormat="1">
      <c r="A44" s="3" t="s">
        <v>51</v>
      </c>
      <c r="B44" s="16" t="s">
        <v>13</v>
      </c>
      <c r="C44" s="93">
        <v>5.590306753919999E7</v>
      </c>
      <c r="D44" s="93">
        <v>3.83596282944E7</v>
      </c>
      <c r="E44" s="372">
        <v>3626061.0</v>
      </c>
      <c r="F44" s="372">
        <v>5439072.0</v>
      </c>
      <c r="G44" s="360"/>
      <c r="H44" s="372">
        <v>6577293.0</v>
      </c>
      <c r="I44" s="6">
        <f t="shared" si="1"/>
        <v>1.0990512183359998E8</v>
      </c>
    </row>
    <row r="45" spans="8:8">
      <c r="A45" s="3" t="s">
        <v>52</v>
      </c>
      <c r="B45" s="4" t="s">
        <v>13</v>
      </c>
      <c r="C45" s="93">
        <v>5.590306753919999E7</v>
      </c>
      <c r="D45" s="93">
        <v>3.83596282944E7</v>
      </c>
      <c r="E45" s="372">
        <v>3626061.0</v>
      </c>
      <c r="F45" s="372">
        <v>5439072.0</v>
      </c>
      <c r="G45" s="360"/>
      <c r="H45" s="372">
        <v>6577293.0</v>
      </c>
      <c r="I45" s="6">
        <f t="shared" si="1"/>
        <v>1.0990512183359998E8</v>
      </c>
    </row>
    <row r="46" spans="8:8">
      <c r="A46" s="3" t="s">
        <v>53</v>
      </c>
      <c r="B46" s="4" t="s">
        <v>13</v>
      </c>
      <c r="C46" s="93">
        <v>5.590306753919999E7</v>
      </c>
      <c r="D46" s="93">
        <v>3.83596282944E7</v>
      </c>
      <c r="E46" s="372">
        <v>3626061.0</v>
      </c>
      <c r="F46" s="372">
        <v>5439072.0</v>
      </c>
      <c r="G46" s="360"/>
      <c r="H46" s="372">
        <v>6577293.0</v>
      </c>
      <c r="I46" s="6">
        <f t="shared" si="1"/>
        <v>1.0990512183359998E8</v>
      </c>
    </row>
    <row r="47" spans="8:8">
      <c r="A47" s="3" t="s">
        <v>54</v>
      </c>
      <c r="B47" s="4" t="s">
        <v>13</v>
      </c>
      <c r="C47" s="93">
        <v>5.590306753919999E7</v>
      </c>
      <c r="D47" s="93">
        <v>3.83596282944E7</v>
      </c>
      <c r="E47" s="372">
        <v>3626061.0</v>
      </c>
      <c r="F47" s="372">
        <v>5439072.0</v>
      </c>
      <c r="G47" s="360"/>
      <c r="H47" s="372">
        <v>6577293.0</v>
      </c>
      <c r="I47" s="6">
        <f t="shared" si="1"/>
        <v>1.0990512183359998E8</v>
      </c>
    </row>
    <row r="48" spans="8:8">
      <c r="A48" s="15" t="s">
        <v>55</v>
      </c>
      <c r="B48" s="4" t="s">
        <v>13</v>
      </c>
      <c r="C48" s="93">
        <v>5.590306753919999E7</v>
      </c>
      <c r="D48" s="93">
        <v>3.83596282944E7</v>
      </c>
      <c r="E48" s="372">
        <v>3626061.0</v>
      </c>
      <c r="F48" s="372">
        <v>5439072.0</v>
      </c>
      <c r="G48" s="360"/>
      <c r="H48" s="372">
        <v>6577293.0</v>
      </c>
      <c r="I48" s="6">
        <f t="shared" si="1"/>
        <v>1.0990512183359998E8</v>
      </c>
    </row>
    <row r="49" spans="8:8" s="49" ht="15.75" customFormat="1">
      <c r="A49" s="388" t="s">
        <v>56</v>
      </c>
      <c r="B49" s="396" t="s">
        <v>13</v>
      </c>
      <c r="C49" s="391">
        <v>5.590306753919999E7</v>
      </c>
      <c r="D49" s="391">
        <v>8.864619523200001E7</v>
      </c>
      <c r="E49" s="392">
        <v>3626061.0</v>
      </c>
      <c r="F49" s="392">
        <v>5439072.0</v>
      </c>
      <c r="G49" s="397"/>
      <c r="H49" s="392">
        <v>6577293.0</v>
      </c>
      <c r="I49" s="398">
        <f t="shared" si="1"/>
        <v>1.601916887712E8</v>
      </c>
    </row>
    <row r="50" spans="8:8" ht="15.75">
      <c r="A50" s="10" t="s">
        <v>57</v>
      </c>
      <c r="B50" s="11" t="s">
        <v>60</v>
      </c>
      <c r="C50" s="118">
        <v>1.0</v>
      </c>
      <c r="D50" s="118">
        <v>1.323100973376E8</v>
      </c>
      <c r="E50" s="370">
        <v>3626061.0</v>
      </c>
      <c r="F50" s="370">
        <v>5439072.0</v>
      </c>
      <c r="G50" s="395"/>
      <c r="H50" s="395"/>
      <c r="I50" s="13">
        <f t="shared" si="1"/>
        <v>1.413752313376E8</v>
      </c>
    </row>
    <row r="51" spans="8:8">
      <c r="A51" s="3" t="s">
        <v>58</v>
      </c>
      <c r="B51" s="4" t="s">
        <v>60</v>
      </c>
      <c r="C51" s="93">
        <v>1.0</v>
      </c>
      <c r="D51" s="93">
        <v>1.323100973376E8</v>
      </c>
      <c r="E51" s="372">
        <v>3626061.0</v>
      </c>
      <c r="F51" s="372">
        <v>5439072.0</v>
      </c>
      <c r="G51" s="360"/>
      <c r="H51" s="360"/>
      <c r="I51" s="6">
        <f>SUM(C51:F51)</f>
        <v>1.413752313376E8</v>
      </c>
    </row>
    <row r="52" spans="8:8">
      <c r="A52" s="3" t="s">
        <v>59</v>
      </c>
      <c r="B52" s="4" t="s">
        <v>60</v>
      </c>
      <c r="C52" s="93">
        <v>1.0</v>
      </c>
      <c r="D52" s="93">
        <v>1.323100973376E8</v>
      </c>
      <c r="E52" s="372">
        <v>3626061.0</v>
      </c>
      <c r="F52" s="372">
        <v>5439072.0</v>
      </c>
      <c r="G52" s="360"/>
      <c r="H52" s="360"/>
      <c r="I52" s="6">
        <f>SUM(C52:F52)</f>
        <v>1.413752313376E8</v>
      </c>
    </row>
    <row r="53" spans="8:8">
      <c r="A53" s="3" t="s">
        <v>61</v>
      </c>
      <c r="B53" s="4" t="s">
        <v>60</v>
      </c>
      <c r="C53" s="93">
        <v>8.83758500352E7</v>
      </c>
      <c r="D53" s="93">
        <v>9.442899123839998E7</v>
      </c>
      <c r="E53" s="372">
        <v>3626061.0</v>
      </c>
      <c r="F53" s="372">
        <v>5439072.0</v>
      </c>
      <c r="G53" s="360"/>
      <c r="H53" s="360"/>
      <c r="I53" s="6">
        <f>SUM(C53:F53)</f>
        <v>1.9186997427359998E8</v>
      </c>
    </row>
    <row r="54" spans="8:8">
      <c r="A54" s="3" t="s">
        <v>62</v>
      </c>
      <c r="B54" s="4" t="s">
        <v>60</v>
      </c>
      <c r="C54" s="93">
        <v>1.0</v>
      </c>
      <c r="D54" s="93">
        <v>9.442899123839998E7</v>
      </c>
      <c r="E54" s="372">
        <v>3626061.0</v>
      </c>
      <c r="F54" s="372">
        <v>5439072.0</v>
      </c>
      <c r="G54" s="360"/>
      <c r="H54" s="360"/>
      <c r="I54" s="6">
        <f>SUM(C54:F54)</f>
        <v>1.0349412523839998E8</v>
      </c>
    </row>
    <row r="55" spans="8:8" ht="15.75">
      <c r="A55" s="388" t="s">
        <v>63</v>
      </c>
      <c r="B55" s="389" t="s">
        <v>60</v>
      </c>
      <c r="C55" s="391">
        <v>1.0</v>
      </c>
      <c r="D55" s="391">
        <v>4.778694385919999E7</v>
      </c>
      <c r="E55" s="392">
        <v>3626061.0</v>
      </c>
      <c r="F55" s="392">
        <v>5439072.0</v>
      </c>
      <c r="G55" s="397"/>
      <c r="H55" s="397"/>
      <c r="I55" s="394">
        <f>SUM(C55:F55)</f>
        <v>5.685207785919999E7</v>
      </c>
    </row>
    <row r="56" spans="8:8" ht="15.75">
      <c r="A56" s="10" t="s">
        <v>64</v>
      </c>
      <c r="B56" s="11" t="s">
        <v>65</v>
      </c>
      <c r="C56" s="118">
        <v>1.0</v>
      </c>
      <c r="D56" s="118">
        <v>5.27647492008E7</v>
      </c>
      <c r="E56" s="370">
        <v>3626061.0</v>
      </c>
      <c r="F56" s="370">
        <v>5439072.0</v>
      </c>
      <c r="G56" s="370">
        <v>1.42009695E7</v>
      </c>
      <c r="H56" s="395"/>
      <c r="I56" s="13">
        <f t="shared" si="2" ref="I56:I61">SUM(C56:H56)</f>
        <v>7.60308527008E7</v>
      </c>
    </row>
    <row r="57" spans="8:8" ht="30.0">
      <c r="A57" s="373" t="s">
        <v>432</v>
      </c>
      <c r="B57" s="374" t="s">
        <v>65</v>
      </c>
      <c r="C57" s="93">
        <v>1.0</v>
      </c>
      <c r="D57" s="93">
        <v>5.614965982080001E7</v>
      </c>
      <c r="E57" s="372">
        <v>3626061.0</v>
      </c>
      <c r="F57" s="372">
        <v>5439072.0</v>
      </c>
      <c r="G57" s="372">
        <v>1.42009695E7</v>
      </c>
      <c r="H57" s="376"/>
      <c r="I57" s="377">
        <f t="shared" si="2"/>
        <v>7.94157633208E7</v>
      </c>
    </row>
    <row r="58" spans="8:8">
      <c r="A58" s="3" t="s">
        <v>67</v>
      </c>
      <c r="B58" s="4" t="s">
        <v>65</v>
      </c>
      <c r="C58" s="93">
        <v>1.0</v>
      </c>
      <c r="D58" s="93">
        <v>5.27647492008E7</v>
      </c>
      <c r="E58" s="372">
        <v>3626061.0</v>
      </c>
      <c r="F58" s="372">
        <v>5439072.0</v>
      </c>
      <c r="G58" s="372">
        <v>1.42009695E7</v>
      </c>
      <c r="H58" s="360"/>
      <c r="I58" s="6">
        <f t="shared" si="2"/>
        <v>7.60308527008E7</v>
      </c>
    </row>
    <row r="59" spans="8:8">
      <c r="A59" s="3" t="s">
        <v>68</v>
      </c>
      <c r="B59" s="4" t="s">
        <v>65</v>
      </c>
      <c r="C59" s="93">
        <v>1.0</v>
      </c>
      <c r="D59" s="93">
        <v>5.614965982080001E7</v>
      </c>
      <c r="E59" s="372">
        <v>3626061.0</v>
      </c>
      <c r="F59" s="372">
        <v>5439072.0</v>
      </c>
      <c r="G59" s="372">
        <v>1.42009695E7</v>
      </c>
      <c r="H59" s="360"/>
      <c r="I59" s="6">
        <f t="shared" si="2"/>
        <v>7.94157633208E7</v>
      </c>
    </row>
    <row r="60" spans="8:8">
      <c r="A60" s="3" t="s">
        <v>69</v>
      </c>
      <c r="B60" s="4" t="s">
        <v>65</v>
      </c>
      <c r="C60" s="93">
        <v>1.0</v>
      </c>
      <c r="D60" s="93">
        <v>6.849461651760001E7</v>
      </c>
      <c r="E60" s="372">
        <v>3626061.0</v>
      </c>
      <c r="F60" s="372">
        <v>5439072.0</v>
      </c>
      <c r="G60" s="372">
        <v>1.42009695E7</v>
      </c>
      <c r="H60" s="360"/>
      <c r="I60" s="6">
        <f t="shared" si="2"/>
        <v>9.176072001760001E7</v>
      </c>
    </row>
    <row r="61" spans="8:8">
      <c r="A61" s="3" t="s">
        <v>70</v>
      </c>
      <c r="B61" s="4" t="s">
        <v>65</v>
      </c>
      <c r="C61" s="93">
        <v>1.0</v>
      </c>
      <c r="D61" s="93">
        <v>5.27647492008E7</v>
      </c>
      <c r="E61" s="372">
        <v>3626061.0</v>
      </c>
      <c r="F61" s="372">
        <v>5439072.0</v>
      </c>
      <c r="G61" s="372">
        <v>1.42009695E7</v>
      </c>
      <c r="H61" s="360"/>
      <c r="I61" s="6">
        <f t="shared" si="2"/>
        <v>7.60308527008E7</v>
      </c>
    </row>
    <row r="62" spans="8:8">
      <c r="A62" s="15" t="s">
        <v>71</v>
      </c>
      <c r="B62" s="16" t="s">
        <v>65</v>
      </c>
      <c r="C62" s="93">
        <v>1.0</v>
      </c>
      <c r="D62" s="93">
        <v>5.614965982080001E7</v>
      </c>
      <c r="E62" s="372">
        <v>3626061.0</v>
      </c>
      <c r="F62" s="372">
        <v>5439072.0</v>
      </c>
      <c r="G62" s="372">
        <v>1.42009695E7</v>
      </c>
      <c r="H62" s="360"/>
      <c r="I62" s="6">
        <f t="shared" si="3" ref="I62:I74">SUM(C62:G62)</f>
        <v>7.94157633208E7</v>
      </c>
    </row>
    <row r="63" spans="8:8">
      <c r="A63" s="15" t="s">
        <v>72</v>
      </c>
      <c r="B63" s="16" t="s">
        <v>65</v>
      </c>
      <c r="C63" s="93">
        <v>1.0</v>
      </c>
      <c r="D63" s="93">
        <v>6.2123029768800005E7</v>
      </c>
      <c r="E63" s="372">
        <v>3626061.0</v>
      </c>
      <c r="F63" s="372">
        <v>5439072.0</v>
      </c>
      <c r="G63" s="372">
        <v>1.42009695E7</v>
      </c>
      <c r="H63" s="360"/>
      <c r="I63" s="6">
        <f t="shared" si="3"/>
        <v>8.53891332688E7</v>
      </c>
    </row>
    <row r="64" spans="8:8">
      <c r="A64" s="3" t="s">
        <v>73</v>
      </c>
      <c r="B64" s="4" t="s">
        <v>65</v>
      </c>
      <c r="C64" s="93">
        <v>1.0</v>
      </c>
      <c r="D64" s="93">
        <v>5.27647492008E7</v>
      </c>
      <c r="E64" s="372">
        <v>3626061.0</v>
      </c>
      <c r="F64" s="372">
        <v>5439072.0</v>
      </c>
      <c r="G64" s="372">
        <v>1.42009695E7</v>
      </c>
      <c r="H64" s="360"/>
      <c r="I64" s="6">
        <f t="shared" si="3"/>
        <v>7.60308527008E7</v>
      </c>
    </row>
    <row r="65" spans="8:8">
      <c r="A65" s="3" t="s">
        <v>74</v>
      </c>
      <c r="B65" s="4" t="s">
        <v>65</v>
      </c>
      <c r="C65" s="93">
        <v>1.0</v>
      </c>
      <c r="D65" s="93">
        <v>5.614965982080001E7</v>
      </c>
      <c r="E65" s="372">
        <v>3626061.0</v>
      </c>
      <c r="F65" s="372">
        <v>5439072.0</v>
      </c>
      <c r="G65" s="372">
        <v>1.42009695E7</v>
      </c>
      <c r="H65" s="360"/>
      <c r="I65" s="6">
        <f t="shared" si="3"/>
        <v>7.94157633208E7</v>
      </c>
    </row>
    <row r="66" spans="8:8">
      <c r="A66" s="3" t="s">
        <v>75</v>
      </c>
      <c r="B66" s="4" t="s">
        <v>65</v>
      </c>
      <c r="C66" s="93">
        <v>1.0</v>
      </c>
      <c r="D66" s="93">
        <v>8.66138377104E7</v>
      </c>
      <c r="E66" s="372">
        <v>3626061.0</v>
      </c>
      <c r="F66" s="372">
        <v>5439072.0</v>
      </c>
      <c r="G66" s="372">
        <v>1.42009695E7</v>
      </c>
      <c r="H66" s="360"/>
      <c r="I66" s="6">
        <f t="shared" si="3"/>
        <v>1.098799412104E8</v>
      </c>
    </row>
    <row r="67" spans="8:8">
      <c r="A67" s="3" t="s">
        <v>76</v>
      </c>
      <c r="B67" s="4" t="s">
        <v>65</v>
      </c>
      <c r="C67" s="93">
        <v>1.0</v>
      </c>
      <c r="D67" s="93">
        <v>5.27647492008E7</v>
      </c>
      <c r="E67" s="372">
        <v>3626061.0</v>
      </c>
      <c r="F67" s="372">
        <v>5439072.0</v>
      </c>
      <c r="G67" s="372">
        <v>1.42009695E7</v>
      </c>
      <c r="H67" s="360"/>
      <c r="I67" s="6">
        <f t="shared" si="3"/>
        <v>7.60308527008E7</v>
      </c>
    </row>
    <row r="68" spans="8:8">
      <c r="A68" s="3" t="s">
        <v>77</v>
      </c>
      <c r="B68" s="4" t="s">
        <v>65</v>
      </c>
      <c r="C68" s="93">
        <v>1.0</v>
      </c>
      <c r="D68" s="93">
        <v>5.614965982080001E7</v>
      </c>
      <c r="E68" s="372">
        <v>3626061.0</v>
      </c>
      <c r="F68" s="372">
        <v>5439072.0</v>
      </c>
      <c r="G68" s="372">
        <v>1.42009695E7</v>
      </c>
      <c r="H68" s="360"/>
      <c r="I68" s="6">
        <f t="shared" si="3"/>
        <v>7.94157633208E7</v>
      </c>
    </row>
    <row r="69" spans="8:8">
      <c r="A69" s="3" t="s">
        <v>78</v>
      </c>
      <c r="B69" s="4" t="s">
        <v>65</v>
      </c>
      <c r="C69" s="93">
        <v>1.0</v>
      </c>
      <c r="D69" s="93">
        <v>6.2123029768800005E7</v>
      </c>
      <c r="E69" s="372">
        <v>3626061.0</v>
      </c>
      <c r="F69" s="372">
        <v>5439072.0</v>
      </c>
      <c r="G69" s="372">
        <v>1.42009695E7</v>
      </c>
      <c r="H69" s="360"/>
      <c r="I69" s="6">
        <f t="shared" si="3"/>
        <v>8.53891332688E7</v>
      </c>
    </row>
    <row r="70" spans="8:8">
      <c r="A70" s="3" t="s">
        <v>79</v>
      </c>
      <c r="B70" s="4" t="s">
        <v>65</v>
      </c>
      <c r="C70" s="93">
        <v>1.0</v>
      </c>
      <c r="D70" s="93">
        <v>6.849461651760001E7</v>
      </c>
      <c r="E70" s="372">
        <v>3626061.0</v>
      </c>
      <c r="F70" s="372">
        <v>5439072.0</v>
      </c>
      <c r="G70" s="372">
        <v>1.42009695E7</v>
      </c>
      <c r="H70" s="360"/>
      <c r="I70" s="6">
        <f t="shared" si="3"/>
        <v>9.176072001760001E7</v>
      </c>
    </row>
    <row r="71" spans="8:8">
      <c r="A71" s="3" t="s">
        <v>80</v>
      </c>
      <c r="B71" s="4" t="s">
        <v>65</v>
      </c>
      <c r="C71" s="93">
        <v>1.0</v>
      </c>
      <c r="D71" s="93">
        <v>5.27647492008E7</v>
      </c>
      <c r="E71" s="372">
        <v>3626061.0</v>
      </c>
      <c r="F71" s="372">
        <v>5439072.0</v>
      </c>
      <c r="G71" s="372">
        <v>1.42009695E7</v>
      </c>
      <c r="H71" s="360"/>
      <c r="I71" s="6">
        <f t="shared" si="3"/>
        <v>7.60308527008E7</v>
      </c>
    </row>
    <row r="72" spans="8:8">
      <c r="A72" s="3" t="s">
        <v>81</v>
      </c>
      <c r="B72" s="4" t="s">
        <v>65</v>
      </c>
      <c r="C72" s="93">
        <v>1.0</v>
      </c>
      <c r="D72" s="93">
        <v>5.614965982080001E7</v>
      </c>
      <c r="E72" s="372">
        <v>3626061.0</v>
      </c>
      <c r="F72" s="372">
        <v>5439072.0</v>
      </c>
      <c r="G72" s="372">
        <v>1.42009695E7</v>
      </c>
      <c r="H72" s="360"/>
      <c r="I72" s="6">
        <f t="shared" si="3"/>
        <v>7.94157633208E7</v>
      </c>
    </row>
    <row r="73" spans="8:8">
      <c r="A73" s="3" t="s">
        <v>82</v>
      </c>
      <c r="B73" s="4" t="s">
        <v>65</v>
      </c>
      <c r="C73" s="93">
        <v>1.0</v>
      </c>
      <c r="D73" s="93">
        <v>1.055294984016E8</v>
      </c>
      <c r="E73" s="372">
        <v>3626061.0</v>
      </c>
      <c r="F73" s="372">
        <v>5439072.0</v>
      </c>
      <c r="G73" s="372">
        <v>1.42009695E7</v>
      </c>
      <c r="H73" s="360"/>
      <c r="I73" s="6">
        <f t="shared" si="3"/>
        <v>1.287956019016E8</v>
      </c>
    </row>
    <row r="74" spans="8:8">
      <c r="A74" s="3" t="s">
        <v>83</v>
      </c>
      <c r="B74" s="4" t="s">
        <v>65</v>
      </c>
      <c r="C74" s="93">
        <v>1.0</v>
      </c>
      <c r="D74" s="93">
        <v>1.1229931374479999E8</v>
      </c>
      <c r="E74" s="372">
        <v>3626061.0</v>
      </c>
      <c r="F74" s="372">
        <v>5439072.0</v>
      </c>
      <c r="G74" s="372">
        <v>1.42009695E7</v>
      </c>
      <c r="H74" s="360"/>
      <c r="I74" s="6">
        <f t="shared" si="3"/>
        <v>1.3556541724479997E8</v>
      </c>
    </row>
    <row r="75" spans="8:8">
      <c r="A75" s="3" t="s">
        <v>84</v>
      </c>
      <c r="B75" s="4" t="s">
        <v>65</v>
      </c>
      <c r="C75" s="93">
        <v>1.0</v>
      </c>
      <c r="D75" s="93">
        <v>5.614965982080001E7</v>
      </c>
      <c r="E75" s="372">
        <v>3626061.0</v>
      </c>
      <c r="F75" s="372">
        <v>5439072.0</v>
      </c>
      <c r="G75" s="372">
        <v>1.42009695E7</v>
      </c>
      <c r="H75" s="360"/>
      <c r="I75" s="6">
        <f>SUM(C75:H75)</f>
        <v>7.94157633208E7</v>
      </c>
    </row>
    <row r="76" spans="8:8">
      <c r="A76" s="3" t="s">
        <v>85</v>
      </c>
      <c r="B76" s="4" t="s">
        <v>65</v>
      </c>
      <c r="C76" s="93">
        <v>1.0</v>
      </c>
      <c r="D76" s="93">
        <v>1.1229931374479999E8</v>
      </c>
      <c r="E76" s="372">
        <v>3626061.0</v>
      </c>
      <c r="F76" s="372">
        <v>5439072.0</v>
      </c>
      <c r="G76" s="372">
        <v>1.42009695E7</v>
      </c>
      <c r="H76" s="360"/>
      <c r="I76" s="6">
        <f>SUM(C76:H76)</f>
        <v>1.3556541724479997E8</v>
      </c>
    </row>
    <row r="77" spans="8:8">
      <c r="A77" s="15" t="s">
        <v>86</v>
      </c>
      <c r="B77" s="16" t="s">
        <v>65</v>
      </c>
      <c r="C77" s="93">
        <v>1.0</v>
      </c>
      <c r="D77" s="93">
        <v>5.614965982080001E7</v>
      </c>
      <c r="E77" s="372">
        <v>3626061.0</v>
      </c>
      <c r="F77" s="372">
        <v>5439072.0</v>
      </c>
      <c r="G77" s="372">
        <v>1.42009695E7</v>
      </c>
      <c r="H77" s="360"/>
      <c r="I77" s="6">
        <f t="shared" si="4" ref="I77:I114">SUM(C77:G77)</f>
        <v>7.94157633208E7</v>
      </c>
    </row>
    <row r="78" spans="8:8" s="49" ht="15.0" customFormat="1">
      <c r="A78" s="15" t="s">
        <v>87</v>
      </c>
      <c r="B78" s="16" t="s">
        <v>65</v>
      </c>
      <c r="C78" s="93">
        <v>1.0</v>
      </c>
      <c r="D78" s="93">
        <v>6.2123029768800005E7</v>
      </c>
      <c r="E78" s="372">
        <v>3626061.0</v>
      </c>
      <c r="F78" s="372">
        <v>5439072.0</v>
      </c>
      <c r="G78" s="372">
        <v>1.42009695E7</v>
      </c>
      <c r="H78" s="360"/>
      <c r="I78" s="17">
        <f t="shared" si="4"/>
        <v>8.53891332688E7</v>
      </c>
    </row>
    <row r="79" spans="8:8">
      <c r="A79" s="15" t="s">
        <v>88</v>
      </c>
      <c r="B79" s="16" t="s">
        <v>65</v>
      </c>
      <c r="C79" s="93">
        <v>1.0</v>
      </c>
      <c r="D79" s="93">
        <v>6.849461651760001E7</v>
      </c>
      <c r="E79" s="372">
        <v>3626061.0</v>
      </c>
      <c r="F79" s="372">
        <v>5439072.0</v>
      </c>
      <c r="G79" s="372">
        <v>1.42009695E7</v>
      </c>
      <c r="H79" s="360"/>
      <c r="I79" s="6">
        <f t="shared" si="4"/>
        <v>9.176072001760001E7</v>
      </c>
    </row>
    <row r="80" spans="8:8">
      <c r="A80" s="15" t="s">
        <v>89</v>
      </c>
      <c r="B80" s="16" t="s">
        <v>65</v>
      </c>
      <c r="C80" s="93">
        <v>1.0</v>
      </c>
      <c r="D80" s="93">
        <v>7.76537857368E7</v>
      </c>
      <c r="E80" s="372">
        <v>3626061.0</v>
      </c>
      <c r="F80" s="372">
        <v>5439072.0</v>
      </c>
      <c r="G80" s="372">
        <v>1.42009695E7</v>
      </c>
      <c r="H80" s="360"/>
      <c r="I80" s="6">
        <f t="shared" si="4"/>
        <v>1.009198892368E8</v>
      </c>
    </row>
    <row r="81" spans="8:8">
      <c r="A81" s="15" t="s">
        <v>90</v>
      </c>
      <c r="B81" s="16" t="s">
        <v>65</v>
      </c>
      <c r="C81" s="93">
        <v>1.0</v>
      </c>
      <c r="D81" s="93">
        <v>8.342803843920001E7</v>
      </c>
      <c r="E81" s="372">
        <v>3626061.0</v>
      </c>
      <c r="F81" s="372">
        <v>5439072.0</v>
      </c>
      <c r="G81" s="372">
        <v>1.42009695E7</v>
      </c>
      <c r="H81" s="360"/>
      <c r="I81" s="6">
        <f t="shared" si="4"/>
        <v>1.0669414193920001E8</v>
      </c>
    </row>
    <row r="82" spans="8:8">
      <c r="A82" s="15" t="s">
        <v>91</v>
      </c>
      <c r="B82" s="16" t="s">
        <v>65</v>
      </c>
      <c r="C82" s="93">
        <v>1.0</v>
      </c>
      <c r="D82" s="93">
        <v>8.84058457464E7</v>
      </c>
      <c r="E82" s="372">
        <v>3626061.0</v>
      </c>
      <c r="F82" s="372">
        <v>5439072.0</v>
      </c>
      <c r="G82" s="372">
        <v>1.42009695E7</v>
      </c>
      <c r="H82" s="360"/>
      <c r="I82" s="6">
        <f t="shared" si="4"/>
        <v>1.116719492464E8</v>
      </c>
    </row>
    <row r="83" spans="8:8">
      <c r="A83" s="15" t="s">
        <v>92</v>
      </c>
      <c r="B83" s="16" t="s">
        <v>65</v>
      </c>
      <c r="C83" s="93">
        <v>1.0</v>
      </c>
      <c r="D83" s="93">
        <v>5.27647492008E7</v>
      </c>
      <c r="E83" s="372">
        <v>3626061.0</v>
      </c>
      <c r="F83" s="372">
        <v>5439072.0</v>
      </c>
      <c r="G83" s="372">
        <v>1.42009695E7</v>
      </c>
      <c r="H83" s="360"/>
      <c r="I83" s="6">
        <f t="shared" si="4"/>
        <v>7.60308527008E7</v>
      </c>
    </row>
    <row r="84" spans="8:8">
      <c r="A84" s="15" t="s">
        <v>93</v>
      </c>
      <c r="B84" s="16" t="s">
        <v>65</v>
      </c>
      <c r="C84" s="93">
        <v>1.0</v>
      </c>
      <c r="D84" s="93">
        <v>5.614965982080001E7</v>
      </c>
      <c r="E84" s="372">
        <v>3626061.0</v>
      </c>
      <c r="F84" s="372">
        <v>5439072.0</v>
      </c>
      <c r="G84" s="372">
        <v>1.42009695E7</v>
      </c>
      <c r="H84" s="360"/>
      <c r="I84" s="6">
        <f t="shared" si="4"/>
        <v>7.94157633208E7</v>
      </c>
    </row>
    <row r="85" spans="8:8">
      <c r="A85" s="15" t="s">
        <v>94</v>
      </c>
      <c r="B85" s="16" t="s">
        <v>65</v>
      </c>
      <c r="C85" s="93">
        <v>1.0</v>
      </c>
      <c r="D85" s="93">
        <v>6.849461651760001E7</v>
      </c>
      <c r="E85" s="372">
        <v>3626061.0</v>
      </c>
      <c r="F85" s="372">
        <v>5439072.0</v>
      </c>
      <c r="G85" s="372">
        <v>1.42009695E7</v>
      </c>
      <c r="H85" s="360"/>
      <c r="I85" s="6">
        <f t="shared" si="4"/>
        <v>9.176072001760001E7</v>
      </c>
    </row>
    <row r="86" spans="8:8">
      <c r="A86" s="15" t="s">
        <v>95</v>
      </c>
      <c r="B86" s="16" t="s">
        <v>65</v>
      </c>
      <c r="C86" s="93">
        <v>1.0</v>
      </c>
      <c r="D86" s="93">
        <v>5.614965982080001E7</v>
      </c>
      <c r="E86" s="372">
        <v>3626061.0</v>
      </c>
      <c r="F86" s="372">
        <v>5439072.0</v>
      </c>
      <c r="G86" s="372">
        <v>1.42009695E7</v>
      </c>
      <c r="H86" s="360"/>
      <c r="I86" s="6">
        <f t="shared" si="4"/>
        <v>7.94157633208E7</v>
      </c>
    </row>
    <row r="87" spans="8:8">
      <c r="A87" s="15" t="s">
        <v>96</v>
      </c>
      <c r="B87" s="16" t="s">
        <v>65</v>
      </c>
      <c r="C87" s="93">
        <v>1.0</v>
      </c>
      <c r="D87" s="93">
        <v>6.849461651760001E7</v>
      </c>
      <c r="E87" s="372">
        <v>3626061.0</v>
      </c>
      <c r="F87" s="372">
        <v>5439072.0</v>
      </c>
      <c r="G87" s="372">
        <v>1.42009695E7</v>
      </c>
      <c r="H87" s="360"/>
      <c r="I87" s="6">
        <f t="shared" si="4"/>
        <v>9.176072001760001E7</v>
      </c>
    </row>
    <row r="88" spans="8:8">
      <c r="A88" s="15" t="s">
        <v>97</v>
      </c>
      <c r="B88" s="16" t="s">
        <v>65</v>
      </c>
      <c r="C88" s="93">
        <v>1.0</v>
      </c>
      <c r="D88" s="93">
        <v>5.27647492008E7</v>
      </c>
      <c r="E88" s="372">
        <v>3626061.0</v>
      </c>
      <c r="F88" s="372">
        <v>5439072.0</v>
      </c>
      <c r="G88" s="372">
        <v>1.42009695E7</v>
      </c>
      <c r="H88" s="360"/>
      <c r="I88" s="6">
        <f t="shared" si="4"/>
        <v>7.60308527008E7</v>
      </c>
    </row>
    <row r="89" spans="8:8">
      <c r="A89" s="15" t="s">
        <v>98</v>
      </c>
      <c r="B89" s="16" t="s">
        <v>65</v>
      </c>
      <c r="C89" s="93">
        <v>1.0</v>
      </c>
      <c r="D89" s="93">
        <v>5.614965982080001E7</v>
      </c>
      <c r="E89" s="372">
        <v>3626061.0</v>
      </c>
      <c r="F89" s="372">
        <v>5439072.0</v>
      </c>
      <c r="G89" s="372">
        <v>1.42009695E7</v>
      </c>
      <c r="H89" s="360"/>
      <c r="I89" s="6">
        <f t="shared" si="4"/>
        <v>7.94157633208E7</v>
      </c>
    </row>
    <row r="90" spans="8:8" s="49" ht="15.0" customFormat="1">
      <c r="A90" s="15" t="s">
        <v>99</v>
      </c>
      <c r="B90" s="16" t="s">
        <v>65</v>
      </c>
      <c r="C90" s="93">
        <v>1.0</v>
      </c>
      <c r="D90" s="93">
        <v>6.849461651760001E7</v>
      </c>
      <c r="E90" s="372">
        <v>3626061.0</v>
      </c>
      <c r="F90" s="372">
        <v>5439072.0</v>
      </c>
      <c r="G90" s="372">
        <v>1.42009695E7</v>
      </c>
      <c r="H90" s="360"/>
      <c r="I90" s="6">
        <f t="shared" si="4"/>
        <v>9.176072001760001E7</v>
      </c>
    </row>
    <row r="91" spans="8:8">
      <c r="A91" s="15" t="s">
        <v>100</v>
      </c>
      <c r="B91" s="16" t="s">
        <v>65</v>
      </c>
      <c r="C91" s="93">
        <v>1.0</v>
      </c>
      <c r="D91" s="93">
        <v>8.342803843920001E7</v>
      </c>
      <c r="E91" s="372">
        <v>3626061.0</v>
      </c>
      <c r="F91" s="372">
        <v>5439072.0</v>
      </c>
      <c r="G91" s="372">
        <v>1.42009695E7</v>
      </c>
      <c r="H91" s="360"/>
      <c r="I91" s="6">
        <f t="shared" si="4"/>
        <v>1.0669414193920001E8</v>
      </c>
    </row>
    <row r="92" spans="8:8">
      <c r="A92" s="15" t="s">
        <v>101</v>
      </c>
      <c r="B92" s="16" t="s">
        <v>65</v>
      </c>
      <c r="C92" s="93">
        <v>1.0</v>
      </c>
      <c r="D92" s="93">
        <v>8.84058457464E7</v>
      </c>
      <c r="E92" s="372">
        <v>3626061.0</v>
      </c>
      <c r="F92" s="372">
        <v>5439072.0</v>
      </c>
      <c r="G92" s="372">
        <v>1.42009695E7</v>
      </c>
      <c r="H92" s="360"/>
      <c r="I92" s="6">
        <f t="shared" si="4"/>
        <v>1.116719492464E8</v>
      </c>
    </row>
    <row r="93" spans="8:8">
      <c r="A93" s="15" t="s">
        <v>102</v>
      </c>
      <c r="B93" s="16" t="s">
        <v>65</v>
      </c>
      <c r="C93" s="93">
        <v>1.0</v>
      </c>
      <c r="D93" s="93">
        <v>5.555231987760001E7</v>
      </c>
      <c r="E93" s="372">
        <v>3626061.0</v>
      </c>
      <c r="F93" s="372">
        <v>5439072.0</v>
      </c>
      <c r="G93" s="372">
        <v>1.42009695E7</v>
      </c>
      <c r="H93" s="360"/>
      <c r="I93" s="6">
        <f t="shared" si="4"/>
        <v>7.881842337760001E7</v>
      </c>
    </row>
    <row r="94" spans="8:8">
      <c r="A94" s="15" t="s">
        <v>103</v>
      </c>
      <c r="B94" s="16" t="s">
        <v>65</v>
      </c>
      <c r="C94" s="93">
        <v>1.0</v>
      </c>
      <c r="D94" s="93">
        <v>5.27647492008E7</v>
      </c>
      <c r="E94" s="372">
        <v>3626061.0</v>
      </c>
      <c r="F94" s="372">
        <v>5439072.0</v>
      </c>
      <c r="G94" s="372">
        <v>1.42009695E7</v>
      </c>
      <c r="H94" s="360"/>
      <c r="I94" s="6">
        <f t="shared" si="4"/>
        <v>7.60308527008E7</v>
      </c>
    </row>
    <row r="95" spans="8:8">
      <c r="A95" s="15" t="s">
        <v>104</v>
      </c>
      <c r="B95" s="16" t="s">
        <v>65</v>
      </c>
      <c r="C95" s="93">
        <v>1.0</v>
      </c>
      <c r="D95" s="93">
        <v>5.614965982080001E7</v>
      </c>
      <c r="E95" s="372">
        <v>3626061.0</v>
      </c>
      <c r="F95" s="372">
        <v>5439072.0</v>
      </c>
      <c r="G95" s="372">
        <v>1.42009695E7</v>
      </c>
      <c r="H95" s="360"/>
      <c r="I95" s="6">
        <f t="shared" si="4"/>
        <v>7.94157633208E7</v>
      </c>
    </row>
    <row r="96" spans="8:8" s="49" ht="15.0" customFormat="1">
      <c r="A96" s="3" t="s">
        <v>105</v>
      </c>
      <c r="B96" s="4" t="s">
        <v>65</v>
      </c>
      <c r="C96" s="93">
        <v>1.0</v>
      </c>
      <c r="D96" s="93">
        <v>6.2123029768800005E7</v>
      </c>
      <c r="E96" s="372">
        <v>3626061.0</v>
      </c>
      <c r="F96" s="372">
        <v>5439072.0</v>
      </c>
      <c r="G96" s="372">
        <v>1.42009695E7</v>
      </c>
      <c r="H96" s="360"/>
      <c r="I96" s="17">
        <f t="shared" si="4"/>
        <v>8.53891332688E7</v>
      </c>
    </row>
    <row r="97" spans="8:8">
      <c r="A97" s="3" t="s">
        <v>108</v>
      </c>
      <c r="B97" s="4" t="s">
        <v>65</v>
      </c>
      <c r="C97" s="93">
        <v>1.0</v>
      </c>
      <c r="D97" s="93">
        <v>5.614965982080001E7</v>
      </c>
      <c r="E97" s="372">
        <v>3626061.0</v>
      </c>
      <c r="F97" s="372">
        <v>5439072.0</v>
      </c>
      <c r="G97" s="372">
        <v>1.42009695E7</v>
      </c>
      <c r="H97" s="360"/>
      <c r="I97" s="6">
        <f t="shared" si="4"/>
        <v>7.94157633208E7</v>
      </c>
    </row>
    <row r="98" spans="8:8">
      <c r="A98" s="3" t="s">
        <v>109</v>
      </c>
      <c r="B98" s="4" t="s">
        <v>65</v>
      </c>
      <c r="C98" s="93">
        <v>1.0</v>
      </c>
      <c r="D98" s="93">
        <v>6.2123029768800005E7</v>
      </c>
      <c r="E98" s="372">
        <v>3626061.0</v>
      </c>
      <c r="F98" s="372">
        <v>5439072.0</v>
      </c>
      <c r="G98" s="372">
        <v>1.42009695E7</v>
      </c>
      <c r="H98" s="360"/>
      <c r="I98" s="6">
        <f t="shared" si="4"/>
        <v>8.53891332688E7</v>
      </c>
    </row>
    <row r="99" spans="8:8">
      <c r="A99" s="3" t="s">
        <v>110</v>
      </c>
      <c r="B99" s="4" t="s">
        <v>65</v>
      </c>
      <c r="C99" s="93">
        <v>1.630291126464E8</v>
      </c>
      <c r="D99" s="93">
        <v>5.157007521120001E7</v>
      </c>
      <c r="E99" s="372">
        <v>3626061.0</v>
      </c>
      <c r="F99" s="372">
        <v>5439072.0</v>
      </c>
      <c r="G99" s="372">
        <v>1.42009695E7</v>
      </c>
      <c r="H99" s="360"/>
      <c r="I99" s="6">
        <f t="shared" si="4"/>
        <v>2.378652903576E8</v>
      </c>
    </row>
    <row r="100" spans="8:8">
      <c r="A100" s="3" t="s">
        <v>111</v>
      </c>
      <c r="B100" s="4" t="s">
        <v>65</v>
      </c>
      <c r="C100" s="93">
        <v>1.0</v>
      </c>
      <c r="D100" s="93">
        <v>5.27647492008E7</v>
      </c>
      <c r="E100" s="372">
        <v>3626061.0</v>
      </c>
      <c r="F100" s="372">
        <v>5439072.0</v>
      </c>
      <c r="G100" s="372">
        <v>1.42009695E7</v>
      </c>
      <c r="H100" s="360"/>
      <c r="I100" s="6">
        <f t="shared" si="4"/>
        <v>7.60308527008E7</v>
      </c>
    </row>
    <row r="101" spans="8:8">
      <c r="A101" s="3" t="s">
        <v>112</v>
      </c>
      <c r="B101" s="4" t="s">
        <v>65</v>
      </c>
      <c r="C101" s="93">
        <v>1.0</v>
      </c>
      <c r="D101" s="93">
        <v>5.614965982080001E7</v>
      </c>
      <c r="E101" s="372">
        <v>3626061.0</v>
      </c>
      <c r="F101" s="372">
        <v>5439072.0</v>
      </c>
      <c r="G101" s="372">
        <v>1.42009695E7</v>
      </c>
      <c r="H101" s="360"/>
      <c r="I101" s="6">
        <f t="shared" si="4"/>
        <v>7.94157633208E7</v>
      </c>
    </row>
    <row r="102" spans="8:8">
      <c r="A102" s="3" t="s">
        <v>113</v>
      </c>
      <c r="B102" s="4" t="s">
        <v>65</v>
      </c>
      <c r="C102" s="93">
        <v>1.0</v>
      </c>
      <c r="D102" s="93">
        <v>6.2123029768800005E7</v>
      </c>
      <c r="E102" s="372">
        <v>3626061.0</v>
      </c>
      <c r="F102" s="372">
        <v>5439072.0</v>
      </c>
      <c r="G102" s="372">
        <v>1.42009695E7</v>
      </c>
      <c r="H102" s="360"/>
      <c r="I102" s="6">
        <f t="shared" si="4"/>
        <v>8.53891332688E7</v>
      </c>
    </row>
    <row r="103" spans="8:8">
      <c r="A103" s="3" t="s">
        <v>114</v>
      </c>
      <c r="B103" s="4" t="s">
        <v>65</v>
      </c>
      <c r="C103" s="93">
        <v>1.0</v>
      </c>
      <c r="D103" s="93">
        <v>5.27647492008E7</v>
      </c>
      <c r="E103" s="372">
        <v>3626061.0</v>
      </c>
      <c r="F103" s="372">
        <v>5439072.0</v>
      </c>
      <c r="G103" s="372">
        <v>1.42009695E7</v>
      </c>
      <c r="H103" s="360"/>
      <c r="I103" s="6">
        <f t="shared" si="4"/>
        <v>7.60308527008E7</v>
      </c>
    </row>
    <row r="104" spans="8:8">
      <c r="A104" s="3" t="s">
        <v>115</v>
      </c>
      <c r="B104" s="4" t="s">
        <v>65</v>
      </c>
      <c r="C104" s="93">
        <v>1.0</v>
      </c>
      <c r="D104" s="93">
        <v>5.614965982080001E7</v>
      </c>
      <c r="E104" s="372">
        <v>3626061.0</v>
      </c>
      <c r="F104" s="372">
        <v>5439072.0</v>
      </c>
      <c r="G104" s="372">
        <v>1.42009695E7</v>
      </c>
      <c r="H104" s="360"/>
      <c r="I104" s="6">
        <f t="shared" si="4"/>
        <v>7.94157633208E7</v>
      </c>
    </row>
    <row r="105" spans="8:8">
      <c r="A105" s="3" t="s">
        <v>116</v>
      </c>
      <c r="B105" s="4" t="s">
        <v>65</v>
      </c>
      <c r="C105" s="93">
        <v>1.0</v>
      </c>
      <c r="D105" s="93">
        <v>6.2123029768800005E7</v>
      </c>
      <c r="E105" s="372">
        <v>3626061.0</v>
      </c>
      <c r="F105" s="372">
        <v>5439072.0</v>
      </c>
      <c r="G105" s="372">
        <v>1.42009695E7</v>
      </c>
      <c r="H105" s="360"/>
      <c r="I105" s="6">
        <f t="shared" si="4"/>
        <v>8.53891332688E7</v>
      </c>
    </row>
    <row r="106" spans="8:8">
      <c r="A106" s="3" t="s">
        <v>117</v>
      </c>
      <c r="B106" s="4" t="s">
        <v>65</v>
      </c>
      <c r="C106" s="93">
        <v>1.0</v>
      </c>
      <c r="D106" s="93">
        <v>5.614965982080001E7</v>
      </c>
      <c r="E106" s="372">
        <v>3626061.0</v>
      </c>
      <c r="F106" s="372">
        <v>5439072.0</v>
      </c>
      <c r="G106" s="372">
        <v>1.42009695E7</v>
      </c>
      <c r="H106" s="360"/>
      <c r="I106" s="6">
        <f t="shared" si="4"/>
        <v>7.94157633208E7</v>
      </c>
    </row>
    <row r="107" spans="8:8">
      <c r="A107" s="3" t="s">
        <v>118</v>
      </c>
      <c r="B107" s="4" t="s">
        <v>65</v>
      </c>
      <c r="C107" s="93">
        <v>1.0</v>
      </c>
      <c r="D107" s="93">
        <v>5.27647492008E7</v>
      </c>
      <c r="E107" s="372">
        <v>3626061.0</v>
      </c>
      <c r="F107" s="372">
        <v>5439072.0</v>
      </c>
      <c r="G107" s="372">
        <v>1.42009695E7</v>
      </c>
      <c r="H107" s="360"/>
      <c r="I107" s="6">
        <f t="shared" si="4"/>
        <v>7.60308527008E7</v>
      </c>
    </row>
    <row r="108" spans="8:8">
      <c r="A108" s="3" t="s">
        <v>119</v>
      </c>
      <c r="B108" s="4" t="s">
        <v>65</v>
      </c>
      <c r="C108" s="93">
        <v>1.0</v>
      </c>
      <c r="D108" s="93">
        <v>5.614965982080001E7</v>
      </c>
      <c r="E108" s="372">
        <v>3626061.0</v>
      </c>
      <c r="F108" s="372">
        <v>5439072.0</v>
      </c>
      <c r="G108" s="372">
        <v>1.42009695E7</v>
      </c>
      <c r="H108" s="360"/>
      <c r="I108" s="6">
        <f t="shared" si="4"/>
        <v>7.94157633208E7</v>
      </c>
    </row>
    <row r="109" spans="8:8">
      <c r="A109" s="3" t="s">
        <v>120</v>
      </c>
      <c r="B109" s="4" t="s">
        <v>65</v>
      </c>
      <c r="C109" s="93">
        <v>1.0</v>
      </c>
      <c r="D109" s="93">
        <v>1.055294984016E8</v>
      </c>
      <c r="E109" s="372">
        <v>3626061.0</v>
      </c>
      <c r="F109" s="372">
        <v>5439072.0</v>
      </c>
      <c r="G109" s="372">
        <v>1.42009695E7</v>
      </c>
      <c r="H109" s="360"/>
      <c r="I109" s="6">
        <f t="shared" si="4"/>
        <v>1.287956019016E8</v>
      </c>
    </row>
    <row r="110" spans="8:8">
      <c r="A110" s="3" t="s">
        <v>121</v>
      </c>
      <c r="B110" s="4" t="s">
        <v>65</v>
      </c>
      <c r="C110" s="93">
        <v>1.0</v>
      </c>
      <c r="D110" s="93">
        <v>1.1229931374479999E8</v>
      </c>
      <c r="E110" s="372">
        <v>3626061.0</v>
      </c>
      <c r="F110" s="372">
        <v>5439072.0</v>
      </c>
      <c r="G110" s="372">
        <v>1.42009695E7</v>
      </c>
      <c r="H110" s="360"/>
      <c r="I110" s="6">
        <f t="shared" si="4"/>
        <v>1.3556541724479997E8</v>
      </c>
    </row>
    <row r="111" spans="8:8">
      <c r="A111" s="3" t="s">
        <v>122</v>
      </c>
      <c r="B111" s="4" t="s">
        <v>65</v>
      </c>
      <c r="C111" s="93">
        <v>1.0</v>
      </c>
      <c r="D111" s="93">
        <v>5.27647492008E7</v>
      </c>
      <c r="E111" s="372">
        <v>3626061.0</v>
      </c>
      <c r="F111" s="372">
        <v>5439072.0</v>
      </c>
      <c r="G111" s="372">
        <v>1.42009695E7</v>
      </c>
      <c r="H111" s="360"/>
      <c r="I111" s="6">
        <f t="shared" si="4"/>
        <v>7.60308527008E7</v>
      </c>
    </row>
    <row r="112" spans="8:8">
      <c r="A112" s="3" t="s">
        <v>123</v>
      </c>
      <c r="B112" s="4" t="s">
        <v>65</v>
      </c>
      <c r="C112" s="93">
        <v>1.0</v>
      </c>
      <c r="D112" s="93">
        <v>5.614965982080001E7</v>
      </c>
      <c r="E112" s="372">
        <v>3626061.0</v>
      </c>
      <c r="F112" s="372">
        <v>5439072.0</v>
      </c>
      <c r="G112" s="372">
        <v>1.42009695E7</v>
      </c>
      <c r="H112" s="360"/>
      <c r="I112" s="6">
        <f t="shared" si="4"/>
        <v>7.94157633208E7</v>
      </c>
    </row>
    <row r="113" spans="8:8">
      <c r="A113" s="3" t="s">
        <v>124</v>
      </c>
      <c r="B113" s="4" t="s">
        <v>65</v>
      </c>
      <c r="C113" s="93">
        <v>1.0</v>
      </c>
      <c r="D113" s="93">
        <v>6.2123029768800005E7</v>
      </c>
      <c r="E113" s="372">
        <v>3626061.0</v>
      </c>
      <c r="F113" s="372">
        <v>5439072.0</v>
      </c>
      <c r="G113" s="372">
        <v>1.42009695E7</v>
      </c>
      <c r="H113" s="360"/>
      <c r="I113" s="6">
        <f t="shared" si="4"/>
        <v>8.53891332688E7</v>
      </c>
    </row>
    <row r="114" spans="8:8">
      <c r="A114" s="3" t="s">
        <v>125</v>
      </c>
      <c r="B114" s="4" t="s">
        <v>65</v>
      </c>
      <c r="C114" s="93">
        <v>1.0</v>
      </c>
      <c r="D114" s="93">
        <v>6.849461651760001E7</v>
      </c>
      <c r="E114" s="372">
        <v>3626061.0</v>
      </c>
      <c r="F114" s="372">
        <v>5439072.0</v>
      </c>
      <c r="G114" s="372">
        <v>1.42009695E7</v>
      </c>
      <c r="H114" s="360"/>
      <c r="I114" s="6">
        <f t="shared" si="4"/>
        <v>9.176072001760001E7</v>
      </c>
    </row>
    <row r="115" spans="8:8">
      <c r="A115" s="3" t="s">
        <v>126</v>
      </c>
      <c r="B115" s="4" t="s">
        <v>65</v>
      </c>
      <c r="C115" s="93">
        <v>1.0</v>
      </c>
      <c r="D115" s="93">
        <v>7.76537857368E7</v>
      </c>
      <c r="E115" s="372">
        <v>3626061.0</v>
      </c>
      <c r="F115" s="372">
        <v>5439072.0</v>
      </c>
      <c r="G115" s="372">
        <v>1.42009695E7</v>
      </c>
      <c r="H115" s="360"/>
      <c r="I115" s="6">
        <f t="shared" si="5" ref="I115:I178">SUM(C115:H115)</f>
        <v>1.009198892368E8</v>
      </c>
    </row>
    <row r="116" spans="8:8">
      <c r="A116" s="3" t="s">
        <v>127</v>
      </c>
      <c r="B116" s="4" t="s">
        <v>65</v>
      </c>
      <c r="C116" s="93">
        <v>1.0</v>
      </c>
      <c r="D116" s="93">
        <v>1.055294984016E8</v>
      </c>
      <c r="E116" s="372">
        <v>3626061.0</v>
      </c>
      <c r="F116" s="372">
        <v>5439072.0</v>
      </c>
      <c r="G116" s="372">
        <v>1.42009695E7</v>
      </c>
      <c r="H116" s="360"/>
      <c r="I116" s="6">
        <f t="shared" si="5"/>
        <v>1.287956019016E8</v>
      </c>
    </row>
    <row r="117" spans="8:8">
      <c r="A117" s="3" t="s">
        <v>128</v>
      </c>
      <c r="B117" s="4" t="s">
        <v>65</v>
      </c>
      <c r="C117" s="93">
        <v>1.0</v>
      </c>
      <c r="D117" s="93">
        <v>1.1229931374479999E8</v>
      </c>
      <c r="E117" s="372">
        <v>3626061.0</v>
      </c>
      <c r="F117" s="372">
        <v>5439072.0</v>
      </c>
      <c r="G117" s="372">
        <v>1.42009695E7</v>
      </c>
      <c r="H117" s="360"/>
      <c r="I117" s="6">
        <f t="shared" si="5"/>
        <v>1.3556541724479997E8</v>
      </c>
    </row>
    <row r="118" spans="8:8">
      <c r="A118" s="3" t="s">
        <v>129</v>
      </c>
      <c r="B118" s="4" t="s">
        <v>65</v>
      </c>
      <c r="C118" s="93">
        <v>1.0</v>
      </c>
      <c r="D118" s="93">
        <v>1.2424605364080001E8</v>
      </c>
      <c r="E118" s="372">
        <v>3626061.0</v>
      </c>
      <c r="F118" s="372">
        <v>5439072.0</v>
      </c>
      <c r="G118" s="372">
        <v>1.42009695E7</v>
      </c>
      <c r="H118" s="360"/>
      <c r="I118" s="6">
        <f t="shared" si="5"/>
        <v>1.475121571408E8</v>
      </c>
    </row>
    <row r="119" spans="8:8">
      <c r="A119" s="3" t="s">
        <v>130</v>
      </c>
      <c r="B119" s="4" t="s">
        <v>65</v>
      </c>
      <c r="C119" s="93">
        <v>1.0</v>
      </c>
      <c r="D119" s="93">
        <v>1.3698923303520003E8</v>
      </c>
      <c r="E119" s="372">
        <v>3626061.0</v>
      </c>
      <c r="F119" s="372">
        <v>5439072.0</v>
      </c>
      <c r="G119" s="372">
        <v>1.42009695E7</v>
      </c>
      <c r="H119" s="360"/>
      <c r="I119" s="6">
        <f t="shared" si="5"/>
        <v>1.6025533653520003E8</v>
      </c>
    </row>
    <row r="120" spans="8:8">
      <c r="A120" s="3" t="s">
        <v>131</v>
      </c>
      <c r="B120" s="4" t="s">
        <v>65</v>
      </c>
      <c r="C120" s="93">
        <v>1.0</v>
      </c>
      <c r="D120" s="93">
        <v>1.553075655768E8</v>
      </c>
      <c r="E120" s="372">
        <v>3626061.0</v>
      </c>
      <c r="F120" s="372">
        <v>5439072.0</v>
      </c>
      <c r="G120" s="372">
        <v>1.42009695E7</v>
      </c>
      <c r="H120" s="360"/>
      <c r="I120" s="6">
        <f t="shared" si="5"/>
        <v>1.785736690768E8</v>
      </c>
    </row>
    <row r="121" spans="8:8">
      <c r="A121" s="3" t="s">
        <v>132</v>
      </c>
      <c r="B121" s="4" t="s">
        <v>65</v>
      </c>
      <c r="C121" s="93">
        <v>1.0</v>
      </c>
      <c r="D121" s="93">
        <v>5.27647492008E7</v>
      </c>
      <c r="E121" s="372">
        <v>3626061.0</v>
      </c>
      <c r="F121" s="372">
        <v>5439072.0</v>
      </c>
      <c r="G121" s="372">
        <v>1.42009695E7</v>
      </c>
      <c r="H121" s="360"/>
      <c r="I121" s="6">
        <f t="shared" si="5"/>
        <v>7.60308527008E7</v>
      </c>
    </row>
    <row r="122" spans="8:8">
      <c r="A122" s="3" t="s">
        <v>133</v>
      </c>
      <c r="B122" s="4" t="s">
        <v>65</v>
      </c>
      <c r="C122" s="93">
        <v>1.0</v>
      </c>
      <c r="D122" s="93">
        <v>5.614965982080001E7</v>
      </c>
      <c r="E122" s="372">
        <v>3626061.0</v>
      </c>
      <c r="F122" s="372">
        <v>5439072.0</v>
      </c>
      <c r="G122" s="372">
        <v>1.42009695E7</v>
      </c>
      <c r="H122" s="360"/>
      <c r="I122" s="6">
        <f t="shared" si="5"/>
        <v>7.94157633208E7</v>
      </c>
    </row>
    <row r="123" spans="8:8">
      <c r="A123" s="3" t="s">
        <v>134</v>
      </c>
      <c r="B123" s="4" t="s">
        <v>65</v>
      </c>
      <c r="C123" s="93">
        <v>1.0</v>
      </c>
      <c r="D123" s="93">
        <v>6.2123029768800005E7</v>
      </c>
      <c r="E123" s="372">
        <v>3626061.0</v>
      </c>
      <c r="F123" s="372">
        <v>5439072.0</v>
      </c>
      <c r="G123" s="372">
        <v>1.42009695E7</v>
      </c>
      <c r="H123" s="360"/>
      <c r="I123" s="6">
        <f t="shared" si="5"/>
        <v>8.53891332688E7</v>
      </c>
    </row>
    <row r="124" spans="8:8">
      <c r="A124" s="3" t="s">
        <v>135</v>
      </c>
      <c r="B124" s="4" t="s">
        <v>65</v>
      </c>
      <c r="C124" s="93">
        <v>1.0</v>
      </c>
      <c r="D124" s="93">
        <v>5.27647492008E7</v>
      </c>
      <c r="E124" s="372">
        <v>3626061.0</v>
      </c>
      <c r="F124" s="372">
        <v>5439072.0</v>
      </c>
      <c r="G124" s="372">
        <v>1.42009695E7</v>
      </c>
      <c r="H124" s="360"/>
      <c r="I124" s="6">
        <f t="shared" si="5"/>
        <v>7.60308527008E7</v>
      </c>
    </row>
    <row r="125" spans="8:8">
      <c r="A125" s="3" t="s">
        <v>136</v>
      </c>
      <c r="B125" s="4" t="s">
        <v>65</v>
      </c>
      <c r="C125" s="93">
        <v>1.0</v>
      </c>
      <c r="D125" s="93">
        <v>5.614965982080001E7</v>
      </c>
      <c r="E125" s="372">
        <v>3626061.0</v>
      </c>
      <c r="F125" s="372">
        <v>5439072.0</v>
      </c>
      <c r="G125" s="372">
        <v>1.42009695E7</v>
      </c>
      <c r="H125" s="360"/>
      <c r="I125" s="6">
        <f t="shared" si="5"/>
        <v>7.94157633208E7</v>
      </c>
    </row>
    <row r="126" spans="8:8">
      <c r="A126" s="3" t="s">
        <v>137</v>
      </c>
      <c r="B126" s="4" t="s">
        <v>65</v>
      </c>
      <c r="C126" s="93">
        <v>1.0</v>
      </c>
      <c r="D126" s="93">
        <v>1.055294984016E8</v>
      </c>
      <c r="E126" s="372">
        <v>3626061.0</v>
      </c>
      <c r="F126" s="372">
        <v>5439072.0</v>
      </c>
      <c r="G126" s="372">
        <v>1.42009695E7</v>
      </c>
      <c r="H126" s="360"/>
      <c r="I126" s="6">
        <f t="shared" si="5"/>
        <v>1.287956019016E8</v>
      </c>
    </row>
    <row r="127" spans="8:8">
      <c r="A127" s="3" t="s">
        <v>138</v>
      </c>
      <c r="B127" s="4" t="s">
        <v>65</v>
      </c>
      <c r="C127" s="93">
        <v>1.0</v>
      </c>
      <c r="D127" s="93">
        <v>1.1229931374479999E8</v>
      </c>
      <c r="E127" s="372">
        <v>3626061.0</v>
      </c>
      <c r="F127" s="372">
        <v>5439072.0</v>
      </c>
      <c r="G127" s="372">
        <v>1.42009695E7</v>
      </c>
      <c r="H127" s="360"/>
      <c r="I127" s="6">
        <f t="shared" si="5"/>
        <v>1.3556541724479997E8</v>
      </c>
    </row>
    <row r="128" spans="8:8">
      <c r="A128" s="3" t="s">
        <v>139</v>
      </c>
      <c r="B128" s="4" t="s">
        <v>65</v>
      </c>
      <c r="C128" s="93">
        <v>1.0</v>
      </c>
      <c r="D128" s="93">
        <v>5.27647492008E7</v>
      </c>
      <c r="E128" s="372">
        <v>3626061.0</v>
      </c>
      <c r="F128" s="372">
        <v>5439072.0</v>
      </c>
      <c r="G128" s="372">
        <v>1.42009695E7</v>
      </c>
      <c r="H128" s="360"/>
      <c r="I128" s="6">
        <f t="shared" si="5"/>
        <v>7.60308527008E7</v>
      </c>
    </row>
    <row r="129" spans="8:8">
      <c r="A129" s="3" t="s">
        <v>140</v>
      </c>
      <c r="B129" s="4" t="s">
        <v>65</v>
      </c>
      <c r="C129" s="93">
        <v>1.0</v>
      </c>
      <c r="D129" s="93">
        <v>5.614965982080001E7</v>
      </c>
      <c r="E129" s="372">
        <v>3626061.0</v>
      </c>
      <c r="F129" s="372">
        <v>5439072.0</v>
      </c>
      <c r="G129" s="372">
        <v>1.42009695E7</v>
      </c>
      <c r="H129" s="360"/>
      <c r="I129" s="6">
        <f t="shared" si="5"/>
        <v>7.94157633208E7</v>
      </c>
    </row>
    <row r="130" spans="8:8">
      <c r="A130" s="3" t="s">
        <v>141</v>
      </c>
      <c r="B130" s="4" t="s">
        <v>65</v>
      </c>
      <c r="C130" s="93">
        <v>1.0</v>
      </c>
      <c r="D130" s="93">
        <v>6.2123029768800005E7</v>
      </c>
      <c r="E130" s="372">
        <v>3626061.0</v>
      </c>
      <c r="F130" s="372">
        <v>5439072.0</v>
      </c>
      <c r="G130" s="372">
        <v>1.42009695E7</v>
      </c>
      <c r="H130" s="360"/>
      <c r="I130" s="6">
        <f t="shared" si="5"/>
        <v>8.53891332688E7</v>
      </c>
    </row>
    <row r="131" spans="8:8">
      <c r="A131" s="3" t="s">
        <v>142</v>
      </c>
      <c r="B131" s="4" t="s">
        <v>65</v>
      </c>
      <c r="C131" s="93">
        <v>1.0</v>
      </c>
      <c r="D131" s="93">
        <v>1.055294984016E8</v>
      </c>
      <c r="E131" s="372">
        <v>3626061.0</v>
      </c>
      <c r="F131" s="372">
        <v>5439072.0</v>
      </c>
      <c r="G131" s="372">
        <v>1.42009695E7</v>
      </c>
      <c r="H131" s="360"/>
      <c r="I131" s="6">
        <f t="shared" si="5"/>
        <v>1.287956019016E8</v>
      </c>
    </row>
    <row r="132" spans="8:8">
      <c r="A132" s="3" t="s">
        <v>143</v>
      </c>
      <c r="B132" s="4" t="s">
        <v>65</v>
      </c>
      <c r="C132" s="93">
        <v>1.0</v>
      </c>
      <c r="D132" s="93">
        <v>1.1229931374479999E8</v>
      </c>
      <c r="E132" s="372">
        <v>3626061.0</v>
      </c>
      <c r="F132" s="372">
        <v>5439072.0</v>
      </c>
      <c r="G132" s="372">
        <v>1.42009695E7</v>
      </c>
      <c r="H132" s="360"/>
      <c r="I132" s="6">
        <f t="shared" si="5"/>
        <v>1.3556541724479997E8</v>
      </c>
    </row>
    <row r="133" spans="8:8">
      <c r="A133" s="3" t="s">
        <v>144</v>
      </c>
      <c r="B133" s="4" t="s">
        <v>65</v>
      </c>
      <c r="C133" s="93">
        <v>1.0</v>
      </c>
      <c r="D133" s="93">
        <v>1.2424605364080001E8</v>
      </c>
      <c r="E133" s="372">
        <v>3626061.0</v>
      </c>
      <c r="F133" s="372">
        <v>5439072.0</v>
      </c>
      <c r="G133" s="372">
        <v>1.42009695E7</v>
      </c>
      <c r="H133" s="360"/>
      <c r="I133" s="6">
        <f t="shared" si="5"/>
        <v>1.475121571408E8</v>
      </c>
    </row>
    <row r="134" spans="8:8">
      <c r="A134" s="3" t="s">
        <v>145</v>
      </c>
      <c r="B134" s="4" t="s">
        <v>65</v>
      </c>
      <c r="C134" s="93">
        <v>1.0</v>
      </c>
      <c r="D134" s="93">
        <v>5.27647492008E7</v>
      </c>
      <c r="E134" s="372">
        <v>3626061.0</v>
      </c>
      <c r="F134" s="372">
        <v>5439072.0</v>
      </c>
      <c r="G134" s="372">
        <v>1.42009695E7</v>
      </c>
      <c r="H134" s="360"/>
      <c r="I134" s="6">
        <f t="shared" si="5"/>
        <v>7.60308527008E7</v>
      </c>
    </row>
    <row r="135" spans="8:8">
      <c r="A135" s="3" t="s">
        <v>146</v>
      </c>
      <c r="B135" s="4" t="s">
        <v>65</v>
      </c>
      <c r="C135" s="93">
        <v>1.0</v>
      </c>
      <c r="D135" s="93">
        <v>5.614965982080001E7</v>
      </c>
      <c r="E135" s="372">
        <v>3626061.0</v>
      </c>
      <c r="F135" s="372">
        <v>5439072.0</v>
      </c>
      <c r="G135" s="372">
        <v>1.42009695E7</v>
      </c>
      <c r="H135" s="360"/>
      <c r="I135" s="6">
        <f t="shared" si="5"/>
        <v>7.94157633208E7</v>
      </c>
    </row>
    <row r="136" spans="8:8">
      <c r="A136" s="3" t="s">
        <v>147</v>
      </c>
      <c r="B136" s="4" t="s">
        <v>65</v>
      </c>
      <c r="C136" s="93">
        <v>1.0</v>
      </c>
      <c r="D136" s="93">
        <v>6.2123029768800005E7</v>
      </c>
      <c r="E136" s="372">
        <v>3626061.0</v>
      </c>
      <c r="F136" s="372">
        <v>5439072.0</v>
      </c>
      <c r="G136" s="372">
        <v>1.42009695E7</v>
      </c>
      <c r="H136" s="360"/>
      <c r="I136" s="6">
        <f t="shared" si="5"/>
        <v>8.53891332688E7</v>
      </c>
    </row>
    <row r="137" spans="8:8">
      <c r="A137" s="3" t="s">
        <v>148</v>
      </c>
      <c r="B137" s="4" t="s">
        <v>65</v>
      </c>
      <c r="C137" s="93">
        <v>1.0</v>
      </c>
      <c r="D137" s="93">
        <v>5.614965982080001E7</v>
      </c>
      <c r="E137" s="372">
        <v>3626061.0</v>
      </c>
      <c r="F137" s="372">
        <v>5439072.0</v>
      </c>
      <c r="G137" s="372">
        <v>1.42009695E7</v>
      </c>
      <c r="H137" s="360"/>
      <c r="I137" s="6">
        <f t="shared" si="5"/>
        <v>7.94157633208E7</v>
      </c>
    </row>
    <row r="138" spans="8:8">
      <c r="A138" s="3" t="s">
        <v>149</v>
      </c>
      <c r="B138" s="4" t="s">
        <v>65</v>
      </c>
      <c r="C138" s="93">
        <v>1.0</v>
      </c>
      <c r="D138" s="93">
        <v>6.2123029768800005E7</v>
      </c>
      <c r="E138" s="372">
        <v>3626061.0</v>
      </c>
      <c r="F138" s="372">
        <v>5439072.0</v>
      </c>
      <c r="G138" s="372">
        <v>1.42009695E7</v>
      </c>
      <c r="H138" s="360"/>
      <c r="I138" s="6">
        <f t="shared" si="5"/>
        <v>8.53891332688E7</v>
      </c>
    </row>
    <row r="139" spans="8:8">
      <c r="A139" s="3" t="s">
        <v>150</v>
      </c>
      <c r="B139" s="4" t="s">
        <v>65</v>
      </c>
      <c r="C139" s="93">
        <v>1.0</v>
      </c>
      <c r="D139" s="93">
        <v>8.342803843920001E7</v>
      </c>
      <c r="E139" s="372">
        <v>3626061.0</v>
      </c>
      <c r="F139" s="372">
        <v>5439072.0</v>
      </c>
      <c r="G139" s="372">
        <v>1.42009695E7</v>
      </c>
      <c r="H139" s="360"/>
      <c r="I139" s="6">
        <f t="shared" si="5"/>
        <v>1.0669414193920001E8</v>
      </c>
    </row>
    <row r="140" spans="8:8">
      <c r="A140" s="3" t="s">
        <v>151</v>
      </c>
      <c r="B140" s="4" t="s">
        <v>65</v>
      </c>
      <c r="C140" s="93">
        <v>1.0</v>
      </c>
      <c r="D140" s="93">
        <v>1.1229931374479999E8</v>
      </c>
      <c r="E140" s="372">
        <v>3626061.0</v>
      </c>
      <c r="F140" s="372">
        <v>5439072.0</v>
      </c>
      <c r="G140" s="372">
        <v>1.42009695E7</v>
      </c>
      <c r="H140" s="360"/>
      <c r="I140" s="6">
        <f t="shared" si="5"/>
        <v>1.3556541724479997E8</v>
      </c>
    </row>
    <row r="141" spans="8:8">
      <c r="A141" s="3" t="s">
        <v>152</v>
      </c>
      <c r="B141" s="4" t="s">
        <v>65</v>
      </c>
      <c r="C141" s="93">
        <v>1.0</v>
      </c>
      <c r="D141" s="93">
        <v>1.2424605364080001E8</v>
      </c>
      <c r="E141" s="372">
        <v>3626061.0</v>
      </c>
      <c r="F141" s="372">
        <v>5439072.0</v>
      </c>
      <c r="G141" s="372">
        <v>1.42009695E7</v>
      </c>
      <c r="H141" s="360"/>
      <c r="I141" s="6">
        <f t="shared" si="5"/>
        <v>1.475121571408E8</v>
      </c>
    </row>
    <row r="142" spans="8:8">
      <c r="A142" s="3" t="s">
        <v>153</v>
      </c>
      <c r="B142" s="4" t="s">
        <v>65</v>
      </c>
      <c r="C142" s="93">
        <v>1.0</v>
      </c>
      <c r="D142" s="93">
        <v>2.5884593869680005E8</v>
      </c>
      <c r="E142" s="372">
        <v>3626061.0</v>
      </c>
      <c r="F142" s="372">
        <v>5439072.0</v>
      </c>
      <c r="G142" s="372">
        <v>1.42009695E7</v>
      </c>
      <c r="H142" s="360"/>
      <c r="I142" s="6">
        <f t="shared" si="5"/>
        <v>2.8211204219680005E8</v>
      </c>
    </row>
    <row r="143" spans="8:8">
      <c r="A143" s="3" t="s">
        <v>154</v>
      </c>
      <c r="B143" s="4" t="s">
        <v>65</v>
      </c>
      <c r="C143" s="93">
        <v>1.0</v>
      </c>
      <c r="D143" s="93">
        <v>4.97780671752E7</v>
      </c>
      <c r="E143" s="372">
        <v>3626061.0</v>
      </c>
      <c r="F143" s="372">
        <v>5439072.0</v>
      </c>
      <c r="G143" s="372">
        <v>1.42009695E7</v>
      </c>
      <c r="H143" s="360"/>
      <c r="I143" s="6">
        <f t="shared" si="5"/>
        <v>7.30441706752E7</v>
      </c>
    </row>
    <row r="144" spans="8:8">
      <c r="A144" s="3" t="s">
        <v>155</v>
      </c>
      <c r="B144" s="4" t="s">
        <v>65</v>
      </c>
      <c r="C144" s="93">
        <v>1.0</v>
      </c>
      <c r="D144" s="93">
        <v>5.27647492008E7</v>
      </c>
      <c r="E144" s="372">
        <v>3626061.0</v>
      </c>
      <c r="F144" s="372">
        <v>5439072.0</v>
      </c>
      <c r="G144" s="372">
        <v>1.42009695E7</v>
      </c>
      <c r="H144" s="360"/>
      <c r="I144" s="6">
        <f t="shared" si="5"/>
        <v>7.60308527008E7</v>
      </c>
    </row>
    <row r="145" spans="8:8">
      <c r="A145" s="3" t="s">
        <v>156</v>
      </c>
      <c r="B145" s="4" t="s">
        <v>65</v>
      </c>
      <c r="C145" s="93">
        <v>1.0</v>
      </c>
      <c r="D145" s="93">
        <v>5.614965982080001E7</v>
      </c>
      <c r="E145" s="372">
        <v>3626061.0</v>
      </c>
      <c r="F145" s="372">
        <v>5439072.0</v>
      </c>
      <c r="G145" s="372">
        <v>1.42009695E7</v>
      </c>
      <c r="H145" s="360"/>
      <c r="I145" s="6">
        <f t="shared" si="5"/>
        <v>7.94157633208E7</v>
      </c>
    </row>
    <row r="146" spans="8:8">
      <c r="A146" s="3" t="s">
        <v>157</v>
      </c>
      <c r="B146" s="4" t="s">
        <v>65</v>
      </c>
      <c r="C146" s="93">
        <v>1.0</v>
      </c>
      <c r="D146" s="93">
        <v>5.27647492008E7</v>
      </c>
      <c r="E146" s="372">
        <v>3626061.0</v>
      </c>
      <c r="F146" s="372">
        <v>5439072.0</v>
      </c>
      <c r="G146" s="372">
        <v>1.42009695E7</v>
      </c>
      <c r="H146" s="360"/>
      <c r="I146" s="6">
        <f t="shared" si="5"/>
        <v>7.60308527008E7</v>
      </c>
    </row>
    <row r="147" spans="8:8">
      <c r="A147" s="3" t="s">
        <v>158</v>
      </c>
      <c r="B147" s="4" t="s">
        <v>65</v>
      </c>
      <c r="C147" s="93">
        <v>1.0</v>
      </c>
      <c r="D147" s="93">
        <v>5.614965982080001E7</v>
      </c>
      <c r="E147" s="372">
        <v>3626061.0</v>
      </c>
      <c r="F147" s="372">
        <v>5439072.0</v>
      </c>
      <c r="G147" s="372">
        <v>1.42009695E7</v>
      </c>
      <c r="H147" s="360"/>
      <c r="I147" s="6">
        <f t="shared" si="5"/>
        <v>7.94157633208E7</v>
      </c>
    </row>
    <row r="148" spans="8:8">
      <c r="A148" s="3" t="s">
        <v>159</v>
      </c>
      <c r="B148" s="4" t="s">
        <v>65</v>
      </c>
      <c r="C148" s="93">
        <v>1.0</v>
      </c>
      <c r="D148" s="93">
        <v>6.2123029768800005E7</v>
      </c>
      <c r="E148" s="372">
        <v>3626061.0</v>
      </c>
      <c r="F148" s="372">
        <v>5439072.0</v>
      </c>
      <c r="G148" s="372">
        <v>1.42009695E7</v>
      </c>
      <c r="H148" s="360"/>
      <c r="I148" s="6">
        <f t="shared" si="5"/>
        <v>8.53891332688E7</v>
      </c>
    </row>
    <row r="149" spans="8:8">
      <c r="A149" s="3" t="s">
        <v>160</v>
      </c>
      <c r="B149" s="4" t="s">
        <v>65</v>
      </c>
      <c r="C149" s="93">
        <v>1.0</v>
      </c>
      <c r="D149" s="93">
        <v>5.614965982080001E7</v>
      </c>
      <c r="E149" s="372">
        <v>3626061.0</v>
      </c>
      <c r="F149" s="372">
        <v>5439072.0</v>
      </c>
      <c r="G149" s="372">
        <v>1.42009695E7</v>
      </c>
      <c r="H149" s="360"/>
      <c r="I149" s="6">
        <f t="shared" si="5"/>
        <v>7.94157633208E7</v>
      </c>
    </row>
    <row r="150" spans="8:8">
      <c r="A150" s="15" t="s">
        <v>161</v>
      </c>
      <c r="B150" s="16" t="s">
        <v>65</v>
      </c>
      <c r="C150" s="93">
        <v>1.0</v>
      </c>
      <c r="D150" s="93">
        <v>6.2123029768800005E7</v>
      </c>
      <c r="E150" s="372">
        <v>3626061.0</v>
      </c>
      <c r="F150" s="372">
        <v>5439072.0</v>
      </c>
      <c r="G150" s="372">
        <v>1.42009695E7</v>
      </c>
      <c r="H150" s="360"/>
      <c r="I150" s="6">
        <f t="shared" si="5"/>
        <v>8.53891332688E7</v>
      </c>
    </row>
    <row r="151" spans="8:8">
      <c r="A151" s="15" t="s">
        <v>162</v>
      </c>
      <c r="B151" s="16" t="s">
        <v>65</v>
      </c>
      <c r="C151" s="93">
        <v>1.0</v>
      </c>
      <c r="D151" s="93">
        <v>1.1229931374479999E8</v>
      </c>
      <c r="E151" s="372">
        <v>3626061.0</v>
      </c>
      <c r="F151" s="372">
        <v>5439072.0</v>
      </c>
      <c r="G151" s="372">
        <v>1.42009695E7</v>
      </c>
      <c r="H151" s="360"/>
      <c r="I151" s="6">
        <f t="shared" si="5"/>
        <v>1.3556541724479997E8</v>
      </c>
    </row>
    <row r="152" spans="8:8">
      <c r="A152" s="15" t="s">
        <v>163</v>
      </c>
      <c r="B152" s="16" t="s">
        <v>65</v>
      </c>
      <c r="C152" s="93">
        <v>1.0</v>
      </c>
      <c r="D152" s="93">
        <v>1.2424605364080001E8</v>
      </c>
      <c r="E152" s="372">
        <v>3626061.0</v>
      </c>
      <c r="F152" s="372">
        <v>5439072.0</v>
      </c>
      <c r="G152" s="372">
        <v>1.42009695E7</v>
      </c>
      <c r="H152" s="360"/>
      <c r="I152" s="6">
        <f t="shared" si="5"/>
        <v>1.475121571408E8</v>
      </c>
    </row>
    <row r="153" spans="8:8">
      <c r="A153" s="3" t="s">
        <v>164</v>
      </c>
      <c r="B153" s="4" t="s">
        <v>65</v>
      </c>
      <c r="C153" s="93">
        <v>1.0</v>
      </c>
      <c r="D153" s="93">
        <v>4.858339318560001E7</v>
      </c>
      <c r="E153" s="372">
        <v>3626061.0</v>
      </c>
      <c r="F153" s="372">
        <v>5439072.0</v>
      </c>
      <c r="G153" s="372">
        <v>1.42009695E7</v>
      </c>
      <c r="H153" s="360"/>
      <c r="I153" s="6">
        <f t="shared" si="5"/>
        <v>7.184949668560001E7</v>
      </c>
    </row>
    <row r="154" spans="8:8">
      <c r="A154" s="3" t="s">
        <v>165</v>
      </c>
      <c r="B154" s="4" t="s">
        <v>65</v>
      </c>
      <c r="C154" s="93">
        <v>1.0</v>
      </c>
      <c r="D154" s="93">
        <v>5.4556763133600004E7</v>
      </c>
      <c r="E154" s="372">
        <v>3626061.0</v>
      </c>
      <c r="F154" s="372">
        <v>5439072.0</v>
      </c>
      <c r="G154" s="372">
        <v>1.42009695E7</v>
      </c>
      <c r="H154" s="360"/>
      <c r="I154" s="6">
        <f t="shared" si="5"/>
        <v>7.78228666336E7</v>
      </c>
    </row>
    <row r="155" spans="8:8">
      <c r="A155" s="3" t="s">
        <v>166</v>
      </c>
      <c r="B155" s="4" t="s">
        <v>65</v>
      </c>
      <c r="C155" s="93">
        <v>1.0</v>
      </c>
      <c r="D155" s="93">
        <v>5.27647492008E7</v>
      </c>
      <c r="E155" s="372">
        <v>3626061.0</v>
      </c>
      <c r="F155" s="372">
        <v>5439072.0</v>
      </c>
      <c r="G155" s="372">
        <v>1.42009695E7</v>
      </c>
      <c r="H155" s="360"/>
      <c r="I155" s="6">
        <f t="shared" si="5"/>
        <v>7.60308527008E7</v>
      </c>
    </row>
    <row r="156" spans="8:8">
      <c r="A156" s="3" t="s">
        <v>167</v>
      </c>
      <c r="B156" s="4" t="s">
        <v>65</v>
      </c>
      <c r="C156" s="93">
        <v>1.0</v>
      </c>
      <c r="D156" s="93">
        <v>5.614965982080001E7</v>
      </c>
      <c r="E156" s="372">
        <v>3626061.0</v>
      </c>
      <c r="F156" s="372">
        <v>5439072.0</v>
      </c>
      <c r="G156" s="372">
        <v>1.42009695E7</v>
      </c>
      <c r="H156" s="360"/>
      <c r="I156" s="6">
        <f t="shared" si="5"/>
        <v>7.94157633208E7</v>
      </c>
    </row>
    <row r="157" spans="8:8">
      <c r="A157" s="3" t="s">
        <v>168</v>
      </c>
      <c r="B157" s="4" t="s">
        <v>65</v>
      </c>
      <c r="C157" s="93">
        <v>1.0</v>
      </c>
      <c r="D157" s="93">
        <v>1.055294984016E8</v>
      </c>
      <c r="E157" s="372">
        <v>3626061.0</v>
      </c>
      <c r="F157" s="372">
        <v>5439072.0</v>
      </c>
      <c r="G157" s="372">
        <v>1.42009695E7</v>
      </c>
      <c r="H157" s="360"/>
      <c r="I157" s="6">
        <f t="shared" si="5"/>
        <v>1.287956019016E8</v>
      </c>
    </row>
    <row r="158" spans="8:8">
      <c r="A158" s="3" t="s">
        <v>169</v>
      </c>
      <c r="B158" s="4" t="s">
        <v>65</v>
      </c>
      <c r="C158" s="93">
        <v>1.0</v>
      </c>
      <c r="D158" s="93">
        <v>1.1229931374479999E8</v>
      </c>
      <c r="E158" s="372">
        <v>3626061.0</v>
      </c>
      <c r="F158" s="372">
        <v>5439072.0</v>
      </c>
      <c r="G158" s="372">
        <v>1.42009695E7</v>
      </c>
      <c r="H158" s="360"/>
      <c r="I158" s="6">
        <f t="shared" si="5"/>
        <v>1.3556541724479997E8</v>
      </c>
    </row>
    <row r="159" spans="8:8">
      <c r="A159" s="3" t="s">
        <v>170</v>
      </c>
      <c r="B159" s="4" t="s">
        <v>65</v>
      </c>
      <c r="C159" s="93">
        <v>1.0</v>
      </c>
      <c r="D159" s="93">
        <v>5.27647492008E7</v>
      </c>
      <c r="E159" s="372">
        <v>3626061.0</v>
      </c>
      <c r="F159" s="372">
        <v>5439072.0</v>
      </c>
      <c r="G159" s="372">
        <v>1.42009695E7</v>
      </c>
      <c r="H159" s="360"/>
      <c r="I159" s="6">
        <f t="shared" si="5"/>
        <v>7.60308527008E7</v>
      </c>
    </row>
    <row r="160" spans="8:8">
      <c r="A160" s="3" t="s">
        <v>171</v>
      </c>
      <c r="B160" s="4" t="s">
        <v>65</v>
      </c>
      <c r="C160" s="93">
        <v>1.0</v>
      </c>
      <c r="D160" s="93">
        <v>5.614965982080001E7</v>
      </c>
      <c r="E160" s="372">
        <v>3626061.0</v>
      </c>
      <c r="F160" s="372">
        <v>5439072.0</v>
      </c>
      <c r="G160" s="372">
        <v>1.42009695E7</v>
      </c>
      <c r="H160" s="360"/>
      <c r="I160" s="6">
        <f t="shared" si="5"/>
        <v>7.94157633208E7</v>
      </c>
    </row>
    <row r="161" spans="8:8">
      <c r="A161" s="3" t="s">
        <v>172</v>
      </c>
      <c r="B161" s="4" t="s">
        <v>65</v>
      </c>
      <c r="C161" s="93">
        <v>1.0</v>
      </c>
      <c r="D161" s="93">
        <v>6.2123029768800005E7</v>
      </c>
      <c r="E161" s="372">
        <v>3626061.0</v>
      </c>
      <c r="F161" s="372">
        <v>5439072.0</v>
      </c>
      <c r="G161" s="372">
        <v>1.42009695E7</v>
      </c>
      <c r="H161" s="360"/>
      <c r="I161" s="6">
        <f t="shared" si="5"/>
        <v>8.53891332688E7</v>
      </c>
    </row>
    <row r="162" spans="8:8">
      <c r="A162" s="3" t="s">
        <v>173</v>
      </c>
      <c r="B162" s="4" t="s">
        <v>65</v>
      </c>
      <c r="C162" s="93">
        <v>1.0</v>
      </c>
      <c r="D162" s="93">
        <v>1.055294984016E8</v>
      </c>
      <c r="E162" s="372">
        <v>3626061.0</v>
      </c>
      <c r="F162" s="372">
        <v>5439072.0</v>
      </c>
      <c r="G162" s="372">
        <v>1.42009695E7</v>
      </c>
      <c r="H162" s="360"/>
      <c r="I162" s="6">
        <f t="shared" si="5"/>
        <v>1.287956019016E8</v>
      </c>
    </row>
    <row r="163" spans="8:8">
      <c r="A163" s="3" t="s">
        <v>174</v>
      </c>
      <c r="B163" s="4" t="s">
        <v>65</v>
      </c>
      <c r="C163" s="93">
        <v>1.0</v>
      </c>
      <c r="D163" s="93">
        <v>1.1229931374479999E8</v>
      </c>
      <c r="E163" s="372">
        <v>3626061.0</v>
      </c>
      <c r="F163" s="372">
        <v>5439072.0</v>
      </c>
      <c r="G163" s="372">
        <v>1.42009695E7</v>
      </c>
      <c r="H163" s="360"/>
      <c r="I163" s="6">
        <f t="shared" si="5"/>
        <v>1.3556541724479997E8</v>
      </c>
    </row>
    <row r="164" spans="8:8">
      <c r="A164" s="3" t="s">
        <v>175</v>
      </c>
      <c r="B164" s="4" t="s">
        <v>65</v>
      </c>
      <c r="C164" s="93">
        <v>1.0</v>
      </c>
      <c r="D164" s="93">
        <v>1.2424605364080001E8</v>
      </c>
      <c r="E164" s="372">
        <v>3626061.0</v>
      </c>
      <c r="F164" s="372">
        <v>5439072.0</v>
      </c>
      <c r="G164" s="372">
        <v>1.42009695E7</v>
      </c>
      <c r="H164" s="360"/>
      <c r="I164" s="6">
        <f t="shared" si="5"/>
        <v>1.475121571408E8</v>
      </c>
    </row>
    <row r="165" spans="8:8">
      <c r="A165" s="3" t="s">
        <v>176</v>
      </c>
      <c r="B165" s="4" t="s">
        <v>65</v>
      </c>
      <c r="C165" s="93">
        <v>1.0</v>
      </c>
      <c r="D165" s="93">
        <v>4.9180733128800005E7</v>
      </c>
      <c r="E165" s="372">
        <v>3626061.0</v>
      </c>
      <c r="F165" s="372">
        <v>5439072.0</v>
      </c>
      <c r="G165" s="372">
        <v>1.42009695E7</v>
      </c>
      <c r="H165" s="360"/>
      <c r="I165" s="6">
        <f t="shared" si="5"/>
        <v>7.24468366288E7</v>
      </c>
    </row>
    <row r="166" spans="8:8">
      <c r="A166" s="3" t="s">
        <v>177</v>
      </c>
      <c r="B166" s="4" t="s">
        <v>65</v>
      </c>
      <c r="C166" s="93">
        <v>1.0</v>
      </c>
      <c r="D166" s="93">
        <v>6.2123029768800005E7</v>
      </c>
      <c r="E166" s="372">
        <v>3626061.0</v>
      </c>
      <c r="F166" s="372">
        <v>5439072.0</v>
      </c>
      <c r="G166" s="372">
        <v>1.42009695E7</v>
      </c>
      <c r="H166" s="360"/>
      <c r="I166" s="6">
        <f t="shared" si="5"/>
        <v>8.53891332688E7</v>
      </c>
    </row>
    <row r="167" spans="8:8">
      <c r="A167" s="3" t="s">
        <v>178</v>
      </c>
      <c r="B167" s="4" t="s">
        <v>65</v>
      </c>
      <c r="C167" s="93">
        <v>1.630291126464E8</v>
      </c>
      <c r="D167" s="93">
        <v>9.332391552120001E8</v>
      </c>
      <c r="E167" s="372">
        <v>3626061.0</v>
      </c>
      <c r="F167" s="372">
        <v>5439072.0</v>
      </c>
      <c r="G167" s="372">
        <v>1.42009695E7</v>
      </c>
      <c r="H167" s="360"/>
      <c r="I167" s="6">
        <f t="shared" si="5"/>
        <v>1.1195343703584E9</v>
      </c>
    </row>
    <row r="168" spans="8:8">
      <c r="A168" s="3" t="s">
        <v>179</v>
      </c>
      <c r="B168" s="4" t="s">
        <v>65</v>
      </c>
      <c r="C168" s="93">
        <v>1.0</v>
      </c>
      <c r="D168" s="93">
        <v>1.1966646903120002E8</v>
      </c>
      <c r="E168" s="372">
        <v>3626061.0</v>
      </c>
      <c r="F168" s="372">
        <v>5439072.0</v>
      </c>
      <c r="G168" s="372">
        <v>1.42009695E7</v>
      </c>
      <c r="H168" s="360"/>
      <c r="I168" s="6">
        <f t="shared" si="5"/>
        <v>1.4293257253120002E8</v>
      </c>
    </row>
    <row r="169" spans="8:8">
      <c r="A169" s="3" t="s">
        <v>180</v>
      </c>
      <c r="B169" s="4" t="s">
        <v>65</v>
      </c>
      <c r="C169" s="93">
        <v>1.0</v>
      </c>
      <c r="D169" s="93">
        <v>5.614965982080001E7</v>
      </c>
      <c r="E169" s="372">
        <v>3626061.0</v>
      </c>
      <c r="F169" s="372">
        <v>5439072.0</v>
      </c>
      <c r="G169" s="372">
        <v>1.42009695E7</v>
      </c>
      <c r="H169" s="360"/>
      <c r="I169" s="6">
        <f t="shared" si="5"/>
        <v>7.94157633208E7</v>
      </c>
    </row>
    <row r="170" spans="8:8">
      <c r="A170" s="3" t="s">
        <v>181</v>
      </c>
      <c r="B170" s="4" t="s">
        <v>65</v>
      </c>
      <c r="C170" s="93">
        <v>1.0</v>
      </c>
      <c r="D170" s="93">
        <v>1.1229931374479999E8</v>
      </c>
      <c r="E170" s="372">
        <v>3626061.0</v>
      </c>
      <c r="F170" s="372">
        <v>5439072.0</v>
      </c>
      <c r="G170" s="372">
        <v>1.42009695E7</v>
      </c>
      <c r="H170" s="360"/>
      <c r="I170" s="6">
        <f t="shared" si="5"/>
        <v>1.3556541724479997E8</v>
      </c>
    </row>
    <row r="171" spans="8:8">
      <c r="A171" s="3" t="s">
        <v>182</v>
      </c>
      <c r="B171" s="4" t="s">
        <v>65</v>
      </c>
      <c r="C171" s="93">
        <v>1.0</v>
      </c>
      <c r="D171" s="93">
        <v>5.27647492008E7</v>
      </c>
      <c r="E171" s="372">
        <v>3626061.0</v>
      </c>
      <c r="F171" s="372">
        <v>5439072.0</v>
      </c>
      <c r="G171" s="372">
        <v>1.42009695E7</v>
      </c>
      <c r="H171" s="360"/>
      <c r="I171" s="6">
        <f t="shared" si="5"/>
        <v>7.60308527008E7</v>
      </c>
    </row>
    <row r="172" spans="8:8">
      <c r="A172" s="3" t="s">
        <v>183</v>
      </c>
      <c r="B172" s="4" t="s">
        <v>65</v>
      </c>
      <c r="C172" s="93">
        <v>1.0</v>
      </c>
      <c r="D172" s="93">
        <v>5.614965982080001E7</v>
      </c>
      <c r="E172" s="372">
        <v>3626061.0</v>
      </c>
      <c r="F172" s="372">
        <v>5439072.0</v>
      </c>
      <c r="G172" s="372">
        <v>1.42009695E7</v>
      </c>
      <c r="H172" s="360"/>
      <c r="I172" s="6">
        <f t="shared" si="5"/>
        <v>7.94157633208E7</v>
      </c>
    </row>
    <row r="173" spans="8:8">
      <c r="A173" s="3" t="s">
        <v>184</v>
      </c>
      <c r="B173" s="4" t="s">
        <v>65</v>
      </c>
      <c r="C173" s="93">
        <v>1.0</v>
      </c>
      <c r="D173" s="93">
        <v>6.2123029768800005E7</v>
      </c>
      <c r="E173" s="372">
        <v>3626061.0</v>
      </c>
      <c r="F173" s="372">
        <v>5439072.0</v>
      </c>
      <c r="G173" s="372">
        <v>1.42009695E7</v>
      </c>
      <c r="H173" s="360"/>
      <c r="I173" s="6">
        <f t="shared" si="5"/>
        <v>8.53891332688E7</v>
      </c>
    </row>
    <row r="174" spans="8:8">
      <c r="A174" s="3" t="s">
        <v>185</v>
      </c>
      <c r="B174" s="4" t="s">
        <v>65</v>
      </c>
      <c r="C174" s="93">
        <v>1.0</v>
      </c>
      <c r="D174" s="93">
        <v>1.055294984016E8</v>
      </c>
      <c r="E174" s="372">
        <v>3626061.0</v>
      </c>
      <c r="F174" s="372">
        <v>5439072.0</v>
      </c>
      <c r="G174" s="372">
        <v>1.42009695E7</v>
      </c>
      <c r="H174" s="360"/>
      <c r="I174" s="6">
        <f t="shared" si="5"/>
        <v>1.287956019016E8</v>
      </c>
    </row>
    <row r="175" spans="8:8">
      <c r="A175" s="3" t="s">
        <v>186</v>
      </c>
      <c r="B175" s="4" t="s">
        <v>65</v>
      </c>
      <c r="C175" s="93">
        <v>1.0</v>
      </c>
      <c r="D175" s="93">
        <v>1.1229931374479999E8</v>
      </c>
      <c r="E175" s="372">
        <v>3626061.0</v>
      </c>
      <c r="F175" s="372">
        <v>5439072.0</v>
      </c>
      <c r="G175" s="372">
        <v>1.42009695E7</v>
      </c>
      <c r="H175" s="360"/>
      <c r="I175" s="6">
        <f t="shared" si="5"/>
        <v>1.3556541724479997E8</v>
      </c>
    </row>
    <row r="176" spans="8:8">
      <c r="A176" s="3" t="s">
        <v>187</v>
      </c>
      <c r="B176" s="4" t="s">
        <v>65</v>
      </c>
      <c r="C176" s="93">
        <v>1.0</v>
      </c>
      <c r="D176" s="93">
        <v>1.2424605364080001E8</v>
      </c>
      <c r="E176" s="372">
        <v>3626061.0</v>
      </c>
      <c r="F176" s="372">
        <v>5439072.0</v>
      </c>
      <c r="G176" s="372">
        <v>1.42009695E7</v>
      </c>
      <c r="H176" s="360"/>
      <c r="I176" s="6">
        <f t="shared" si="5"/>
        <v>1.475121571408E8</v>
      </c>
    </row>
    <row r="177" spans="8:8" s="49" ht="15.0" customFormat="1">
      <c r="A177" s="15" t="s">
        <v>188</v>
      </c>
      <c r="B177" s="16" t="s">
        <v>65</v>
      </c>
      <c r="C177" s="85">
        <v>1.0</v>
      </c>
      <c r="D177" s="85">
        <v>3.810787442E7</v>
      </c>
      <c r="E177" s="372">
        <v>3626061.0</v>
      </c>
      <c r="F177" s="372">
        <v>5439072.0</v>
      </c>
      <c r="G177" s="372">
        <v>1.42009695E7</v>
      </c>
      <c r="H177" s="360"/>
      <c r="I177" s="17">
        <f t="shared" si="5"/>
        <v>6.137397792E7</v>
      </c>
    </row>
    <row r="178" spans="8:8" s="49" ht="15.0" customFormat="1">
      <c r="A178" s="15" t="s">
        <v>189</v>
      </c>
      <c r="B178" s="16" t="s">
        <v>65</v>
      </c>
      <c r="C178" s="85">
        <v>1.0</v>
      </c>
      <c r="D178" s="85">
        <v>4.055253209E7</v>
      </c>
      <c r="E178" s="372">
        <v>3626061.0</v>
      </c>
      <c r="F178" s="372">
        <v>5439072.0</v>
      </c>
      <c r="G178" s="372">
        <v>1.42009695E7</v>
      </c>
      <c r="H178" s="360"/>
      <c r="I178" s="17">
        <f t="shared" si="5"/>
        <v>6.381863559E7</v>
      </c>
    </row>
    <row r="179" spans="8:8">
      <c r="A179" s="3" t="s">
        <v>190</v>
      </c>
      <c r="B179" s="16" t="s">
        <v>65</v>
      </c>
      <c r="C179" s="93">
        <v>1.0</v>
      </c>
      <c r="D179" s="93">
        <v>5.27647492008E7</v>
      </c>
      <c r="E179" s="372">
        <v>3626061.0</v>
      </c>
      <c r="F179" s="372">
        <v>5439072.0</v>
      </c>
      <c r="G179" s="372">
        <v>1.42009695E7</v>
      </c>
      <c r="H179" s="360"/>
      <c r="I179" s="6">
        <f t="shared" si="6" ref="I179:I183">SUM(C179:H179)</f>
        <v>7.60308527008E7</v>
      </c>
    </row>
    <row r="180" spans="8:8" s="49" ht="15.0" customFormat="1">
      <c r="A180" s="3" t="s">
        <v>191</v>
      </c>
      <c r="B180" s="4" t="s">
        <v>65</v>
      </c>
      <c r="C180" s="93">
        <v>1.0</v>
      </c>
      <c r="D180" s="93">
        <v>5.614965982080001E7</v>
      </c>
      <c r="E180" s="372">
        <v>3626061.0</v>
      </c>
      <c r="F180" s="372">
        <v>5439072.0</v>
      </c>
      <c r="G180" s="372">
        <v>1.42009695E7</v>
      </c>
      <c r="H180" s="360"/>
      <c r="I180" s="17">
        <f t="shared" si="6"/>
        <v>7.94157633208E7</v>
      </c>
    </row>
    <row r="181" spans="8:8">
      <c r="A181" s="3" t="s">
        <v>192</v>
      </c>
      <c r="B181" s="4" t="s">
        <v>65</v>
      </c>
      <c r="C181" s="93">
        <v>1.0</v>
      </c>
      <c r="D181" s="93">
        <v>6.2123029768800005E7</v>
      </c>
      <c r="E181" s="372">
        <v>3626061.0</v>
      </c>
      <c r="F181" s="372">
        <v>5439072.0</v>
      </c>
      <c r="G181" s="372">
        <v>1.42009695E7</v>
      </c>
      <c r="H181" s="360"/>
      <c r="I181" s="6">
        <f t="shared" si="6"/>
        <v>8.53891332688E7</v>
      </c>
    </row>
    <row r="182" spans="8:8">
      <c r="A182" s="3" t="s">
        <v>193</v>
      </c>
      <c r="B182" s="4" t="s">
        <v>65</v>
      </c>
      <c r="C182" s="93">
        <v>1.0</v>
      </c>
      <c r="D182" s="93">
        <v>5.27647492008E7</v>
      </c>
      <c r="E182" s="372">
        <v>3626061.0</v>
      </c>
      <c r="F182" s="372">
        <v>5439072.0</v>
      </c>
      <c r="G182" s="372">
        <v>1.42009695E7</v>
      </c>
      <c r="H182" s="360"/>
      <c r="I182" s="6">
        <f t="shared" si="6"/>
        <v>7.60308527008E7</v>
      </c>
    </row>
    <row r="183" spans="8:8" ht="15.75">
      <c r="A183" s="388" t="s">
        <v>194</v>
      </c>
      <c r="B183" s="389" t="s">
        <v>65</v>
      </c>
      <c r="C183" s="391">
        <v>1.0</v>
      </c>
      <c r="D183" s="391">
        <v>5.614965982080001E7</v>
      </c>
      <c r="E183" s="392">
        <v>3626061.0</v>
      </c>
      <c r="F183" s="392">
        <v>5439072.0</v>
      </c>
      <c r="G183" s="392">
        <v>1.42009695E7</v>
      </c>
      <c r="H183" s="397"/>
      <c r="I183" s="394">
        <f t="shared" si="6"/>
        <v>7.94157633208E7</v>
      </c>
    </row>
    <row r="184" spans="8:8" ht="15.75">
      <c r="A184" s="10" t="s">
        <v>197</v>
      </c>
      <c r="B184" s="11" t="s">
        <v>196</v>
      </c>
      <c r="C184" s="118">
        <v>1.0</v>
      </c>
      <c r="D184" s="118">
        <v>1.3072668401520002E8</v>
      </c>
      <c r="E184" s="370">
        <v>3626061.0</v>
      </c>
      <c r="F184" s="370">
        <v>5439072.0</v>
      </c>
      <c r="G184" s="395"/>
      <c r="H184" s="395"/>
      <c r="I184" s="13">
        <f t="shared" si="7" ref="I184:I240">SUM(C184:F184)</f>
        <v>1.3979181801520002E8</v>
      </c>
    </row>
    <row r="185" spans="8:8">
      <c r="A185" s="3" t="s">
        <v>198</v>
      </c>
      <c r="B185" s="4" t="s">
        <v>196</v>
      </c>
      <c r="C185" s="93">
        <v>1.0</v>
      </c>
      <c r="D185" s="93">
        <v>9.7627229154E8</v>
      </c>
      <c r="E185" s="372">
        <v>3626061.0</v>
      </c>
      <c r="F185" s="372">
        <v>5439072.0</v>
      </c>
      <c r="G185" s="360"/>
      <c r="H185" s="360"/>
      <c r="I185" s="6">
        <f t="shared" si="7"/>
        <v>9.8533742554E8</v>
      </c>
    </row>
    <row r="186" spans="8:8">
      <c r="A186" s="3" t="s">
        <v>199</v>
      </c>
      <c r="B186" s="4" t="s">
        <v>196</v>
      </c>
      <c r="C186" s="93">
        <v>1.0</v>
      </c>
      <c r="D186" s="93">
        <v>2.7962065993680006E8</v>
      </c>
      <c r="E186" s="372">
        <v>3626061.0</v>
      </c>
      <c r="F186" s="372">
        <v>5439072.0</v>
      </c>
      <c r="G186" s="360"/>
      <c r="H186" s="360"/>
      <c r="I186" s="6">
        <f t="shared" si="7"/>
        <v>2.8868579393680006E8</v>
      </c>
      <c r="J186" s="238"/>
    </row>
    <row r="187" spans="8:8">
      <c r="A187" s="3" t="s">
        <v>201</v>
      </c>
      <c r="B187" s="4" t="s">
        <v>196</v>
      </c>
      <c r="C187" s="93">
        <v>1.0</v>
      </c>
      <c r="D187" s="93">
        <v>2.7962065993680006E8</v>
      </c>
      <c r="E187" s="372">
        <v>3626061.0</v>
      </c>
      <c r="F187" s="372">
        <v>5439072.0</v>
      </c>
      <c r="G187" s="360"/>
      <c r="H187" s="360"/>
      <c r="I187" s="6">
        <f t="shared" si="7"/>
        <v>2.8868579393680006E8</v>
      </c>
    </row>
    <row r="188" spans="8:8">
      <c r="A188" s="3" t="s">
        <v>202</v>
      </c>
      <c r="B188" s="16" t="s">
        <v>196</v>
      </c>
      <c r="C188" s="93">
        <v>1.0</v>
      </c>
      <c r="D188" s="93">
        <v>2.7962065993680006E8</v>
      </c>
      <c r="E188" s="372">
        <v>3626061.0</v>
      </c>
      <c r="F188" s="372">
        <v>5439072.0</v>
      </c>
      <c r="G188" s="360"/>
      <c r="H188" s="360"/>
      <c r="I188" s="6">
        <f t="shared" si="7"/>
        <v>2.8868579393680006E8</v>
      </c>
    </row>
    <row r="189" spans="8:8">
      <c r="A189" s="3" t="s">
        <v>203</v>
      </c>
      <c r="B189" s="4" t="s">
        <v>196</v>
      </c>
      <c r="C189" s="93">
        <v>1.0</v>
      </c>
      <c r="D189" s="93">
        <v>2.7962065993680006E8</v>
      </c>
      <c r="E189" s="372">
        <v>3626061.0</v>
      </c>
      <c r="F189" s="372">
        <v>5439072.0</v>
      </c>
      <c r="G189" s="360"/>
      <c r="H189" s="360"/>
      <c r="I189" s="6">
        <f t="shared" si="7"/>
        <v>2.8868579393680006E8</v>
      </c>
    </row>
    <row r="190" spans="8:8">
      <c r="A190" s="3" t="s">
        <v>204</v>
      </c>
      <c r="B190" s="4" t="s">
        <v>196</v>
      </c>
      <c r="C190" s="93">
        <v>1.0</v>
      </c>
      <c r="D190" s="93">
        <v>2.7962065993680006E8</v>
      </c>
      <c r="E190" s="372">
        <v>3626061.0</v>
      </c>
      <c r="F190" s="372">
        <v>5439072.0</v>
      </c>
      <c r="G190" s="360"/>
      <c r="H190" s="360"/>
      <c r="I190" s="6">
        <f t="shared" si="7"/>
        <v>2.8868579393680006E8</v>
      </c>
      <c r="L190" s="233"/>
    </row>
    <row r="191" spans="8:8">
      <c r="A191" s="3" t="s">
        <v>206</v>
      </c>
      <c r="B191" s="4" t="s">
        <v>196</v>
      </c>
      <c r="C191" s="93">
        <v>1.0</v>
      </c>
      <c r="D191" s="93">
        <v>2.7962065993680006E8</v>
      </c>
      <c r="E191" s="372">
        <v>3626061.0</v>
      </c>
      <c r="F191" s="372">
        <v>5439072.0</v>
      </c>
      <c r="G191" s="360"/>
      <c r="H191" s="360"/>
      <c r="I191" s="6">
        <f t="shared" si="7"/>
        <v>2.8868579393680006E8</v>
      </c>
    </row>
    <row r="192" spans="8:8">
      <c r="A192" s="3" t="s">
        <v>207</v>
      </c>
      <c r="B192" s="4" t="s">
        <v>196</v>
      </c>
      <c r="C192" s="93">
        <v>1.0</v>
      </c>
      <c r="D192" s="93">
        <v>2.7962065993680006E8</v>
      </c>
      <c r="E192" s="372">
        <v>3626061.0</v>
      </c>
      <c r="F192" s="372">
        <v>5439072.0</v>
      </c>
      <c r="G192" s="360"/>
      <c r="H192" s="360"/>
      <c r="I192" s="6">
        <f t="shared" si="7"/>
        <v>2.8868579393680006E8</v>
      </c>
      <c r="J192" s="233"/>
      <c r="K192" s="76"/>
    </row>
    <row r="193" spans="8:8">
      <c r="A193" s="3" t="s">
        <v>208</v>
      </c>
      <c r="B193" s="4" t="s">
        <v>196</v>
      </c>
      <c r="C193" s="93">
        <v>1.0</v>
      </c>
      <c r="D193" s="93">
        <v>2.7962065993680006E8</v>
      </c>
      <c r="E193" s="372">
        <v>3626061.0</v>
      </c>
      <c r="F193" s="372">
        <v>5439072.0</v>
      </c>
      <c r="G193" s="360"/>
      <c r="H193" s="360"/>
      <c r="I193" s="6">
        <f t="shared" si="7"/>
        <v>2.8868579393680006E8</v>
      </c>
    </row>
    <row r="194" spans="8:8">
      <c r="A194" s="3" t="s">
        <v>209</v>
      </c>
      <c r="B194" s="4" t="s">
        <v>196</v>
      </c>
      <c r="C194" s="93">
        <v>1.0</v>
      </c>
      <c r="D194" s="93">
        <v>2.7962065993680006E8</v>
      </c>
      <c r="E194" s="372">
        <v>3626061.0</v>
      </c>
      <c r="F194" s="372">
        <v>5439072.0</v>
      </c>
      <c r="G194" s="360"/>
      <c r="H194" s="360"/>
      <c r="I194" s="6">
        <f t="shared" si="7"/>
        <v>2.8868579393680006E8</v>
      </c>
    </row>
    <row r="195" spans="8:8">
      <c r="A195" s="3" t="s">
        <v>210</v>
      </c>
      <c r="B195" s="4" t="s">
        <v>196</v>
      </c>
      <c r="C195" s="93">
        <v>1.0</v>
      </c>
      <c r="D195" s="93">
        <v>2.7962065993680006E8</v>
      </c>
      <c r="E195" s="372">
        <v>3626061.0</v>
      </c>
      <c r="F195" s="372">
        <v>5439072.0</v>
      </c>
      <c r="G195" s="360"/>
      <c r="H195" s="360"/>
      <c r="I195" s="6">
        <f t="shared" si="7"/>
        <v>2.8868579393680006E8</v>
      </c>
    </row>
    <row r="196" spans="8:8">
      <c r="A196" s="3" t="s">
        <v>211</v>
      </c>
      <c r="B196" s="4" t="s">
        <v>196</v>
      </c>
      <c r="C196" s="93">
        <v>1.0</v>
      </c>
      <c r="D196" s="93">
        <v>2.7962065993680006E8</v>
      </c>
      <c r="E196" s="372">
        <v>3626061.0</v>
      </c>
      <c r="F196" s="372">
        <v>5439072.0</v>
      </c>
      <c r="G196" s="360"/>
      <c r="H196" s="360"/>
      <c r="I196" s="6">
        <f t="shared" si="7"/>
        <v>2.8868579393680006E8</v>
      </c>
    </row>
    <row r="197" spans="8:8">
      <c r="A197" s="3" t="s">
        <v>212</v>
      </c>
      <c r="B197" s="4" t="s">
        <v>196</v>
      </c>
      <c r="C197" s="93">
        <v>1.0</v>
      </c>
      <c r="D197" s="93">
        <v>2.7962065993680006E8</v>
      </c>
      <c r="E197" s="372">
        <v>3626061.0</v>
      </c>
      <c r="F197" s="372">
        <v>5439072.0</v>
      </c>
      <c r="G197" s="360"/>
      <c r="H197" s="360"/>
      <c r="I197" s="6">
        <f t="shared" si="7"/>
        <v>2.8868579393680006E8</v>
      </c>
    </row>
    <row r="198" spans="8:8">
      <c r="A198" s="3" t="s">
        <v>214</v>
      </c>
      <c r="B198" s="4" t="s">
        <v>196</v>
      </c>
      <c r="C198" s="93">
        <v>1.0</v>
      </c>
      <c r="D198" s="93">
        <v>2.7962065993680006E8</v>
      </c>
      <c r="E198" s="372">
        <v>3626061.0</v>
      </c>
      <c r="F198" s="372">
        <v>5439072.0</v>
      </c>
      <c r="G198" s="360"/>
      <c r="H198" s="360"/>
      <c r="I198" s="6">
        <f t="shared" si="7"/>
        <v>2.8868579393680006E8</v>
      </c>
    </row>
    <row r="199" spans="8:8">
      <c r="A199" s="3" t="s">
        <v>215</v>
      </c>
      <c r="B199" s="4" t="s">
        <v>196</v>
      </c>
      <c r="C199" s="93">
        <v>1.0</v>
      </c>
      <c r="D199" s="93">
        <v>2.7962065993680006E8</v>
      </c>
      <c r="E199" s="372">
        <v>3626061.0</v>
      </c>
      <c r="F199" s="372">
        <v>5439072.0</v>
      </c>
      <c r="G199" s="360"/>
      <c r="H199" s="360"/>
      <c r="I199" s="6">
        <f t="shared" si="7"/>
        <v>2.8868579393680006E8</v>
      </c>
    </row>
    <row r="200" spans="8:8">
      <c r="A200" s="3" t="s">
        <v>216</v>
      </c>
      <c r="B200" s="4" t="s">
        <v>196</v>
      </c>
      <c r="C200" s="93">
        <v>1.0</v>
      </c>
      <c r="D200" s="93">
        <v>2.7962065993680006E8</v>
      </c>
      <c r="E200" s="372">
        <v>3626061.0</v>
      </c>
      <c r="F200" s="372">
        <v>5439072.0</v>
      </c>
      <c r="G200" s="360"/>
      <c r="H200" s="360"/>
      <c r="I200" s="6">
        <f t="shared" si="7"/>
        <v>2.8868579393680006E8</v>
      </c>
    </row>
    <row r="201" spans="8:8">
      <c r="A201" s="3" t="s">
        <v>217</v>
      </c>
      <c r="B201" s="4" t="s">
        <v>196</v>
      </c>
      <c r="C201" s="93">
        <v>1.0</v>
      </c>
      <c r="D201" s="93">
        <v>2.7962065993680006E8</v>
      </c>
      <c r="E201" s="372">
        <v>3626061.0</v>
      </c>
      <c r="F201" s="372">
        <v>5439072.0</v>
      </c>
      <c r="G201" s="360"/>
      <c r="H201" s="360"/>
      <c r="I201" s="6">
        <f t="shared" si="7"/>
        <v>2.8868579393680006E8</v>
      </c>
    </row>
    <row r="202" spans="8:8">
      <c r="A202" s="3" t="s">
        <v>218</v>
      </c>
      <c r="B202" s="4" t="s">
        <v>196</v>
      </c>
      <c r="C202" s="93">
        <v>1.0</v>
      </c>
      <c r="D202" s="93">
        <v>2.7962065993680006E8</v>
      </c>
      <c r="E202" s="372">
        <v>3626061.0</v>
      </c>
      <c r="F202" s="372">
        <v>5439072.0</v>
      </c>
      <c r="G202" s="360"/>
      <c r="H202" s="360"/>
      <c r="I202" s="6">
        <f t="shared" si="7"/>
        <v>2.8868579393680006E8</v>
      </c>
    </row>
    <row r="203" spans="8:8">
      <c r="A203" s="3" t="s">
        <v>219</v>
      </c>
      <c r="B203" s="4" t="s">
        <v>196</v>
      </c>
      <c r="C203" s="93">
        <v>1.0</v>
      </c>
      <c r="D203" s="93">
        <v>2.7962065993680006E8</v>
      </c>
      <c r="E203" s="372">
        <v>3626061.0</v>
      </c>
      <c r="F203" s="372">
        <v>5439072.0</v>
      </c>
      <c r="G203" s="360"/>
      <c r="H203" s="360"/>
      <c r="I203" s="6">
        <f t="shared" si="7"/>
        <v>2.8868579393680006E8</v>
      </c>
    </row>
    <row r="204" spans="8:8">
      <c r="A204" s="3" t="s">
        <v>220</v>
      </c>
      <c r="B204" s="4" t="s">
        <v>196</v>
      </c>
      <c r="C204" s="93">
        <v>1.0</v>
      </c>
      <c r="D204" s="93">
        <v>2.7962065993680006E8</v>
      </c>
      <c r="E204" s="372">
        <v>3626061.0</v>
      </c>
      <c r="F204" s="372">
        <v>5439072.0</v>
      </c>
      <c r="G204" s="360"/>
      <c r="H204" s="360"/>
      <c r="I204" s="6">
        <f t="shared" si="7"/>
        <v>2.8868579393680006E8</v>
      </c>
    </row>
    <row r="205" spans="8:8">
      <c r="A205" s="15" t="s">
        <v>221</v>
      </c>
      <c r="B205" s="4" t="s">
        <v>196</v>
      </c>
      <c r="C205" s="93">
        <v>1.0</v>
      </c>
      <c r="D205" s="93">
        <v>2.7962065993680006E8</v>
      </c>
      <c r="E205" s="372">
        <v>3626061.0</v>
      </c>
      <c r="F205" s="372">
        <v>5439072.0</v>
      </c>
      <c r="G205" s="360"/>
      <c r="H205" s="360"/>
      <c r="I205" s="6">
        <f t="shared" si="7"/>
        <v>2.8868579393680006E8</v>
      </c>
    </row>
    <row r="206" spans="8:8">
      <c r="A206" s="3" t="s">
        <v>222</v>
      </c>
      <c r="B206" s="4" t="s">
        <v>196</v>
      </c>
      <c r="C206" s="93">
        <v>1.0</v>
      </c>
      <c r="D206" s="93">
        <v>5.592413198736001E8</v>
      </c>
      <c r="E206" s="372">
        <v>3626061.0</v>
      </c>
      <c r="F206" s="372">
        <v>5439072.0</v>
      </c>
      <c r="G206" s="360"/>
      <c r="H206" s="360"/>
      <c r="I206" s="6">
        <f t="shared" si="7"/>
        <v>5.683064538736001E8</v>
      </c>
    </row>
    <row r="207" spans="8:8">
      <c r="A207" s="3" t="s">
        <v>223</v>
      </c>
      <c r="B207" s="4" t="s">
        <v>196</v>
      </c>
      <c r="C207" s="93">
        <v>1.0</v>
      </c>
      <c r="D207" s="93">
        <v>2.7962065993680006E8</v>
      </c>
      <c r="E207" s="372">
        <v>3626061.0</v>
      </c>
      <c r="F207" s="372">
        <v>5439072.0</v>
      </c>
      <c r="G207" s="360"/>
      <c r="H207" s="360"/>
      <c r="I207" s="6">
        <f t="shared" si="7"/>
        <v>2.8868579393680006E8</v>
      </c>
    </row>
    <row r="208" spans="8:8">
      <c r="A208" s="3" t="s">
        <v>224</v>
      </c>
      <c r="B208" s="4" t="s">
        <v>196</v>
      </c>
      <c r="C208" s="93">
        <v>1.0</v>
      </c>
      <c r="D208" s="93">
        <v>2.7962065993680006E8</v>
      </c>
      <c r="E208" s="372">
        <v>3626061.0</v>
      </c>
      <c r="F208" s="372">
        <v>5439072.0</v>
      </c>
      <c r="G208" s="360"/>
      <c r="H208" s="360"/>
      <c r="I208" s="6">
        <f t="shared" si="7"/>
        <v>2.8868579393680006E8</v>
      </c>
    </row>
    <row r="209" spans="8:8">
      <c r="A209" s="3" t="s">
        <v>225</v>
      </c>
      <c r="B209" s="4" t="s">
        <v>196</v>
      </c>
      <c r="C209" s="93">
        <v>1.0</v>
      </c>
      <c r="D209" s="93">
        <v>2.7962065993680006E8</v>
      </c>
      <c r="E209" s="372">
        <v>3626061.0</v>
      </c>
      <c r="F209" s="372">
        <v>5439072.0</v>
      </c>
      <c r="G209" s="360"/>
      <c r="H209" s="360"/>
      <c r="I209" s="6">
        <f t="shared" si="7"/>
        <v>2.8868579393680006E8</v>
      </c>
    </row>
    <row r="210" spans="8:8">
      <c r="A210" s="3" t="s">
        <v>226</v>
      </c>
      <c r="B210" s="4" t="s">
        <v>196</v>
      </c>
      <c r="C210" s="93">
        <v>1.0</v>
      </c>
      <c r="D210" s="93">
        <v>3.674941838568E8</v>
      </c>
      <c r="E210" s="372">
        <v>3626061.0</v>
      </c>
      <c r="F210" s="372">
        <v>5439072.0</v>
      </c>
      <c r="G210" s="360"/>
      <c r="H210" s="360"/>
      <c r="I210" s="6">
        <f t="shared" si="7"/>
        <v>3.765593178568E8</v>
      </c>
    </row>
    <row r="211" spans="8:8">
      <c r="A211" s="3" t="s">
        <v>228</v>
      </c>
      <c r="B211" s="4" t="s">
        <v>196</v>
      </c>
      <c r="C211" s="93">
        <v>1.0</v>
      </c>
      <c r="D211" s="93">
        <v>2.7962065993680006E8</v>
      </c>
      <c r="E211" s="372">
        <v>3626061.0</v>
      </c>
      <c r="F211" s="372">
        <v>5439072.0</v>
      </c>
      <c r="G211" s="360"/>
      <c r="H211" s="360"/>
      <c r="I211" s="6">
        <f t="shared" si="7"/>
        <v>2.8868579393680006E8</v>
      </c>
    </row>
    <row r="212" spans="8:8">
      <c r="A212" s="3" t="s">
        <v>229</v>
      </c>
      <c r="B212" s="4" t="s">
        <v>196</v>
      </c>
      <c r="C212" s="93">
        <v>1.0</v>
      </c>
      <c r="D212" s="93">
        <v>2.7962065993680006E8</v>
      </c>
      <c r="E212" s="372">
        <v>3626061.0</v>
      </c>
      <c r="F212" s="372">
        <v>5439072.0</v>
      </c>
      <c r="G212" s="360"/>
      <c r="H212" s="360"/>
      <c r="I212" s="6">
        <f t="shared" si="7"/>
        <v>2.8868579393680006E8</v>
      </c>
    </row>
    <row r="213" spans="8:8">
      <c r="A213" s="3" t="s">
        <v>230</v>
      </c>
      <c r="B213" s="4" t="s">
        <v>196</v>
      </c>
      <c r="C213" s="93">
        <v>1.0</v>
      </c>
      <c r="D213" s="93">
        <v>2.7962065993680006E8</v>
      </c>
      <c r="E213" s="372">
        <v>3626061.0</v>
      </c>
      <c r="F213" s="372">
        <v>5439072.0</v>
      </c>
      <c r="G213" s="360"/>
      <c r="H213" s="360"/>
      <c r="I213" s="6">
        <f t="shared" si="7"/>
        <v>2.8868579393680006E8</v>
      </c>
    </row>
    <row r="214" spans="8:8">
      <c r="A214" s="3" t="s">
        <v>231</v>
      </c>
      <c r="B214" s="4" t="s">
        <v>196</v>
      </c>
      <c r="C214" s="93">
        <v>1.0</v>
      </c>
      <c r="D214" s="93">
        <v>2.7962065993680006E8</v>
      </c>
      <c r="E214" s="372">
        <v>3626061.0</v>
      </c>
      <c r="F214" s="372">
        <v>5439072.0</v>
      </c>
      <c r="G214" s="360"/>
      <c r="H214" s="360"/>
      <c r="I214" s="6">
        <f t="shared" si="7"/>
        <v>2.8868579393680006E8</v>
      </c>
    </row>
    <row r="215" spans="8:8">
      <c r="A215" s="3" t="s">
        <v>232</v>
      </c>
      <c r="B215" s="4" t="s">
        <v>196</v>
      </c>
      <c r="C215" s="93">
        <v>1.0</v>
      </c>
      <c r="D215" s="93">
        <v>2.7962065993680006E8</v>
      </c>
      <c r="E215" s="372">
        <v>3626061.0</v>
      </c>
      <c r="F215" s="372">
        <v>5439072.0</v>
      </c>
      <c r="G215" s="360"/>
      <c r="H215" s="360"/>
      <c r="I215" s="6">
        <f t="shared" si="7"/>
        <v>2.8868579393680006E8</v>
      </c>
    </row>
    <row r="216" spans="8:8">
      <c r="A216" s="3" t="s">
        <v>233</v>
      </c>
      <c r="B216" s="4" t="s">
        <v>196</v>
      </c>
      <c r="C216" s="93">
        <v>1.0</v>
      </c>
      <c r="D216" s="93">
        <v>2.7962065993680006E8</v>
      </c>
      <c r="E216" s="372">
        <v>3626061.0</v>
      </c>
      <c r="F216" s="372">
        <v>5439072.0</v>
      </c>
      <c r="G216" s="360"/>
      <c r="H216" s="360"/>
      <c r="I216" s="6">
        <f t="shared" si="7"/>
        <v>2.8868579393680006E8</v>
      </c>
    </row>
    <row r="217" spans="8:8">
      <c r="A217" s="3" t="s">
        <v>234</v>
      </c>
      <c r="B217" s="4" t="s">
        <v>196</v>
      </c>
      <c r="C217" s="93">
        <v>1.0</v>
      </c>
      <c r="D217" s="93">
        <v>2.7962065993680006E8</v>
      </c>
      <c r="E217" s="372">
        <v>3626061.0</v>
      </c>
      <c r="F217" s="372">
        <v>5439072.0</v>
      </c>
      <c r="G217" s="360"/>
      <c r="H217" s="360"/>
      <c r="I217" s="6">
        <f t="shared" si="7"/>
        <v>2.8868579393680006E8</v>
      </c>
    </row>
    <row r="218" spans="8:8">
      <c r="A218" s="3" t="s">
        <v>235</v>
      </c>
      <c r="B218" s="4" t="s">
        <v>196</v>
      </c>
      <c r="C218" s="93">
        <v>1.0</v>
      </c>
      <c r="D218" s="93">
        <v>2.7962065993680006E8</v>
      </c>
      <c r="E218" s="372">
        <v>3626061.0</v>
      </c>
      <c r="F218" s="372">
        <v>5439072.0</v>
      </c>
      <c r="G218" s="360"/>
      <c r="H218" s="360"/>
      <c r="I218" s="6">
        <f t="shared" si="7"/>
        <v>2.8868579393680006E8</v>
      </c>
    </row>
    <row r="219" spans="8:8">
      <c r="A219" s="3" t="s">
        <v>236</v>
      </c>
      <c r="B219" s="4" t="s">
        <v>196</v>
      </c>
      <c r="C219" s="93">
        <v>1.0</v>
      </c>
      <c r="D219" s="93">
        <v>2.7962065993680006E8</v>
      </c>
      <c r="E219" s="372">
        <v>3626061.0</v>
      </c>
      <c r="F219" s="372">
        <v>5439072.0</v>
      </c>
      <c r="G219" s="360"/>
      <c r="H219" s="360"/>
      <c r="I219" s="6">
        <f t="shared" si="7"/>
        <v>2.8868579393680006E8</v>
      </c>
    </row>
    <row r="220" spans="8:8">
      <c r="A220" s="3" t="s">
        <v>237</v>
      </c>
      <c r="B220" s="4" t="s">
        <v>196</v>
      </c>
      <c r="C220" s="93">
        <v>1.0</v>
      </c>
      <c r="D220" s="93">
        <v>2.7962065993680006E8</v>
      </c>
      <c r="E220" s="372">
        <v>3626061.0</v>
      </c>
      <c r="F220" s="372">
        <v>5439072.0</v>
      </c>
      <c r="G220" s="360"/>
      <c r="H220" s="360"/>
      <c r="I220" s="6">
        <f t="shared" si="7"/>
        <v>2.8868579393680006E8</v>
      </c>
    </row>
    <row r="221" spans="8:8">
      <c r="A221" s="3" t="s">
        <v>238</v>
      </c>
      <c r="B221" s="4" t="s">
        <v>196</v>
      </c>
      <c r="C221" s="93">
        <v>1.0</v>
      </c>
      <c r="D221" s="93">
        <v>2.7962065993680006E8</v>
      </c>
      <c r="E221" s="372">
        <v>3626061.0</v>
      </c>
      <c r="F221" s="372">
        <v>5439072.0</v>
      </c>
      <c r="G221" s="360"/>
      <c r="H221" s="360"/>
      <c r="I221" s="6">
        <f t="shared" si="7"/>
        <v>2.8868579393680006E8</v>
      </c>
    </row>
    <row r="222" spans="8:8">
      <c r="A222" s="3" t="s">
        <v>239</v>
      </c>
      <c r="B222" s="4" t="s">
        <v>196</v>
      </c>
      <c r="C222" s="93">
        <v>1.0</v>
      </c>
      <c r="D222" s="93">
        <v>2.7962065993680006E8</v>
      </c>
      <c r="E222" s="372">
        <v>3626061.0</v>
      </c>
      <c r="F222" s="372">
        <v>5439072.0</v>
      </c>
      <c r="G222" s="360"/>
      <c r="H222" s="360"/>
      <c r="I222" s="6">
        <f t="shared" si="7"/>
        <v>2.8868579393680006E8</v>
      </c>
    </row>
    <row r="223" spans="8:8">
      <c r="A223" s="3" t="s">
        <v>240</v>
      </c>
      <c r="B223" s="4" t="s">
        <v>196</v>
      </c>
      <c r="C223" s="93">
        <v>1.0</v>
      </c>
      <c r="D223" s="93">
        <v>2.7962065993680006E8</v>
      </c>
      <c r="E223" s="372">
        <v>3626061.0</v>
      </c>
      <c r="F223" s="372">
        <v>5439072.0</v>
      </c>
      <c r="G223" s="360"/>
      <c r="H223" s="360"/>
      <c r="I223" s="6">
        <f t="shared" si="7"/>
        <v>2.8868579393680006E8</v>
      </c>
    </row>
    <row r="224" spans="8:8">
      <c r="A224" s="3" t="s">
        <v>241</v>
      </c>
      <c r="B224" s="16" t="s">
        <v>196</v>
      </c>
      <c r="C224" s="93">
        <v>1.0</v>
      </c>
      <c r="D224" s="93">
        <v>2.7962065993680006E8</v>
      </c>
      <c r="E224" s="372">
        <v>3626061.0</v>
      </c>
      <c r="F224" s="372">
        <v>5439072.0</v>
      </c>
      <c r="G224" s="360"/>
      <c r="H224" s="360"/>
      <c r="I224" s="6">
        <f t="shared" si="7"/>
        <v>2.8868579393680006E8</v>
      </c>
    </row>
    <row r="225" spans="8:8">
      <c r="A225" s="3" t="s">
        <v>242</v>
      </c>
      <c r="B225" s="4" t="s">
        <v>196</v>
      </c>
      <c r="C225" s="93">
        <v>1.0</v>
      </c>
      <c r="D225" s="93">
        <v>2.7962065993680006E8</v>
      </c>
      <c r="E225" s="372">
        <v>3626061.0</v>
      </c>
      <c r="F225" s="372">
        <v>5439072.0</v>
      </c>
      <c r="G225" s="360"/>
      <c r="H225" s="360"/>
      <c r="I225" s="6">
        <f t="shared" si="7"/>
        <v>2.8868579393680006E8</v>
      </c>
    </row>
    <row r="226" spans="8:8">
      <c r="A226" s="3" t="s">
        <v>243</v>
      </c>
      <c r="B226" s="4" t="s">
        <v>196</v>
      </c>
      <c r="C226" s="93">
        <v>1.0</v>
      </c>
      <c r="D226" s="93">
        <v>2.7962065993680006E8</v>
      </c>
      <c r="E226" s="372">
        <v>3626061.0</v>
      </c>
      <c r="F226" s="372">
        <v>5439072.0</v>
      </c>
      <c r="G226" s="360"/>
      <c r="H226" s="360"/>
      <c r="I226" s="6">
        <f t="shared" si="7"/>
        <v>2.8868579393680006E8</v>
      </c>
    </row>
    <row r="227" spans="8:8" s="49" ht="15.0" customFormat="1">
      <c r="A227" s="3" t="s">
        <v>244</v>
      </c>
      <c r="B227" s="4" t="s">
        <v>196</v>
      </c>
      <c r="C227" s="93">
        <v>1.0</v>
      </c>
      <c r="D227" s="93">
        <v>2.7962065993680006E8</v>
      </c>
      <c r="E227" s="372">
        <v>3626061.0</v>
      </c>
      <c r="F227" s="372">
        <v>5439072.0</v>
      </c>
      <c r="G227" s="360"/>
      <c r="H227" s="360"/>
      <c r="I227" s="17">
        <f t="shared" si="7"/>
        <v>2.8868579393680006E8</v>
      </c>
    </row>
    <row r="228" spans="8:8">
      <c r="A228" s="3" t="s">
        <v>246</v>
      </c>
      <c r="B228" s="4" t="s">
        <v>196</v>
      </c>
      <c r="C228" s="93">
        <v>1.0</v>
      </c>
      <c r="D228" s="93">
        <v>2.7962065993680006E8</v>
      </c>
      <c r="E228" s="372">
        <v>3626061.0</v>
      </c>
      <c r="F228" s="372">
        <v>5439072.0</v>
      </c>
      <c r="G228" s="360"/>
      <c r="H228" s="360"/>
      <c r="I228" s="6">
        <f t="shared" si="7"/>
        <v>2.8868579393680006E8</v>
      </c>
    </row>
    <row r="229" spans="8:8">
      <c r="A229" s="3" t="s">
        <v>247</v>
      </c>
      <c r="B229" s="4" t="s">
        <v>196</v>
      </c>
      <c r="C229" s="93">
        <v>1.0</v>
      </c>
      <c r="D229" s="93">
        <v>2.7962065993680006E8</v>
      </c>
      <c r="E229" s="372">
        <v>3626061.0</v>
      </c>
      <c r="F229" s="372">
        <v>5439072.0</v>
      </c>
      <c r="G229" s="360"/>
      <c r="H229" s="360"/>
      <c r="I229" s="6">
        <f t="shared" si="7"/>
        <v>2.8868579393680006E8</v>
      </c>
    </row>
    <row r="230" spans="8:8">
      <c r="A230" s="3" t="s">
        <v>248</v>
      </c>
      <c r="B230" s="4" t="s">
        <v>196</v>
      </c>
      <c r="C230" s="93">
        <v>1.0</v>
      </c>
      <c r="D230" s="93">
        <v>2.7962065993680006E8</v>
      </c>
      <c r="E230" s="372">
        <v>3626061.0</v>
      </c>
      <c r="F230" s="372">
        <v>5439072.0</v>
      </c>
      <c r="G230" s="360"/>
      <c r="H230" s="360"/>
      <c r="I230" s="6">
        <f t="shared" si="7"/>
        <v>2.8868579393680006E8</v>
      </c>
    </row>
    <row r="231" spans="8:8">
      <c r="A231" s="3" t="s">
        <v>249</v>
      </c>
      <c r="B231" s="4" t="s">
        <v>196</v>
      </c>
      <c r="C231" s="93">
        <v>1.0</v>
      </c>
      <c r="D231" s="93">
        <v>2.7962065993680006E8</v>
      </c>
      <c r="E231" s="372">
        <v>3626061.0</v>
      </c>
      <c r="F231" s="372">
        <v>5439072.0</v>
      </c>
      <c r="G231" s="360"/>
      <c r="H231" s="360"/>
      <c r="I231" s="6">
        <f t="shared" si="7"/>
        <v>2.8868579393680006E8</v>
      </c>
    </row>
    <row r="232" spans="8:8">
      <c r="A232" s="3" t="s">
        <v>250</v>
      </c>
      <c r="B232" s="4" t="s">
        <v>196</v>
      </c>
      <c r="C232" s="93">
        <v>1.0</v>
      </c>
      <c r="D232" s="93">
        <v>2.7962065993680006E8</v>
      </c>
      <c r="E232" s="372">
        <v>3626061.0</v>
      </c>
      <c r="F232" s="372">
        <v>5439072.0</v>
      </c>
      <c r="G232" s="360"/>
      <c r="H232" s="360"/>
      <c r="I232" s="6">
        <f t="shared" si="7"/>
        <v>2.8868579393680006E8</v>
      </c>
    </row>
    <row r="233" spans="8:8">
      <c r="A233" s="3" t="s">
        <v>251</v>
      </c>
      <c r="B233" s="4" t="s">
        <v>196</v>
      </c>
      <c r="C233" s="93">
        <v>1.0</v>
      </c>
      <c r="D233" s="93">
        <v>2.7962065993680006E8</v>
      </c>
      <c r="E233" s="372">
        <v>3626061.0</v>
      </c>
      <c r="F233" s="372">
        <v>5439072.0</v>
      </c>
      <c r="G233" s="360"/>
      <c r="H233" s="360"/>
      <c r="I233" s="6">
        <f t="shared" si="7"/>
        <v>2.8868579393680006E8</v>
      </c>
    </row>
    <row r="234" spans="8:8">
      <c r="A234" s="3" t="s">
        <v>252</v>
      </c>
      <c r="B234" s="4" t="s">
        <v>196</v>
      </c>
      <c r="C234" s="93">
        <v>1.0</v>
      </c>
      <c r="D234" s="93">
        <v>2.7962065993680006E8</v>
      </c>
      <c r="E234" s="372">
        <v>3626061.0</v>
      </c>
      <c r="F234" s="372">
        <v>5439072.0</v>
      </c>
      <c r="G234" s="360"/>
      <c r="H234" s="360"/>
      <c r="I234" s="6">
        <f t="shared" si="7"/>
        <v>2.8868579393680006E8</v>
      </c>
    </row>
    <row r="235" spans="8:8">
      <c r="A235" s="3" t="s">
        <v>253</v>
      </c>
      <c r="B235" s="4" t="s">
        <v>196</v>
      </c>
      <c r="C235" s="93">
        <v>1.0</v>
      </c>
      <c r="D235" s="93">
        <v>2.7962065993680006E8</v>
      </c>
      <c r="E235" s="372">
        <v>3626061.0</v>
      </c>
      <c r="F235" s="372">
        <v>5439072.0</v>
      </c>
      <c r="G235" s="360"/>
      <c r="H235" s="360"/>
      <c r="I235" s="6">
        <f t="shared" si="7"/>
        <v>2.8868579393680006E8</v>
      </c>
    </row>
    <row r="236" spans="8:8">
      <c r="A236" s="3" t="s">
        <v>254</v>
      </c>
      <c r="B236" s="4" t="s">
        <v>196</v>
      </c>
      <c r="C236" s="93">
        <v>1.0</v>
      </c>
      <c r="D236" s="93">
        <v>2.7962065993680006E8</v>
      </c>
      <c r="E236" s="372">
        <v>3626061.0</v>
      </c>
      <c r="F236" s="372">
        <v>5439072.0</v>
      </c>
      <c r="G236" s="360"/>
      <c r="H236" s="360"/>
      <c r="I236" s="6">
        <f t="shared" si="7"/>
        <v>2.8868579393680006E8</v>
      </c>
    </row>
    <row r="237" spans="8:8">
      <c r="A237" s="3" t="s">
        <v>255</v>
      </c>
      <c r="B237" s="4" t="s">
        <v>196</v>
      </c>
      <c r="C237" s="93">
        <v>1.0</v>
      </c>
      <c r="D237" s="93">
        <v>2.7962065993680006E8</v>
      </c>
      <c r="E237" s="372">
        <v>3626061.0</v>
      </c>
      <c r="F237" s="372">
        <v>5439072.0</v>
      </c>
      <c r="G237" s="360"/>
      <c r="H237" s="360"/>
      <c r="I237" s="6">
        <f t="shared" si="7"/>
        <v>2.8868579393680006E8</v>
      </c>
    </row>
    <row r="238" spans="8:8">
      <c r="A238" s="3" t="s">
        <v>256</v>
      </c>
      <c r="B238" s="4" t="s">
        <v>196</v>
      </c>
      <c r="C238" s="93">
        <v>1.0</v>
      </c>
      <c r="D238" s="93">
        <v>2.7962065993680006E8</v>
      </c>
      <c r="E238" s="372">
        <v>3626061.0</v>
      </c>
      <c r="F238" s="372">
        <v>5439072.0</v>
      </c>
      <c r="G238" s="360"/>
      <c r="H238" s="360"/>
      <c r="I238" s="6">
        <f t="shared" si="7"/>
        <v>2.8868579393680006E8</v>
      </c>
    </row>
    <row r="239" spans="8:8">
      <c r="A239" s="3" t="s">
        <v>257</v>
      </c>
      <c r="B239" s="4" t="s">
        <v>196</v>
      </c>
      <c r="C239" s="93">
        <v>1.0</v>
      </c>
      <c r="D239" s="93">
        <v>2.7962065993680006E8</v>
      </c>
      <c r="E239" s="372">
        <v>3626061.0</v>
      </c>
      <c r="F239" s="372">
        <v>5439072.0</v>
      </c>
      <c r="G239" s="360"/>
      <c r="H239" s="360"/>
      <c r="I239" s="6">
        <f t="shared" si="7"/>
        <v>2.8868579393680006E8</v>
      </c>
    </row>
    <row r="240" spans="8:8">
      <c r="A240" s="3" t="s">
        <v>258</v>
      </c>
      <c r="B240" s="4" t="s">
        <v>196</v>
      </c>
      <c r="C240" s="93">
        <v>1.0</v>
      </c>
      <c r="D240" s="93">
        <v>2.7962065993680006E8</v>
      </c>
      <c r="E240" s="372">
        <v>3626061.0</v>
      </c>
      <c r="F240" s="372">
        <v>5439072.0</v>
      </c>
      <c r="G240" s="360"/>
      <c r="H240" s="360"/>
      <c r="I240" s="6">
        <f t="shared" si="7"/>
        <v>2.8868579393680006E8</v>
      </c>
    </row>
    <row r="241" spans="8:8">
      <c r="A241" s="3" t="s">
        <v>259</v>
      </c>
      <c r="B241" s="4" t="s">
        <v>196</v>
      </c>
      <c r="C241" s="93">
        <v>1.0</v>
      </c>
      <c r="D241" s="93">
        <v>2.7962065993680006E8</v>
      </c>
      <c r="E241" s="372">
        <v>3626061.0</v>
      </c>
      <c r="F241" s="372">
        <v>5439072.0</v>
      </c>
      <c r="G241" s="360"/>
      <c r="H241" s="360"/>
      <c r="I241" s="6">
        <f>SUM(C241:H241)</f>
        <v>2.8868579393680006E8</v>
      </c>
    </row>
    <row r="242" spans="8:8">
      <c r="A242" s="3" t="s">
        <v>260</v>
      </c>
      <c r="B242" s="4" t="s">
        <v>196</v>
      </c>
      <c r="C242" s="93">
        <v>1.031685992064E8</v>
      </c>
      <c r="D242" s="93">
        <v>3.358495550591999E8</v>
      </c>
      <c r="E242" s="372">
        <v>3626061.0</v>
      </c>
      <c r="F242" s="372">
        <v>5439072.0</v>
      </c>
      <c r="G242" s="360"/>
      <c r="H242" s="360"/>
      <c r="I242" s="6">
        <f>SUM(C242:H242)</f>
        <v>4.4808328726559997E8</v>
      </c>
    </row>
    <row r="243" spans="8:8">
      <c r="A243" s="3" t="s">
        <v>262</v>
      </c>
      <c r="B243" s="4" t="s">
        <v>196</v>
      </c>
      <c r="C243" s="93">
        <v>1.0</v>
      </c>
      <c r="D243" s="93">
        <v>3.355447907448001E8</v>
      </c>
      <c r="E243" s="372">
        <v>3626061.0</v>
      </c>
      <c r="F243" s="372">
        <v>5439072.0</v>
      </c>
      <c r="G243" s="360"/>
      <c r="H243" s="360"/>
      <c r="I243" s="6">
        <f t="shared" si="8" ref="I243:I255">SUM(C243:F243)</f>
        <v>3.446099247448001E8</v>
      </c>
    </row>
    <row r="244" spans="8:8">
      <c r="A244" s="3" t="s">
        <v>265</v>
      </c>
      <c r="B244" s="4" t="s">
        <v>196</v>
      </c>
      <c r="C244" s="93">
        <v>1.0</v>
      </c>
      <c r="D244" s="93">
        <v>2.7962065993680006E8</v>
      </c>
      <c r="E244" s="372">
        <v>3626061.0</v>
      </c>
      <c r="F244" s="372">
        <v>5439072.0</v>
      </c>
      <c r="G244" s="360"/>
      <c r="H244" s="360"/>
      <c r="I244" s="6">
        <f t="shared" si="8"/>
        <v>2.8868579393680006E8</v>
      </c>
    </row>
    <row r="245" spans="8:8">
      <c r="A245" s="3" t="s">
        <v>266</v>
      </c>
      <c r="B245" s="4" t="s">
        <v>196</v>
      </c>
      <c r="C245" s="93">
        <v>1.0</v>
      </c>
      <c r="D245" s="93">
        <v>2.7962065993680006E8</v>
      </c>
      <c r="E245" s="372">
        <v>3626061.0</v>
      </c>
      <c r="F245" s="372">
        <v>5439072.0</v>
      </c>
      <c r="G245" s="360"/>
      <c r="H245" s="360"/>
      <c r="I245" s="6">
        <f t="shared" si="8"/>
        <v>2.8868579393680006E8</v>
      </c>
    </row>
    <row r="246" spans="8:8">
      <c r="A246" s="3" t="s">
        <v>267</v>
      </c>
      <c r="B246" s="4" t="s">
        <v>196</v>
      </c>
      <c r="C246" s="93">
        <v>1.0</v>
      </c>
      <c r="D246" s="93">
        <v>2.7962065993680006E8</v>
      </c>
      <c r="E246" s="372">
        <v>3626061.0</v>
      </c>
      <c r="F246" s="372">
        <v>5439072.0</v>
      </c>
      <c r="G246" s="360"/>
      <c r="H246" s="360"/>
      <c r="I246" s="6">
        <f t="shared" si="8"/>
        <v>2.8868579393680006E8</v>
      </c>
    </row>
    <row r="247" spans="8:8">
      <c r="A247" s="3" t="s">
        <v>268</v>
      </c>
      <c r="B247" s="4" t="s">
        <v>196</v>
      </c>
      <c r="C247" s="93">
        <v>1.0</v>
      </c>
      <c r="D247" s="93">
        <v>2.7962065993680006E8</v>
      </c>
      <c r="E247" s="372">
        <v>3626061.0</v>
      </c>
      <c r="F247" s="372">
        <v>5439072.0</v>
      </c>
      <c r="G247" s="360"/>
      <c r="H247" s="360"/>
      <c r="I247" s="6">
        <f t="shared" si="8"/>
        <v>2.8868579393680006E8</v>
      </c>
    </row>
    <row r="248" spans="8:8">
      <c r="A248" s="3" t="s">
        <v>269</v>
      </c>
      <c r="B248" s="4" t="s">
        <v>196</v>
      </c>
      <c r="C248" s="93">
        <v>1.0</v>
      </c>
      <c r="D248" s="93">
        <v>2.7962065993680006E8</v>
      </c>
      <c r="E248" s="372">
        <v>3626061.0</v>
      </c>
      <c r="F248" s="372">
        <v>5439072.0</v>
      </c>
      <c r="G248" s="360"/>
      <c r="H248" s="360"/>
      <c r="I248" s="6">
        <f t="shared" si="8"/>
        <v>2.8868579393680006E8</v>
      </c>
    </row>
    <row r="249" spans="8:8">
      <c r="A249" s="3" t="s">
        <v>270</v>
      </c>
      <c r="B249" s="4" t="s">
        <v>196</v>
      </c>
      <c r="C249" s="93">
        <v>1.0</v>
      </c>
      <c r="D249" s="93">
        <v>2.7962065993680006E8</v>
      </c>
      <c r="E249" s="372">
        <v>3626061.0</v>
      </c>
      <c r="F249" s="372">
        <v>5439072.0</v>
      </c>
      <c r="G249" s="360"/>
      <c r="H249" s="360"/>
      <c r="I249" s="6">
        <f t="shared" si="8"/>
        <v>2.8868579393680006E8</v>
      </c>
    </row>
    <row r="250" spans="8:8">
      <c r="A250" s="3" t="s">
        <v>271</v>
      </c>
      <c r="B250" s="4" t="s">
        <v>196</v>
      </c>
      <c r="C250" s="93">
        <v>1.0</v>
      </c>
      <c r="D250" s="93">
        <v>2.7962065993680006E8</v>
      </c>
      <c r="E250" s="372">
        <v>3626061.0</v>
      </c>
      <c r="F250" s="372">
        <v>5439072.0</v>
      </c>
      <c r="G250" s="360"/>
      <c r="H250" s="360"/>
      <c r="I250" s="6">
        <f t="shared" si="8"/>
        <v>2.8868579393680006E8</v>
      </c>
    </row>
    <row r="251" spans="8:8">
      <c r="A251" s="3" t="s">
        <v>272</v>
      </c>
      <c r="B251" s="4" t="s">
        <v>196</v>
      </c>
      <c r="C251" s="93">
        <v>1.0</v>
      </c>
      <c r="D251" s="93">
        <v>2.7962065993680006E8</v>
      </c>
      <c r="E251" s="372">
        <v>3626061.0</v>
      </c>
      <c r="F251" s="372">
        <v>5439072.0</v>
      </c>
      <c r="G251" s="360"/>
      <c r="H251" s="360"/>
      <c r="I251" s="6">
        <f t="shared" si="8"/>
        <v>2.8868579393680006E8</v>
      </c>
    </row>
    <row r="252" spans="8:8">
      <c r="A252" s="3" t="s">
        <v>273</v>
      </c>
      <c r="B252" s="4" t="s">
        <v>196</v>
      </c>
      <c r="C252" s="93">
        <v>1.0</v>
      </c>
      <c r="D252" s="93">
        <v>2.7962065993680006E8</v>
      </c>
      <c r="E252" s="372">
        <v>3626061.0</v>
      </c>
      <c r="F252" s="372">
        <v>5439072.0</v>
      </c>
      <c r="G252" s="360"/>
      <c r="H252" s="360"/>
      <c r="I252" s="6">
        <f t="shared" si="8"/>
        <v>2.8868579393680006E8</v>
      </c>
    </row>
    <row r="253" spans="8:8">
      <c r="A253" s="3" t="s">
        <v>274</v>
      </c>
      <c r="B253" s="4" t="s">
        <v>196</v>
      </c>
      <c r="C253" s="93">
        <v>1.0</v>
      </c>
      <c r="D253" s="93">
        <v>2.7962065993680006E8</v>
      </c>
      <c r="E253" s="372">
        <v>3626061.0</v>
      </c>
      <c r="F253" s="372">
        <v>5439072.0</v>
      </c>
      <c r="G253" s="360"/>
      <c r="H253" s="360"/>
      <c r="I253" s="6">
        <f t="shared" si="8"/>
        <v>2.8868579393680006E8</v>
      </c>
    </row>
    <row r="254" spans="8:8">
      <c r="A254" s="3" t="s">
        <v>275</v>
      </c>
      <c r="B254" s="4" t="s">
        <v>196</v>
      </c>
      <c r="C254" s="93">
        <v>1.0</v>
      </c>
      <c r="D254" s="93">
        <v>2.7962065993680006E8</v>
      </c>
      <c r="E254" s="372">
        <v>3626061.0</v>
      </c>
      <c r="F254" s="372">
        <v>5439072.0</v>
      </c>
      <c r="G254" s="360"/>
      <c r="H254" s="360"/>
      <c r="I254" s="6">
        <f t="shared" si="8"/>
        <v>2.8868579393680006E8</v>
      </c>
    </row>
    <row r="255" spans="8:8">
      <c r="A255" s="3" t="s">
        <v>276</v>
      </c>
      <c r="B255" s="4" t="s">
        <v>196</v>
      </c>
      <c r="C255" s="93">
        <v>1.0</v>
      </c>
      <c r="D255" s="93">
        <v>2.7962065993680006E8</v>
      </c>
      <c r="E255" s="372">
        <v>3626061.0</v>
      </c>
      <c r="F255" s="372">
        <v>5439072.0</v>
      </c>
      <c r="G255" s="360"/>
      <c r="H255" s="360"/>
      <c r="I255" s="6">
        <f t="shared" si="8"/>
        <v>2.8868579393680006E8</v>
      </c>
    </row>
    <row r="256" spans="8:8">
      <c r="A256" s="382" t="s">
        <v>407</v>
      </c>
      <c r="B256" s="4" t="s">
        <v>196</v>
      </c>
      <c r="C256" s="93">
        <v>1.0</v>
      </c>
      <c r="D256" s="93">
        <v>5.592413198736001E8</v>
      </c>
      <c r="E256" s="372">
        <v>3626061.0</v>
      </c>
      <c r="F256" s="372">
        <v>5439072.0</v>
      </c>
      <c r="G256" s="360"/>
      <c r="H256" s="360"/>
      <c r="I256" s="6">
        <f t="shared" si="9" ref="I256:I270">SUM(C256:H256)</f>
        <v>5.683064538736001E8</v>
      </c>
    </row>
    <row r="257" spans="8:8">
      <c r="A257" s="382" t="s">
        <v>408</v>
      </c>
      <c r="B257" s="4" t="s">
        <v>196</v>
      </c>
      <c r="C257" s="93">
        <v>1.0</v>
      </c>
      <c r="D257" s="93">
        <v>5.592413198736001E8</v>
      </c>
      <c r="E257" s="372">
        <v>3626061.0</v>
      </c>
      <c r="F257" s="372">
        <v>5439072.0</v>
      </c>
      <c r="G257" s="360"/>
      <c r="H257" s="360"/>
      <c r="I257" s="6">
        <f t="shared" si="9"/>
        <v>5.683064538736001E8</v>
      </c>
    </row>
    <row r="258" spans="8:8">
      <c r="A258" s="15" t="s">
        <v>277</v>
      </c>
      <c r="B258" s="4" t="s">
        <v>196</v>
      </c>
      <c r="C258" s="93">
        <v>1.0</v>
      </c>
      <c r="D258" s="93">
        <v>2.7962065993680006E8</v>
      </c>
      <c r="E258" s="372">
        <v>3626061.0</v>
      </c>
      <c r="F258" s="372">
        <v>5439072.0</v>
      </c>
      <c r="G258" s="360"/>
      <c r="H258" s="360"/>
      <c r="I258" s="6">
        <f t="shared" si="9"/>
        <v>2.8868579393680006E8</v>
      </c>
    </row>
    <row r="259" spans="8:8" ht="15.75">
      <c r="A259" s="388" t="s">
        <v>280</v>
      </c>
      <c r="B259" s="389" t="s">
        <v>196</v>
      </c>
      <c r="C259" s="391">
        <v>1.031685939648E8</v>
      </c>
      <c r="D259" s="391">
        <v>3.358495550591999E8</v>
      </c>
      <c r="E259" s="392">
        <v>3626061.0</v>
      </c>
      <c r="F259" s="392">
        <v>5439072.0</v>
      </c>
      <c r="G259" s="397"/>
      <c r="H259" s="397"/>
      <c r="I259" s="394">
        <f t="shared" si="9"/>
        <v>4.480832820239999E8</v>
      </c>
    </row>
    <row r="260" spans="8:8" ht="15.75">
      <c r="A260" s="336" t="s">
        <v>281</v>
      </c>
      <c r="B260" s="399" t="s">
        <v>282</v>
      </c>
      <c r="C260" s="118">
        <v>3.0E8</v>
      </c>
      <c r="D260" s="369"/>
      <c r="E260" s="370"/>
      <c r="F260" s="370"/>
      <c r="G260" s="395"/>
      <c r="H260" s="395"/>
      <c r="I260" s="225">
        <f t="shared" si="9"/>
        <v>3.0E8</v>
      </c>
    </row>
    <row r="261" spans="8:8" ht="15.75">
      <c r="A261" s="400" t="s">
        <v>283</v>
      </c>
      <c r="B261" s="401" t="s">
        <v>282</v>
      </c>
      <c r="C261" s="390">
        <v>3.0E8</v>
      </c>
      <c r="D261" s="402"/>
      <c r="E261" s="392"/>
      <c r="F261" s="392"/>
      <c r="G261" s="397"/>
      <c r="H261" s="397"/>
      <c r="I261" s="403">
        <f t="shared" si="9"/>
        <v>3.0E8</v>
      </c>
    </row>
    <row r="262" spans="8:8" ht="15.75">
      <c r="A262" s="336" t="s">
        <v>284</v>
      </c>
      <c r="B262" s="399" t="s">
        <v>285</v>
      </c>
      <c r="C262" s="370">
        <v>1036425.0</v>
      </c>
      <c r="D262" s="369"/>
      <c r="E262" s="370"/>
      <c r="F262" s="370"/>
      <c r="G262" s="395"/>
      <c r="H262" s="395"/>
      <c r="I262" s="225">
        <f t="shared" si="9"/>
        <v>1036425.0</v>
      </c>
    </row>
    <row r="263" spans="8:8">
      <c r="A263" s="207" t="s">
        <v>286</v>
      </c>
      <c r="B263" s="208" t="s">
        <v>285</v>
      </c>
      <c r="C263" s="372">
        <v>1565005.5</v>
      </c>
      <c r="D263" s="371"/>
      <c r="E263" s="372"/>
      <c r="F263" s="372"/>
      <c r="G263" s="360"/>
      <c r="H263" s="360"/>
      <c r="I263" s="210">
        <f t="shared" si="9"/>
        <v>1565005.5</v>
      </c>
    </row>
    <row r="264" spans="8:8">
      <c r="A264" s="15" t="s">
        <v>4</v>
      </c>
      <c r="B264" s="16" t="s">
        <v>285</v>
      </c>
      <c r="C264" s="62">
        <v>3626061.0</v>
      </c>
      <c r="D264" s="371"/>
      <c r="E264" s="372"/>
      <c r="F264" s="372"/>
      <c r="G264" s="360"/>
      <c r="H264" s="360"/>
      <c r="I264" s="210">
        <f t="shared" si="9"/>
        <v>3626061.0</v>
      </c>
    </row>
    <row r="265" spans="8:8">
      <c r="A265" s="15" t="s">
        <v>406</v>
      </c>
      <c r="B265" s="16" t="s">
        <v>285</v>
      </c>
      <c r="C265" s="372">
        <v>1.42009695E7</v>
      </c>
      <c r="D265" s="371"/>
      <c r="E265" s="372"/>
      <c r="F265" s="372"/>
      <c r="G265" s="360"/>
      <c r="H265" s="360"/>
      <c r="I265" s="210">
        <f t="shared" si="9"/>
        <v>1.42009695E7</v>
      </c>
    </row>
    <row r="266" spans="8:8">
      <c r="A266" s="207" t="s">
        <v>287</v>
      </c>
      <c r="B266" s="16" t="s">
        <v>285</v>
      </c>
      <c r="C266" s="372">
        <v>1.08781365E7</v>
      </c>
      <c r="D266" s="371"/>
      <c r="E266" s="372"/>
      <c r="F266" s="372"/>
      <c r="G266" s="360"/>
      <c r="H266" s="360"/>
      <c r="I266" s="210">
        <f t="shared" si="9"/>
        <v>1.08781365E7</v>
      </c>
    </row>
    <row r="267" spans="8:8">
      <c r="A267" s="15" t="s">
        <v>319</v>
      </c>
      <c r="B267" s="16" t="s">
        <v>285</v>
      </c>
      <c r="C267" s="62">
        <v>6577293.0</v>
      </c>
      <c r="D267" s="372"/>
      <c r="E267" s="372"/>
      <c r="F267" s="372"/>
      <c r="G267" s="360"/>
      <c r="H267" s="360"/>
      <c r="I267" s="210">
        <f t="shared" si="9"/>
        <v>6577293.0</v>
      </c>
    </row>
    <row r="268" spans="8:8">
      <c r="A268" s="15" t="s">
        <v>5</v>
      </c>
      <c r="B268" s="16" t="s">
        <v>285</v>
      </c>
      <c r="C268" s="62">
        <v>5439072.0</v>
      </c>
      <c r="D268" s="3"/>
      <c r="E268" s="372"/>
      <c r="F268" s="372"/>
      <c r="G268" s="360"/>
      <c r="H268" s="360"/>
      <c r="I268" s="210">
        <f t="shared" si="9"/>
        <v>5439072.0</v>
      </c>
    </row>
    <row r="269" spans="8:8" ht="15.75">
      <c r="A269" s="404" t="s">
        <v>288</v>
      </c>
      <c r="B269" s="396" t="s">
        <v>285</v>
      </c>
      <c r="C269" s="391">
        <v>1.8158883E7</v>
      </c>
      <c r="D269" s="388"/>
      <c r="E269" s="392"/>
      <c r="F269" s="392"/>
      <c r="G269" s="397"/>
      <c r="H269" s="397"/>
      <c r="I269" s="403">
        <f t="shared" si="9"/>
        <v>1.8158883E7</v>
      </c>
    </row>
    <row r="270" spans="8:8" ht="15.75">
      <c r="A270" s="336" t="s">
        <v>291</v>
      </c>
      <c r="B270" s="399" t="s">
        <v>290</v>
      </c>
      <c r="C270" s="57">
        <v>8.838951063E7</v>
      </c>
      <c r="D270" s="118">
        <v>8.839851063E7</v>
      </c>
      <c r="E270" s="370">
        <v>3626061.0</v>
      </c>
      <c r="F270" s="370">
        <v>5439072.0</v>
      </c>
      <c r="G270" s="395"/>
      <c r="H270" s="395"/>
      <c r="I270" s="225">
        <f t="shared" si="9"/>
        <v>1.8585315426E8</v>
      </c>
    </row>
    <row r="271" spans="8:8">
      <c r="A271" s="39"/>
      <c r="C271" s="161"/>
    </row>
    <row r="272" spans="8:8">
      <c r="A272" s="39"/>
      <c r="C272" s="161"/>
    </row>
    <row r="273" spans="8:8">
      <c r="A273" s="39"/>
    </row>
    <row r="274" spans="8:8">
      <c r="A274" s="39"/>
    </row>
    <row r="276" spans="8:8">
      <c r="A276" s="38" t="s">
        <v>351</v>
      </c>
    </row>
    <row r="285" spans="8:8">
      <c r="H285" s="351"/>
    </row>
    <row r="286" spans="8:8" s="49" ht="15.0" customFormat="1">
      <c r="A286" s="38"/>
      <c r="B286" s="39"/>
      <c r="C286" s="40"/>
      <c r="D286" s="163"/>
      <c r="E286" s="163"/>
      <c r="F286" s="163"/>
      <c r="G286" s="314"/>
      <c r="H286" s="351"/>
    </row>
    <row r="294" spans="8:8" s="49" ht="15.0" customFormat="1">
      <c r="A294" s="38"/>
      <c r="B294" s="39"/>
      <c r="C294" s="40"/>
      <c r="D294" s="163"/>
      <c r="E294" s="163"/>
      <c r="F294" s="163"/>
      <c r="G294" s="314"/>
      <c r="H294" s="351"/>
    </row>
    <row r="297" spans="8:8" s="49" ht="15.0" customFormat="1">
      <c r="A297" s="38"/>
      <c r="B297" s="39"/>
      <c r="C297" s="40"/>
      <c r="D297" s="163"/>
      <c r="E297" s="163"/>
      <c r="F297" s="163"/>
      <c r="G297" s="314"/>
      <c r="H297" s="351"/>
    </row>
    <row r="298" spans="8:8" s="49" ht="15.0" customFormat="1">
      <c r="A298" s="38"/>
      <c r="B298" s="39"/>
      <c r="C298" s="40"/>
      <c r="D298" s="163"/>
      <c r="E298" s="163"/>
      <c r="F298" s="163"/>
      <c r="G298" s="314"/>
      <c r="H298" s="351"/>
    </row>
    <row r="299" spans="8:8">
      <c r="H299" s="248"/>
    </row>
    <row r="300" spans="8:8">
      <c r="H300" s="248"/>
    </row>
  </sheetData>
  <pageMargins left="0.35" right="0.18" top="0.57" bottom="0.3" header="0.16" footer="0.16"/>
</worksheet>
</file>

<file path=xl/worksheets/sheet33.xml><?xml version="1.0" encoding="utf-8"?>
<worksheet xmlns:r="http://schemas.openxmlformats.org/officeDocument/2006/relationships" xmlns="http://schemas.openxmlformats.org/spreadsheetml/2006/main">
  <dimension ref="A1:P272"/>
  <sheetViews>
    <sheetView workbookViewId="0">
      <pane ySplit="1" topLeftCell="A173" state="frozen" activePane="bottomLeft"/>
      <selection pane="bottomLeft" activeCell="A1" sqref="A1:XFD1"/>
    </sheetView>
  </sheetViews>
  <sheetFormatPr defaultRowHeight="15.0" defaultColWidth="10"/>
  <cols>
    <col min="1" max="1" customWidth="1" bestFit="1" width="65.71094" style="38"/>
    <col min="2" max="2" customWidth="1" width="14.285156" style="39"/>
    <col min="3" max="3" customWidth="1" width="7.0" style="40"/>
    <col min="4" max="4" customWidth="1" width="6.4257812" style="163"/>
    <col min="5" max="5" customWidth="1" width="5.4257812" style="163"/>
    <col min="6" max="6" customWidth="1" width="9.425781" style="163"/>
    <col min="7" max="7" customWidth="1" width="14.5703125" style="314"/>
    <col min="8" max="8" customWidth="1" width="19.710938" style="244"/>
    <col min="9" max="9" customWidth="1" width="8.5703125" style="304"/>
    <col min="10" max="12" customWidth="1" bestFit="1" width="16.0" style="39"/>
    <col min="13" max="13" customWidth="1" bestFit="1" width="17.285156" style="39"/>
    <col min="14" max="14" customWidth="0" width="11.425781" style="39"/>
    <col min="15" max="15" customWidth="1" bestFit="1" width="14.140625" style="39"/>
    <col min="16" max="16384" customWidth="0" width="11.425781" style="39"/>
  </cols>
  <sheetData>
    <row r="1" spans="8:8" ht="15.75">
      <c r="A1" s="383" t="s">
        <v>0</v>
      </c>
      <c r="B1" s="384" t="s">
        <v>1</v>
      </c>
      <c r="C1" s="385" t="s">
        <v>6</v>
      </c>
      <c r="D1" s="405" t="s">
        <v>438</v>
      </c>
      <c r="E1" s="406" t="s">
        <v>4</v>
      </c>
      <c r="F1" s="406" t="s">
        <v>5</v>
      </c>
      <c r="G1" s="386" t="s">
        <v>406</v>
      </c>
      <c r="H1" s="386" t="s">
        <v>319</v>
      </c>
      <c r="I1" s="387" t="s">
        <v>434</v>
      </c>
    </row>
    <row r="2" spans="8:8" ht="15.75">
      <c r="A2" s="10" t="s">
        <v>7</v>
      </c>
      <c r="B2" s="11" t="s">
        <v>8</v>
      </c>
      <c r="C2" s="118">
        <v>1.0</v>
      </c>
      <c r="D2" s="118">
        <v>32.0</v>
      </c>
      <c r="E2" s="370">
        <v>2.0</v>
      </c>
      <c r="F2" s="370">
        <v>2.0</v>
      </c>
      <c r="G2" s="316"/>
      <c r="H2" s="362"/>
      <c r="I2" s="407">
        <f>SUM(D2:H2)</f>
        <v>36.0</v>
      </c>
    </row>
    <row r="3" spans="8:8">
      <c r="A3" s="3" t="s">
        <v>9</v>
      </c>
      <c r="B3" s="4" t="s">
        <v>8</v>
      </c>
      <c r="C3" s="93">
        <v>1.0</v>
      </c>
      <c r="D3" s="93">
        <v>32.0</v>
      </c>
      <c r="E3" s="370">
        <v>2.0</v>
      </c>
      <c r="F3" s="370">
        <v>2.0</v>
      </c>
      <c r="G3" s="329"/>
      <c r="H3" s="329"/>
      <c r="I3" s="408">
        <f>SUM(D3:H3)</f>
        <v>36.0</v>
      </c>
    </row>
    <row r="4" spans="8:8">
      <c r="A4" s="3" t="s">
        <v>10</v>
      </c>
      <c r="B4" s="4" t="s">
        <v>8</v>
      </c>
      <c r="C4" s="93">
        <v>1.0</v>
      </c>
      <c r="D4" s="93">
        <v>32.0</v>
      </c>
      <c r="E4" s="370">
        <v>2.0</v>
      </c>
      <c r="F4" s="370">
        <v>2.0</v>
      </c>
      <c r="G4" s="329"/>
      <c r="H4" s="329"/>
      <c r="I4" s="408">
        <f>SUM(D4:H4)</f>
        <v>36.0</v>
      </c>
    </row>
    <row r="5" spans="8:8" ht="15.75">
      <c r="A5" s="388" t="s">
        <v>11</v>
      </c>
      <c r="B5" s="389" t="s">
        <v>8</v>
      </c>
      <c r="C5" s="390">
        <v>1.0</v>
      </c>
      <c r="D5" s="391">
        <v>27.0</v>
      </c>
      <c r="E5" s="392">
        <v>2.0</v>
      </c>
      <c r="F5" s="392">
        <v>2.0</v>
      </c>
      <c r="G5" s="393"/>
      <c r="H5" s="393"/>
      <c r="I5" s="409">
        <f>SUM(D5:H5)</f>
        <v>31.0</v>
      </c>
    </row>
    <row r="6" spans="8:8" ht="15.75">
      <c r="A6" s="353" t="s">
        <v>426</v>
      </c>
      <c r="B6" s="25" t="s">
        <v>13</v>
      </c>
      <c r="C6" s="118">
        <v>18.0</v>
      </c>
      <c r="D6" s="118">
        <v>12.0</v>
      </c>
      <c r="E6" s="370">
        <v>2.0</v>
      </c>
      <c r="F6" s="370">
        <v>2.0</v>
      </c>
      <c r="G6" s="395"/>
      <c r="H6" s="370">
        <v>3.0</v>
      </c>
      <c r="I6" s="407">
        <f>SUM(C6:H6)</f>
        <v>37.0</v>
      </c>
    </row>
    <row r="7" spans="8:8" s="49" ht="15.0" customFormat="1">
      <c r="A7" s="206" t="s">
        <v>433</v>
      </c>
      <c r="B7" s="16" t="s">
        <v>13</v>
      </c>
      <c r="C7" s="15"/>
      <c r="D7" s="93"/>
      <c r="E7" s="372"/>
      <c r="F7" s="372"/>
      <c r="G7" s="360"/>
      <c r="H7" s="372"/>
      <c r="I7" s="410">
        <f>I6*2</f>
        <v>74.0</v>
      </c>
    </row>
    <row r="8" spans="8:8">
      <c r="A8" s="3" t="s">
        <v>15</v>
      </c>
      <c r="B8" s="4" t="s">
        <v>13</v>
      </c>
      <c r="C8" s="93">
        <v>18.0</v>
      </c>
      <c r="D8" s="93">
        <v>12.0</v>
      </c>
      <c r="E8" s="372">
        <v>2.0</v>
      </c>
      <c r="F8" s="372">
        <v>2.0</v>
      </c>
      <c r="G8" s="360"/>
      <c r="H8" s="372">
        <v>3.0</v>
      </c>
      <c r="I8" s="408">
        <f t="shared" si="0" ref="I8:I13">SUM(C8:H8)</f>
        <v>37.0</v>
      </c>
    </row>
    <row r="9" spans="8:8">
      <c r="A9" s="3" t="s">
        <v>16</v>
      </c>
      <c r="B9" s="4" t="s">
        <v>13</v>
      </c>
      <c r="C9" s="93">
        <v>18.0</v>
      </c>
      <c r="D9" s="93">
        <v>12.0</v>
      </c>
      <c r="E9" s="372">
        <v>2.0</v>
      </c>
      <c r="F9" s="372">
        <v>2.0</v>
      </c>
      <c r="G9" s="360"/>
      <c r="H9" s="372">
        <v>3.0</v>
      </c>
      <c r="I9" s="408">
        <f t="shared" si="0"/>
        <v>37.0</v>
      </c>
    </row>
    <row r="10" spans="8:8">
      <c r="A10" s="3" t="s">
        <v>17</v>
      </c>
      <c r="B10" s="4" t="s">
        <v>13</v>
      </c>
      <c r="C10" s="93">
        <v>62.0</v>
      </c>
      <c r="D10" s="93">
        <v>29.0</v>
      </c>
      <c r="E10" s="372">
        <v>2.0</v>
      </c>
      <c r="F10" s="372">
        <v>2.0</v>
      </c>
      <c r="G10" s="360"/>
      <c r="H10" s="372">
        <v>3.0</v>
      </c>
      <c r="I10" s="408">
        <f t="shared" si="0"/>
        <v>98.0</v>
      </c>
    </row>
    <row r="11" spans="8:8">
      <c r="A11" s="3" t="s">
        <v>18</v>
      </c>
      <c r="B11" s="4" t="s">
        <v>13</v>
      </c>
      <c r="C11" s="93">
        <v>21.0</v>
      </c>
      <c r="D11" s="93">
        <v>29.0</v>
      </c>
      <c r="E11" s="372">
        <v>2.0</v>
      </c>
      <c r="F11" s="372">
        <v>2.0</v>
      </c>
      <c r="G11" s="360"/>
      <c r="H11" s="372">
        <v>3.0</v>
      </c>
      <c r="I11" s="408">
        <f t="shared" si="0"/>
        <v>57.0</v>
      </c>
    </row>
    <row r="12" spans="8:8">
      <c r="A12" s="3" t="s">
        <v>19</v>
      </c>
      <c r="B12" s="4" t="s">
        <v>13</v>
      </c>
      <c r="C12" s="93">
        <v>21.0</v>
      </c>
      <c r="D12" s="93">
        <v>29.0</v>
      </c>
      <c r="E12" s="372">
        <v>2.0</v>
      </c>
      <c r="F12" s="372">
        <v>2.0</v>
      </c>
      <c r="G12" s="360"/>
      <c r="H12" s="372">
        <v>3.0</v>
      </c>
      <c r="I12" s="408">
        <f t="shared" si="0"/>
        <v>57.0</v>
      </c>
    </row>
    <row r="13" spans="8:8">
      <c r="A13" s="3" t="s">
        <v>20</v>
      </c>
      <c r="B13" s="4" t="s">
        <v>13</v>
      </c>
      <c r="C13" s="93">
        <v>21.0</v>
      </c>
      <c r="D13" s="93">
        <v>29.0</v>
      </c>
      <c r="E13" s="372">
        <v>2.0</v>
      </c>
      <c r="F13" s="372">
        <v>2.0</v>
      </c>
      <c r="G13" s="360"/>
      <c r="H13" s="372">
        <v>3.0</v>
      </c>
      <c r="I13" s="408">
        <f t="shared" si="0"/>
        <v>57.0</v>
      </c>
    </row>
    <row r="14" spans="8:8">
      <c r="A14" s="206" t="s">
        <v>21</v>
      </c>
      <c r="B14" s="4" t="s">
        <v>13</v>
      </c>
      <c r="C14" s="93">
        <v>21.0</v>
      </c>
      <c r="D14" s="93">
        <v>29.0</v>
      </c>
      <c r="E14" s="372">
        <v>2.0</v>
      </c>
      <c r="F14" s="372">
        <v>2.0</v>
      </c>
      <c r="G14" s="360"/>
      <c r="H14" s="372">
        <v>3.0</v>
      </c>
      <c r="I14" s="408">
        <f>SUM(C14:H14)*2</f>
        <v>114.0</v>
      </c>
    </row>
    <row r="15" spans="8:8">
      <c r="A15" s="15" t="s">
        <v>22</v>
      </c>
      <c r="B15" s="16" t="s">
        <v>13</v>
      </c>
      <c r="C15" s="93">
        <v>21.0</v>
      </c>
      <c r="D15" s="93">
        <v>29.0</v>
      </c>
      <c r="E15" s="372">
        <v>2.0</v>
      </c>
      <c r="F15" s="372">
        <v>2.0</v>
      </c>
      <c r="G15" s="360"/>
      <c r="H15" s="372">
        <v>3.0</v>
      </c>
      <c r="I15" s="408">
        <f>SUM(C15:H15)</f>
        <v>57.0</v>
      </c>
    </row>
    <row r="16" spans="8:8">
      <c r="A16" s="206" t="s">
        <v>23</v>
      </c>
      <c r="B16" s="16" t="s">
        <v>13</v>
      </c>
      <c r="C16" s="93">
        <v>21.0</v>
      </c>
      <c r="D16" s="93">
        <v>29.0</v>
      </c>
      <c r="E16" s="372">
        <v>2.0</v>
      </c>
      <c r="F16" s="372">
        <v>2.0</v>
      </c>
      <c r="G16" s="360"/>
      <c r="H16" s="372">
        <v>3.0</v>
      </c>
      <c r="I16" s="408">
        <f>SUM(C16:H16)*2</f>
        <v>114.0</v>
      </c>
    </row>
    <row r="17" spans="8:8">
      <c r="A17" s="3" t="s">
        <v>24</v>
      </c>
      <c r="B17" s="16" t="s">
        <v>13</v>
      </c>
      <c r="C17" s="93">
        <v>21.0</v>
      </c>
      <c r="D17" s="93">
        <v>29.0</v>
      </c>
      <c r="E17" s="372">
        <v>2.0</v>
      </c>
      <c r="F17" s="372">
        <v>2.0</v>
      </c>
      <c r="G17" s="360"/>
      <c r="H17" s="372">
        <v>3.0</v>
      </c>
      <c r="I17" s="408">
        <f t="shared" si="1" ref="I17:I49">SUM(C17:H17)</f>
        <v>57.0</v>
      </c>
    </row>
    <row r="18" spans="8:8">
      <c r="A18" s="3" t="s">
        <v>25</v>
      </c>
      <c r="B18" s="4" t="s">
        <v>13</v>
      </c>
      <c r="C18" s="93">
        <v>21.0</v>
      </c>
      <c r="D18" s="93">
        <v>29.0</v>
      </c>
      <c r="E18" s="372">
        <v>2.0</v>
      </c>
      <c r="F18" s="372">
        <v>2.0</v>
      </c>
      <c r="G18" s="360"/>
      <c r="H18" s="372">
        <v>3.0</v>
      </c>
      <c r="I18" s="408">
        <f t="shared" si="1"/>
        <v>57.0</v>
      </c>
    </row>
    <row r="19" spans="8:8">
      <c r="A19" s="3" t="s">
        <v>26</v>
      </c>
      <c r="B19" s="4" t="s">
        <v>13</v>
      </c>
      <c r="C19" s="93">
        <v>21.0</v>
      </c>
      <c r="D19" s="93">
        <v>29.0</v>
      </c>
      <c r="E19" s="372">
        <v>2.0</v>
      </c>
      <c r="F19" s="372">
        <v>2.0</v>
      </c>
      <c r="G19" s="360"/>
      <c r="H19" s="372">
        <v>3.0</v>
      </c>
      <c r="I19" s="408">
        <f t="shared" si="1"/>
        <v>57.0</v>
      </c>
    </row>
    <row r="20" spans="8:8">
      <c r="A20" s="3" t="s">
        <v>27</v>
      </c>
      <c r="B20" s="4" t="s">
        <v>13</v>
      </c>
      <c r="C20" s="93">
        <v>21.0</v>
      </c>
      <c r="D20" s="93">
        <v>29.0</v>
      </c>
      <c r="E20" s="372">
        <v>2.0</v>
      </c>
      <c r="F20" s="372">
        <v>2.0</v>
      </c>
      <c r="G20" s="360"/>
      <c r="H20" s="372">
        <v>3.0</v>
      </c>
      <c r="I20" s="408">
        <f t="shared" si="1"/>
        <v>57.0</v>
      </c>
    </row>
    <row r="21" spans="8:8">
      <c r="A21" s="3" t="s">
        <v>28</v>
      </c>
      <c r="B21" s="4" t="s">
        <v>13</v>
      </c>
      <c r="C21" s="93">
        <v>21.0</v>
      </c>
      <c r="D21" s="93">
        <v>29.0</v>
      </c>
      <c r="E21" s="372">
        <v>2.0</v>
      </c>
      <c r="F21" s="372">
        <v>2.0</v>
      </c>
      <c r="G21" s="360"/>
      <c r="H21" s="372">
        <v>3.0</v>
      </c>
      <c r="I21" s="408">
        <f t="shared" si="1"/>
        <v>57.0</v>
      </c>
    </row>
    <row r="22" spans="8:8">
      <c r="A22" s="3" t="s">
        <v>29</v>
      </c>
      <c r="B22" s="4" t="s">
        <v>13</v>
      </c>
      <c r="C22" s="93">
        <v>21.0</v>
      </c>
      <c r="D22" s="93">
        <v>29.0</v>
      </c>
      <c r="E22" s="372">
        <v>2.0</v>
      </c>
      <c r="F22" s="372">
        <v>2.0</v>
      </c>
      <c r="G22" s="360"/>
      <c r="H22" s="372">
        <v>3.0</v>
      </c>
      <c r="I22" s="408">
        <f t="shared" si="1"/>
        <v>57.0</v>
      </c>
    </row>
    <row r="23" spans="8:8">
      <c r="A23" s="14" t="s">
        <v>427</v>
      </c>
      <c r="B23" s="4" t="s">
        <v>13</v>
      </c>
      <c r="C23" s="93">
        <v>21.0</v>
      </c>
      <c r="D23" s="93">
        <v>29.0</v>
      </c>
      <c r="E23" s="372">
        <v>2.0</v>
      </c>
      <c r="F23" s="372">
        <v>2.0</v>
      </c>
      <c r="G23" s="360"/>
      <c r="H23" s="372">
        <v>3.0</v>
      </c>
      <c r="I23" s="408">
        <f t="shared" si="1"/>
        <v>57.0</v>
      </c>
    </row>
    <row r="24" spans="8:8">
      <c r="A24" s="3" t="s">
        <v>31</v>
      </c>
      <c r="B24" s="4" t="s">
        <v>13</v>
      </c>
      <c r="C24" s="93">
        <v>21.0</v>
      </c>
      <c r="D24" s="93">
        <v>29.0</v>
      </c>
      <c r="E24" s="372">
        <v>2.0</v>
      </c>
      <c r="F24" s="372">
        <v>2.0</v>
      </c>
      <c r="G24" s="360"/>
      <c r="H24" s="372">
        <v>3.0</v>
      </c>
      <c r="I24" s="408">
        <f t="shared" si="1"/>
        <v>57.0</v>
      </c>
    </row>
    <row r="25" spans="8:8">
      <c r="A25" s="3" t="s">
        <v>32</v>
      </c>
      <c r="B25" s="4" t="s">
        <v>13</v>
      </c>
      <c r="C25" s="93">
        <v>21.0</v>
      </c>
      <c r="D25" s="93">
        <v>29.0</v>
      </c>
      <c r="E25" s="372">
        <v>2.0</v>
      </c>
      <c r="F25" s="372">
        <v>2.0</v>
      </c>
      <c r="G25" s="360"/>
      <c r="H25" s="372">
        <v>3.0</v>
      </c>
      <c r="I25" s="408">
        <f t="shared" si="1"/>
        <v>57.0</v>
      </c>
    </row>
    <row r="26" spans="8:8">
      <c r="A26" s="3" t="s">
        <v>33</v>
      </c>
      <c r="B26" s="4" t="s">
        <v>13</v>
      </c>
      <c r="C26" s="93">
        <v>21.0</v>
      </c>
      <c r="D26" s="93">
        <v>29.0</v>
      </c>
      <c r="E26" s="372">
        <v>2.0</v>
      </c>
      <c r="F26" s="372">
        <v>2.0</v>
      </c>
      <c r="G26" s="360"/>
      <c r="H26" s="372">
        <v>3.0</v>
      </c>
      <c r="I26" s="408">
        <f t="shared" si="1"/>
        <v>57.0</v>
      </c>
    </row>
    <row r="27" spans="8:8">
      <c r="A27" s="3" t="s">
        <v>34</v>
      </c>
      <c r="B27" s="4" t="s">
        <v>13</v>
      </c>
      <c r="C27" s="93">
        <v>18.0</v>
      </c>
      <c r="D27" s="93">
        <v>12.0</v>
      </c>
      <c r="E27" s="372">
        <v>2.0</v>
      </c>
      <c r="F27" s="372">
        <v>2.0</v>
      </c>
      <c r="G27" s="360"/>
      <c r="H27" s="372">
        <v>3.0</v>
      </c>
      <c r="I27" s="408">
        <f t="shared" si="1"/>
        <v>37.0</v>
      </c>
    </row>
    <row r="28" spans="8:8">
      <c r="A28" s="3" t="s">
        <v>35</v>
      </c>
      <c r="B28" s="4" t="s">
        <v>13</v>
      </c>
      <c r="C28" s="93">
        <v>18.0</v>
      </c>
      <c r="D28" s="93">
        <v>12.0</v>
      </c>
      <c r="E28" s="372">
        <v>2.0</v>
      </c>
      <c r="F28" s="372">
        <v>2.0</v>
      </c>
      <c r="G28" s="360"/>
      <c r="H28" s="372">
        <v>3.0</v>
      </c>
      <c r="I28" s="408">
        <f t="shared" si="1"/>
        <v>37.0</v>
      </c>
    </row>
    <row r="29" spans="8:8">
      <c r="A29" s="3" t="s">
        <v>36</v>
      </c>
      <c r="B29" s="4" t="s">
        <v>13</v>
      </c>
      <c r="C29" s="93">
        <v>18.0</v>
      </c>
      <c r="D29" s="93">
        <v>12.0</v>
      </c>
      <c r="E29" s="372">
        <v>2.0</v>
      </c>
      <c r="F29" s="372">
        <v>2.0</v>
      </c>
      <c r="G29" s="360"/>
      <c r="H29" s="372">
        <v>3.0</v>
      </c>
      <c r="I29" s="408">
        <f t="shared" si="1"/>
        <v>37.0</v>
      </c>
    </row>
    <row r="30" spans="8:8">
      <c r="A30" s="14" t="s">
        <v>428</v>
      </c>
      <c r="B30" s="4" t="s">
        <v>13</v>
      </c>
      <c r="C30" s="93">
        <v>18.0</v>
      </c>
      <c r="D30" s="93">
        <v>12.0</v>
      </c>
      <c r="E30" s="372">
        <v>2.0</v>
      </c>
      <c r="F30" s="372">
        <v>2.0</v>
      </c>
      <c r="G30" s="360"/>
      <c r="H30" s="372">
        <v>3.0</v>
      </c>
      <c r="I30" s="408">
        <f t="shared" si="1"/>
        <v>37.0</v>
      </c>
    </row>
    <row r="31" spans="8:8">
      <c r="A31" s="3" t="s">
        <v>38</v>
      </c>
      <c r="B31" s="4" t="s">
        <v>13</v>
      </c>
      <c r="C31" s="93">
        <v>18.0</v>
      </c>
      <c r="D31" s="93">
        <v>12.0</v>
      </c>
      <c r="E31" s="372">
        <v>2.0</v>
      </c>
      <c r="F31" s="372">
        <v>2.0</v>
      </c>
      <c r="G31" s="360"/>
      <c r="H31" s="372">
        <v>3.0</v>
      </c>
      <c r="I31" s="408">
        <f t="shared" si="1"/>
        <v>37.0</v>
      </c>
    </row>
    <row r="32" spans="8:8">
      <c r="A32" s="15" t="s">
        <v>39</v>
      </c>
      <c r="B32" s="4" t="s">
        <v>13</v>
      </c>
      <c r="C32" s="93">
        <v>18.0</v>
      </c>
      <c r="D32" s="93">
        <v>12.0</v>
      </c>
      <c r="E32" s="372">
        <v>2.0</v>
      </c>
      <c r="F32" s="372">
        <v>2.0</v>
      </c>
      <c r="G32" s="360"/>
      <c r="H32" s="372">
        <v>3.0</v>
      </c>
      <c r="I32" s="408">
        <f t="shared" si="1"/>
        <v>37.0</v>
      </c>
    </row>
    <row r="33" spans="8:8" s="49" ht="15.0" customFormat="1">
      <c r="A33" s="3" t="s">
        <v>40</v>
      </c>
      <c r="B33" s="16" t="s">
        <v>13</v>
      </c>
      <c r="C33" s="93">
        <v>18.0</v>
      </c>
      <c r="D33" s="93">
        <v>12.0</v>
      </c>
      <c r="E33" s="372">
        <v>2.0</v>
      </c>
      <c r="F33" s="372">
        <v>2.0</v>
      </c>
      <c r="G33" s="360"/>
      <c r="H33" s="372">
        <v>3.0</v>
      </c>
      <c r="I33" s="408">
        <f t="shared" si="1"/>
        <v>37.0</v>
      </c>
    </row>
    <row r="34" spans="8:8">
      <c r="A34" s="15" t="s">
        <v>41</v>
      </c>
      <c r="B34" s="16" t="s">
        <v>13</v>
      </c>
      <c r="C34" s="93">
        <v>18.0</v>
      </c>
      <c r="D34" s="93">
        <v>12.0</v>
      </c>
      <c r="E34" s="372">
        <v>2.0</v>
      </c>
      <c r="F34" s="372">
        <v>2.0</v>
      </c>
      <c r="G34" s="360"/>
      <c r="H34" s="372">
        <v>3.0</v>
      </c>
      <c r="I34" s="408">
        <f t="shared" si="1"/>
        <v>37.0</v>
      </c>
    </row>
    <row r="35" spans="8:8" s="49" ht="15.0" customFormat="1">
      <c r="A35" s="14" t="s">
        <v>429</v>
      </c>
      <c r="B35" s="16" t="s">
        <v>13</v>
      </c>
      <c r="C35" s="93">
        <v>18.0</v>
      </c>
      <c r="D35" s="93">
        <v>12.0</v>
      </c>
      <c r="E35" s="372">
        <v>2.0</v>
      </c>
      <c r="F35" s="372">
        <v>2.0</v>
      </c>
      <c r="G35" s="360"/>
      <c r="H35" s="372">
        <v>3.0</v>
      </c>
      <c r="I35" s="408">
        <f t="shared" si="1"/>
        <v>37.0</v>
      </c>
    </row>
    <row r="36" spans="8:8">
      <c r="A36" s="3" t="s">
        <v>43</v>
      </c>
      <c r="B36" s="4" t="s">
        <v>13</v>
      </c>
      <c r="C36" s="93">
        <v>18.0</v>
      </c>
      <c r="D36" s="93">
        <v>12.0</v>
      </c>
      <c r="E36" s="372">
        <v>2.0</v>
      </c>
      <c r="F36" s="372">
        <v>2.0</v>
      </c>
      <c r="G36" s="360"/>
      <c r="H36" s="372">
        <v>3.0</v>
      </c>
      <c r="I36" s="408">
        <f t="shared" si="1"/>
        <v>37.0</v>
      </c>
    </row>
    <row r="37" spans="8:8">
      <c r="A37" s="14" t="s">
        <v>430</v>
      </c>
      <c r="B37" s="4" t="s">
        <v>13</v>
      </c>
      <c r="C37" s="93">
        <v>18.0</v>
      </c>
      <c r="D37" s="93">
        <v>12.0</v>
      </c>
      <c r="E37" s="372">
        <v>2.0</v>
      </c>
      <c r="F37" s="372">
        <v>2.0</v>
      </c>
      <c r="G37" s="360"/>
      <c r="H37" s="372">
        <v>3.0</v>
      </c>
      <c r="I37" s="408">
        <f t="shared" si="1"/>
        <v>37.0</v>
      </c>
    </row>
    <row r="38" spans="8:8">
      <c r="A38" s="3" t="s">
        <v>45</v>
      </c>
      <c r="B38" s="4" t="s">
        <v>13</v>
      </c>
      <c r="C38" s="93">
        <v>40.0</v>
      </c>
      <c r="D38" s="93">
        <v>29.0</v>
      </c>
      <c r="E38" s="372">
        <v>2.0</v>
      </c>
      <c r="F38" s="372">
        <v>2.0</v>
      </c>
      <c r="G38" s="360"/>
      <c r="H38" s="372">
        <v>3.0</v>
      </c>
      <c r="I38" s="408">
        <f t="shared" si="1"/>
        <v>76.0</v>
      </c>
    </row>
    <row r="39" spans="8:8">
      <c r="A39" s="3" t="s">
        <v>46</v>
      </c>
      <c r="B39" s="4" t="s">
        <v>13</v>
      </c>
      <c r="C39" s="93">
        <v>40.0</v>
      </c>
      <c r="D39" s="93">
        <v>29.0</v>
      </c>
      <c r="E39" s="372">
        <v>2.0</v>
      </c>
      <c r="F39" s="372">
        <v>2.0</v>
      </c>
      <c r="G39" s="360"/>
      <c r="H39" s="372">
        <v>3.0</v>
      </c>
      <c r="I39" s="408">
        <f t="shared" si="1"/>
        <v>76.0</v>
      </c>
    </row>
    <row r="40" spans="8:8">
      <c r="A40" s="3" t="s">
        <v>47</v>
      </c>
      <c r="B40" s="4" t="s">
        <v>13</v>
      </c>
      <c r="C40" s="93">
        <v>57.0</v>
      </c>
      <c r="D40" s="93">
        <v>29.0</v>
      </c>
      <c r="E40" s="372">
        <v>2.0</v>
      </c>
      <c r="F40" s="372">
        <v>2.0</v>
      </c>
      <c r="G40" s="360"/>
      <c r="H40" s="372">
        <v>3.0</v>
      </c>
      <c r="I40" s="408">
        <f t="shared" si="1"/>
        <v>93.0</v>
      </c>
    </row>
    <row r="41" spans="8:8">
      <c r="A41" s="3" t="s">
        <v>48</v>
      </c>
      <c r="B41" s="4" t="s">
        <v>13</v>
      </c>
      <c r="C41" s="93">
        <v>18.0</v>
      </c>
      <c r="D41" s="93">
        <v>29.0</v>
      </c>
      <c r="E41" s="372">
        <v>2.0</v>
      </c>
      <c r="F41" s="372">
        <v>2.0</v>
      </c>
      <c r="G41" s="360"/>
      <c r="H41" s="372">
        <v>3.0</v>
      </c>
      <c r="I41" s="408">
        <f t="shared" si="1"/>
        <v>54.0</v>
      </c>
    </row>
    <row r="42" spans="8:8">
      <c r="A42" s="3" t="s">
        <v>49</v>
      </c>
      <c r="B42" s="4" t="s">
        <v>13</v>
      </c>
      <c r="C42" s="93">
        <v>18.0</v>
      </c>
      <c r="D42" s="93">
        <v>12.0</v>
      </c>
      <c r="E42" s="372">
        <v>2.0</v>
      </c>
      <c r="F42" s="372">
        <v>2.0</v>
      </c>
      <c r="G42" s="360"/>
      <c r="H42" s="372">
        <v>3.0</v>
      </c>
      <c r="I42" s="408">
        <f t="shared" si="1"/>
        <v>37.0</v>
      </c>
    </row>
    <row r="43" spans="8:8">
      <c r="A43" s="18" t="s">
        <v>431</v>
      </c>
      <c r="B43" s="4" t="s">
        <v>13</v>
      </c>
      <c r="C43" s="93">
        <v>18.0</v>
      </c>
      <c r="D43" s="93">
        <v>12.0</v>
      </c>
      <c r="E43" s="372">
        <v>2.0</v>
      </c>
      <c r="F43" s="372">
        <v>2.0</v>
      </c>
      <c r="G43" s="360"/>
      <c r="H43" s="372">
        <v>3.0</v>
      </c>
      <c r="I43" s="408">
        <f t="shared" si="1"/>
        <v>37.0</v>
      </c>
    </row>
    <row r="44" spans="8:8" s="49" ht="15.0" customFormat="1">
      <c r="A44" s="3" t="s">
        <v>51</v>
      </c>
      <c r="B44" s="16" t="s">
        <v>13</v>
      </c>
      <c r="C44" s="93">
        <v>18.0</v>
      </c>
      <c r="D44" s="93">
        <v>12.0</v>
      </c>
      <c r="E44" s="372">
        <v>2.0</v>
      </c>
      <c r="F44" s="372">
        <v>2.0</v>
      </c>
      <c r="G44" s="360"/>
      <c r="H44" s="372">
        <v>3.0</v>
      </c>
      <c r="I44" s="408">
        <f t="shared" si="1"/>
        <v>37.0</v>
      </c>
    </row>
    <row r="45" spans="8:8">
      <c r="A45" s="3" t="s">
        <v>52</v>
      </c>
      <c r="B45" s="4" t="s">
        <v>13</v>
      </c>
      <c r="C45" s="93">
        <v>18.0</v>
      </c>
      <c r="D45" s="93">
        <v>12.0</v>
      </c>
      <c r="E45" s="372">
        <v>2.0</v>
      </c>
      <c r="F45" s="372">
        <v>2.0</v>
      </c>
      <c r="G45" s="360"/>
      <c r="H45" s="372">
        <v>3.0</v>
      </c>
      <c r="I45" s="408">
        <f t="shared" si="1"/>
        <v>37.0</v>
      </c>
    </row>
    <row r="46" spans="8:8">
      <c r="A46" s="3" t="s">
        <v>53</v>
      </c>
      <c r="B46" s="4" t="s">
        <v>13</v>
      </c>
      <c r="C46" s="93">
        <v>18.0</v>
      </c>
      <c r="D46" s="93">
        <v>12.0</v>
      </c>
      <c r="E46" s="372">
        <v>2.0</v>
      </c>
      <c r="F46" s="372">
        <v>2.0</v>
      </c>
      <c r="G46" s="360"/>
      <c r="H46" s="372">
        <v>3.0</v>
      </c>
      <c r="I46" s="408">
        <f t="shared" si="1"/>
        <v>37.0</v>
      </c>
    </row>
    <row r="47" spans="8:8">
      <c r="A47" s="3" t="s">
        <v>54</v>
      </c>
      <c r="B47" s="4" t="s">
        <v>13</v>
      </c>
      <c r="C47" s="93">
        <v>18.0</v>
      </c>
      <c r="D47" s="93">
        <v>12.0</v>
      </c>
      <c r="E47" s="372">
        <v>2.0</v>
      </c>
      <c r="F47" s="372">
        <v>2.0</v>
      </c>
      <c r="G47" s="360"/>
      <c r="H47" s="372">
        <v>3.0</v>
      </c>
      <c r="I47" s="408">
        <f t="shared" si="1"/>
        <v>37.0</v>
      </c>
    </row>
    <row r="48" spans="8:8">
      <c r="A48" s="15" t="s">
        <v>55</v>
      </c>
      <c r="B48" s="4" t="s">
        <v>13</v>
      </c>
      <c r="C48" s="93">
        <v>18.0</v>
      </c>
      <c r="D48" s="93">
        <v>12.0</v>
      </c>
      <c r="E48" s="372">
        <v>2.0</v>
      </c>
      <c r="F48" s="372">
        <v>2.0</v>
      </c>
      <c r="G48" s="360"/>
      <c r="H48" s="372">
        <v>3.0</v>
      </c>
      <c r="I48" s="408">
        <f t="shared" si="1"/>
        <v>37.0</v>
      </c>
    </row>
    <row r="49" spans="8:8" s="49" ht="15.75" customFormat="1">
      <c r="A49" s="388" t="s">
        <v>56</v>
      </c>
      <c r="B49" s="396" t="s">
        <v>13</v>
      </c>
      <c r="C49" s="391">
        <v>18.0</v>
      </c>
      <c r="D49" s="391">
        <v>28.0</v>
      </c>
      <c r="E49" s="392">
        <v>2.0</v>
      </c>
      <c r="F49" s="392">
        <v>2.0</v>
      </c>
      <c r="G49" s="397"/>
      <c r="H49" s="392">
        <v>3.0</v>
      </c>
      <c r="I49" s="392">
        <f t="shared" si="1"/>
        <v>53.0</v>
      </c>
    </row>
    <row r="50" spans="8:8" ht="15.75">
      <c r="A50" s="10" t="s">
        <v>57</v>
      </c>
      <c r="B50" s="11" t="s">
        <v>60</v>
      </c>
      <c r="C50" s="118">
        <v>1.0</v>
      </c>
      <c r="D50" s="118">
        <v>42.0</v>
      </c>
      <c r="E50" s="370">
        <v>2.0</v>
      </c>
      <c r="F50" s="370">
        <v>2.0</v>
      </c>
      <c r="G50" s="395"/>
      <c r="H50" s="395"/>
      <c r="I50" s="407">
        <f>SUM(D50:H50)</f>
        <v>46.0</v>
      </c>
    </row>
    <row r="51" spans="8:8">
      <c r="A51" s="3" t="s">
        <v>58</v>
      </c>
      <c r="B51" s="4" t="s">
        <v>60</v>
      </c>
      <c r="C51" s="93">
        <v>1.0</v>
      </c>
      <c r="D51" s="93">
        <v>42.0</v>
      </c>
      <c r="E51" s="372">
        <v>2.0</v>
      </c>
      <c r="F51" s="372">
        <v>2.0</v>
      </c>
      <c r="G51" s="360"/>
      <c r="H51" s="360"/>
      <c r="I51" s="408">
        <f>SUM(D51:H51)</f>
        <v>46.0</v>
      </c>
    </row>
    <row r="52" spans="8:8">
      <c r="A52" s="3" t="s">
        <v>59</v>
      </c>
      <c r="B52" s="4" t="s">
        <v>60</v>
      </c>
      <c r="C52" s="93">
        <v>1.0</v>
      </c>
      <c r="D52" s="93">
        <v>42.0</v>
      </c>
      <c r="E52" s="372">
        <v>2.0</v>
      </c>
      <c r="F52" s="372">
        <v>2.0</v>
      </c>
      <c r="G52" s="360"/>
      <c r="H52" s="360"/>
      <c r="I52" s="408">
        <f>SUM(D52:H52)</f>
        <v>46.0</v>
      </c>
    </row>
    <row r="53" spans="8:8">
      <c r="A53" s="3" t="s">
        <v>61</v>
      </c>
      <c r="B53" s="4" t="s">
        <v>60</v>
      </c>
      <c r="C53" s="93">
        <v>28.0</v>
      </c>
      <c r="D53" s="93">
        <v>30.0</v>
      </c>
      <c r="E53" s="372">
        <v>2.0</v>
      </c>
      <c r="F53" s="372">
        <v>2.0</v>
      </c>
      <c r="G53" s="360"/>
      <c r="H53" s="360"/>
      <c r="I53" s="408">
        <f>SUM(C53:H53)</f>
        <v>62.0</v>
      </c>
    </row>
    <row r="54" spans="8:8">
      <c r="A54" s="3" t="s">
        <v>62</v>
      </c>
      <c r="B54" s="4" t="s">
        <v>60</v>
      </c>
      <c r="C54" s="93">
        <v>1.0</v>
      </c>
      <c r="D54" s="93">
        <v>30.0</v>
      </c>
      <c r="E54" s="372">
        <v>2.0</v>
      </c>
      <c r="F54" s="372">
        <v>2.0</v>
      </c>
      <c r="G54" s="360"/>
      <c r="H54" s="360"/>
      <c r="I54" s="408">
        <f t="shared" si="2" ref="I54:I117">SUM(D54:H54)</f>
        <v>34.0</v>
      </c>
    </row>
    <row r="55" spans="8:8" ht="15.75">
      <c r="A55" s="388" t="s">
        <v>63</v>
      </c>
      <c r="B55" s="389" t="s">
        <v>60</v>
      </c>
      <c r="C55" s="391">
        <v>1.0</v>
      </c>
      <c r="D55" s="391">
        <v>15.0</v>
      </c>
      <c r="E55" s="392">
        <v>2.0</v>
      </c>
      <c r="F55" s="392">
        <v>2.0</v>
      </c>
      <c r="G55" s="397"/>
      <c r="H55" s="397"/>
      <c r="I55" s="409">
        <f t="shared" si="2"/>
        <v>19.0</v>
      </c>
      <c r="J55" s="411"/>
      <c r="K55" s="49"/>
      <c r="L55" s="49"/>
      <c r="M55" s="49"/>
      <c r="N55" s="49"/>
    </row>
    <row r="56" spans="8:8" s="49" ht="15.75" customFormat="1">
      <c r="A56" s="320" t="s">
        <v>64</v>
      </c>
      <c r="B56" s="25" t="s">
        <v>65</v>
      </c>
      <c r="C56" s="412">
        <v>1.0</v>
      </c>
      <c r="D56" s="412">
        <v>19.0</v>
      </c>
      <c r="E56" s="370">
        <v>2.0</v>
      </c>
      <c r="F56" s="370">
        <v>2.0</v>
      </c>
      <c r="G56" s="370">
        <v>5.0</v>
      </c>
      <c r="H56" s="395"/>
      <c r="I56" s="370">
        <f t="shared" si="2"/>
        <v>28.0</v>
      </c>
      <c r="J56" s="413"/>
      <c r="K56" s="414"/>
      <c r="L56" s="414"/>
      <c r="M56" s="414"/>
      <c r="O56" s="415">
        <f>SUM(J56:N56)</f>
        <v>0.0</v>
      </c>
    </row>
    <row r="57" spans="8:8" ht="30.0">
      <c r="A57" s="373" t="s">
        <v>432</v>
      </c>
      <c r="B57" s="374" t="s">
        <v>65</v>
      </c>
      <c r="C57" s="93">
        <v>1.0</v>
      </c>
      <c r="D57" s="93">
        <v>24.0</v>
      </c>
      <c r="E57" s="372">
        <v>2.0</v>
      </c>
      <c r="F57" s="372">
        <v>2.0</v>
      </c>
      <c r="G57" s="370">
        <v>5.0</v>
      </c>
      <c r="H57" s="376"/>
      <c r="I57" s="416">
        <f t="shared" si="2"/>
        <v>33.0</v>
      </c>
    </row>
    <row r="58" spans="8:8">
      <c r="A58" s="3" t="s">
        <v>67</v>
      </c>
      <c r="B58" s="4" t="s">
        <v>65</v>
      </c>
      <c r="C58" s="93">
        <v>1.0</v>
      </c>
      <c r="D58" s="93">
        <v>19.0</v>
      </c>
      <c r="E58" s="372">
        <v>2.0</v>
      </c>
      <c r="F58" s="372">
        <v>2.0</v>
      </c>
      <c r="G58" s="370">
        <v>5.0</v>
      </c>
      <c r="H58" s="360"/>
      <c r="I58" s="408">
        <f t="shared" si="2"/>
        <v>28.0</v>
      </c>
    </row>
    <row r="59" spans="8:8">
      <c r="A59" s="3" t="s">
        <v>68</v>
      </c>
      <c r="B59" s="4" t="s">
        <v>65</v>
      </c>
      <c r="C59" s="93">
        <v>1.0</v>
      </c>
      <c r="D59" s="93">
        <v>24.0</v>
      </c>
      <c r="E59" s="372">
        <v>2.0</v>
      </c>
      <c r="F59" s="372">
        <v>2.0</v>
      </c>
      <c r="G59" s="370">
        <v>5.0</v>
      </c>
      <c r="H59" s="360"/>
      <c r="I59" s="408">
        <f t="shared" si="2"/>
        <v>33.0</v>
      </c>
    </row>
    <row r="60" spans="8:8">
      <c r="A60" s="3" t="s">
        <v>69</v>
      </c>
      <c r="B60" s="4" t="s">
        <v>65</v>
      </c>
      <c r="C60" s="93">
        <v>1.0</v>
      </c>
      <c r="D60" s="93">
        <v>34.0</v>
      </c>
      <c r="E60" s="372">
        <v>2.0</v>
      </c>
      <c r="F60" s="372">
        <v>2.0</v>
      </c>
      <c r="G60" s="370">
        <v>5.0</v>
      </c>
      <c r="H60" s="360"/>
      <c r="I60" s="408">
        <f t="shared" si="2"/>
        <v>43.0</v>
      </c>
      <c r="K60" s="49"/>
      <c r="L60" s="49"/>
      <c r="M60" s="49"/>
      <c r="N60" s="49"/>
    </row>
    <row r="61" spans="8:8">
      <c r="A61" s="3" t="s">
        <v>70</v>
      </c>
      <c r="B61" s="4" t="s">
        <v>65</v>
      </c>
      <c r="C61" s="93">
        <v>1.0</v>
      </c>
      <c r="D61" s="93">
        <v>19.0</v>
      </c>
      <c r="E61" s="372">
        <v>2.0</v>
      </c>
      <c r="F61" s="372">
        <v>2.0</v>
      </c>
      <c r="G61" s="370">
        <v>5.0</v>
      </c>
      <c r="H61" s="360"/>
      <c r="I61" s="408">
        <f t="shared" si="2"/>
        <v>28.0</v>
      </c>
      <c r="J61" s="49"/>
    </row>
    <row r="62" spans="8:8">
      <c r="A62" s="15" t="s">
        <v>72</v>
      </c>
      <c r="B62" s="16" t="s">
        <v>65</v>
      </c>
      <c r="C62" s="93">
        <v>1.0</v>
      </c>
      <c r="D62" s="93">
        <v>24.0</v>
      </c>
      <c r="E62" s="372">
        <v>2.0</v>
      </c>
      <c r="F62" s="372">
        <v>2.0</v>
      </c>
      <c r="G62" s="370">
        <v>5.0</v>
      </c>
      <c r="H62" s="360"/>
      <c r="I62" s="408">
        <f t="shared" si="2"/>
        <v>33.0</v>
      </c>
      <c r="J62" s="49"/>
    </row>
    <row r="63" spans="8:8">
      <c r="A63" s="15" t="s">
        <v>71</v>
      </c>
      <c r="B63" s="16" t="s">
        <v>65</v>
      </c>
      <c r="C63" s="93">
        <v>1.0</v>
      </c>
      <c r="D63" s="93">
        <v>29.0</v>
      </c>
      <c r="E63" s="372">
        <v>2.0</v>
      </c>
      <c r="F63" s="372">
        <v>2.0</v>
      </c>
      <c r="G63" s="370">
        <v>5.0</v>
      </c>
      <c r="H63" s="360"/>
      <c r="I63" s="408">
        <f t="shared" si="2"/>
        <v>38.0</v>
      </c>
      <c r="J63" s="417"/>
    </row>
    <row r="64" spans="8:8">
      <c r="A64" s="3" t="s">
        <v>73</v>
      </c>
      <c r="B64" s="4" t="s">
        <v>65</v>
      </c>
      <c r="C64" s="93">
        <v>1.0</v>
      </c>
      <c r="D64" s="93">
        <v>19.0</v>
      </c>
      <c r="E64" s="372">
        <v>2.0</v>
      </c>
      <c r="F64" s="372">
        <v>2.0</v>
      </c>
      <c r="G64" s="370">
        <v>5.0</v>
      </c>
      <c r="H64" s="360"/>
      <c r="I64" s="408">
        <f t="shared" si="2"/>
        <v>28.0</v>
      </c>
    </row>
    <row r="65" spans="8:8">
      <c r="A65" s="3" t="s">
        <v>74</v>
      </c>
      <c r="B65" s="4" t="s">
        <v>65</v>
      </c>
      <c r="C65" s="93">
        <v>1.0</v>
      </c>
      <c r="D65" s="93">
        <v>24.0</v>
      </c>
      <c r="E65" s="372">
        <v>2.0</v>
      </c>
      <c r="F65" s="372">
        <v>2.0</v>
      </c>
      <c r="G65" s="370">
        <v>5.0</v>
      </c>
      <c r="H65" s="360"/>
      <c r="I65" s="408">
        <f t="shared" si="2"/>
        <v>33.0</v>
      </c>
    </row>
    <row r="66" spans="8:8">
      <c r="A66" s="3" t="s">
        <v>75</v>
      </c>
      <c r="B66" s="4" t="s">
        <v>65</v>
      </c>
      <c r="C66" s="93">
        <v>1.0</v>
      </c>
      <c r="D66" s="93">
        <v>49.0</v>
      </c>
      <c r="E66" s="372">
        <v>2.0</v>
      </c>
      <c r="F66" s="372">
        <v>2.0</v>
      </c>
      <c r="G66" s="370">
        <v>5.0</v>
      </c>
      <c r="H66" s="360"/>
      <c r="I66" s="408">
        <f t="shared" si="2"/>
        <v>58.0</v>
      </c>
    </row>
    <row r="67" spans="8:8">
      <c r="A67" s="3" t="s">
        <v>76</v>
      </c>
      <c r="B67" s="4" t="s">
        <v>65</v>
      </c>
      <c r="C67" s="93">
        <v>1.0</v>
      </c>
      <c r="D67" s="93">
        <v>19.0</v>
      </c>
      <c r="E67" s="372">
        <v>2.0</v>
      </c>
      <c r="F67" s="372">
        <v>2.0</v>
      </c>
      <c r="G67" s="370">
        <v>5.0</v>
      </c>
      <c r="H67" s="360"/>
      <c r="I67" s="408">
        <f t="shared" si="2"/>
        <v>28.0</v>
      </c>
    </row>
    <row r="68" spans="8:8">
      <c r="A68" s="3" t="s">
        <v>77</v>
      </c>
      <c r="B68" s="4" t="s">
        <v>65</v>
      </c>
      <c r="C68" s="93">
        <v>1.0</v>
      </c>
      <c r="D68" s="93">
        <v>24.0</v>
      </c>
      <c r="E68" s="372">
        <v>2.0</v>
      </c>
      <c r="F68" s="372">
        <v>2.0</v>
      </c>
      <c r="G68" s="370">
        <v>5.0</v>
      </c>
      <c r="H68" s="360"/>
      <c r="I68" s="408">
        <f t="shared" si="2"/>
        <v>33.0</v>
      </c>
    </row>
    <row r="69" spans="8:8">
      <c r="A69" s="3" t="s">
        <v>78</v>
      </c>
      <c r="B69" s="4" t="s">
        <v>65</v>
      </c>
      <c r="C69" s="93">
        <v>1.0</v>
      </c>
      <c r="D69" s="93">
        <v>29.0</v>
      </c>
      <c r="E69" s="372">
        <v>2.0</v>
      </c>
      <c r="F69" s="372">
        <v>2.0</v>
      </c>
      <c r="G69" s="370">
        <v>5.0</v>
      </c>
      <c r="H69" s="360"/>
      <c r="I69" s="408">
        <f t="shared" si="2"/>
        <v>38.0</v>
      </c>
    </row>
    <row r="70" spans="8:8">
      <c r="A70" s="3" t="s">
        <v>79</v>
      </c>
      <c r="B70" s="4" t="s">
        <v>65</v>
      </c>
      <c r="C70" s="93">
        <v>1.0</v>
      </c>
      <c r="D70" s="93">
        <v>34.0</v>
      </c>
      <c r="E70" s="372">
        <v>2.0</v>
      </c>
      <c r="F70" s="372">
        <v>2.0</v>
      </c>
      <c r="G70" s="370">
        <v>5.0</v>
      </c>
      <c r="H70" s="360"/>
      <c r="I70" s="408">
        <f t="shared" si="2"/>
        <v>43.0</v>
      </c>
    </row>
    <row r="71" spans="8:8">
      <c r="A71" s="3" t="s">
        <v>80</v>
      </c>
      <c r="B71" s="4" t="s">
        <v>65</v>
      </c>
      <c r="C71" s="93">
        <v>1.0</v>
      </c>
      <c r="D71" s="93">
        <v>19.0</v>
      </c>
      <c r="E71" s="372">
        <v>2.0</v>
      </c>
      <c r="F71" s="372">
        <v>2.0</v>
      </c>
      <c r="G71" s="370">
        <v>5.0</v>
      </c>
      <c r="H71" s="360"/>
      <c r="I71" s="408">
        <f t="shared" si="2"/>
        <v>28.0</v>
      </c>
    </row>
    <row r="72" spans="8:8">
      <c r="A72" s="3" t="s">
        <v>81</v>
      </c>
      <c r="B72" s="4" t="s">
        <v>65</v>
      </c>
      <c r="C72" s="93">
        <v>1.0</v>
      </c>
      <c r="D72" s="93">
        <v>24.0</v>
      </c>
      <c r="E72" s="372">
        <v>2.0</v>
      </c>
      <c r="F72" s="372">
        <v>2.0</v>
      </c>
      <c r="G72" s="370">
        <v>5.0</v>
      </c>
      <c r="H72" s="360"/>
      <c r="I72" s="408">
        <f t="shared" si="2"/>
        <v>33.0</v>
      </c>
    </row>
    <row r="73" spans="8:8">
      <c r="A73" s="3" t="s">
        <v>82</v>
      </c>
      <c r="B73" s="4" t="s">
        <v>65</v>
      </c>
      <c r="C73" s="93">
        <v>1.0</v>
      </c>
      <c r="D73" s="93">
        <v>39.0</v>
      </c>
      <c r="E73" s="372">
        <v>2.0</v>
      </c>
      <c r="F73" s="372">
        <v>2.0</v>
      </c>
      <c r="G73" s="370">
        <v>5.0</v>
      </c>
      <c r="H73" s="360"/>
      <c r="I73" s="408">
        <f t="shared" si="2"/>
        <v>48.0</v>
      </c>
    </row>
    <row r="74" spans="8:8">
      <c r="A74" s="3" t="s">
        <v>83</v>
      </c>
      <c r="B74" s="4" t="s">
        <v>65</v>
      </c>
      <c r="C74" s="93">
        <v>1.0</v>
      </c>
      <c r="D74" s="93">
        <v>49.0</v>
      </c>
      <c r="E74" s="372">
        <v>2.0</v>
      </c>
      <c r="F74" s="372">
        <v>2.0</v>
      </c>
      <c r="G74" s="370">
        <v>5.0</v>
      </c>
      <c r="H74" s="360"/>
      <c r="I74" s="408">
        <f t="shared" si="2"/>
        <v>58.0</v>
      </c>
    </row>
    <row r="75" spans="8:8">
      <c r="A75" s="3" t="s">
        <v>84</v>
      </c>
      <c r="B75" s="4" t="s">
        <v>65</v>
      </c>
      <c r="C75" s="93">
        <v>1.0</v>
      </c>
      <c r="D75" s="93">
        <v>24.0</v>
      </c>
      <c r="E75" s="372">
        <v>2.0</v>
      </c>
      <c r="F75" s="372">
        <v>2.0</v>
      </c>
      <c r="G75" s="370">
        <v>5.0</v>
      </c>
      <c r="H75" s="360"/>
      <c r="I75" s="408">
        <f t="shared" si="2"/>
        <v>33.0</v>
      </c>
    </row>
    <row r="76" spans="8:8">
      <c r="A76" s="3" t="s">
        <v>85</v>
      </c>
      <c r="B76" s="4" t="s">
        <v>65</v>
      </c>
      <c r="C76" s="93">
        <v>1.0</v>
      </c>
      <c r="D76" s="93">
        <v>49.0</v>
      </c>
      <c r="E76" s="372">
        <v>2.0</v>
      </c>
      <c r="F76" s="372">
        <v>2.0</v>
      </c>
      <c r="G76" s="370">
        <v>5.0</v>
      </c>
      <c r="H76" s="360"/>
      <c r="I76" s="408">
        <f t="shared" si="2"/>
        <v>58.0</v>
      </c>
    </row>
    <row r="77" spans="8:8">
      <c r="A77" s="15" t="s">
        <v>86</v>
      </c>
      <c r="B77" s="16" t="s">
        <v>65</v>
      </c>
      <c r="C77" s="93">
        <v>1.0</v>
      </c>
      <c r="D77" s="93">
        <v>24.0</v>
      </c>
      <c r="E77" s="372">
        <v>2.0</v>
      </c>
      <c r="F77" s="372">
        <v>2.0</v>
      </c>
      <c r="G77" s="370">
        <v>5.0</v>
      </c>
      <c r="H77" s="360"/>
      <c r="I77" s="408">
        <f t="shared" si="2"/>
        <v>33.0</v>
      </c>
    </row>
    <row r="78" spans="8:8" s="49" ht="15.0" customFormat="1">
      <c r="A78" s="15" t="s">
        <v>87</v>
      </c>
      <c r="B78" s="16" t="s">
        <v>65</v>
      </c>
      <c r="C78" s="93">
        <v>1.0</v>
      </c>
      <c r="D78" s="93">
        <v>29.0</v>
      </c>
      <c r="E78" s="372">
        <v>2.0</v>
      </c>
      <c r="F78" s="372">
        <v>2.0</v>
      </c>
      <c r="G78" s="370">
        <v>5.0</v>
      </c>
      <c r="H78" s="360"/>
      <c r="I78" s="372">
        <f t="shared" si="2"/>
        <v>38.0</v>
      </c>
    </row>
    <row r="79" spans="8:8">
      <c r="A79" s="15" t="s">
        <v>88</v>
      </c>
      <c r="B79" s="16" t="s">
        <v>65</v>
      </c>
      <c r="C79" s="93">
        <v>1.0</v>
      </c>
      <c r="D79" s="93">
        <v>34.0</v>
      </c>
      <c r="E79" s="372">
        <v>2.0</v>
      </c>
      <c r="F79" s="372">
        <v>2.0</v>
      </c>
      <c r="G79" s="370">
        <v>5.0</v>
      </c>
      <c r="H79" s="360"/>
      <c r="I79" s="408">
        <f t="shared" si="2"/>
        <v>43.0</v>
      </c>
    </row>
    <row r="80" spans="8:8">
      <c r="A80" s="15" t="s">
        <v>89</v>
      </c>
      <c r="B80" s="16" t="s">
        <v>65</v>
      </c>
      <c r="C80" s="93">
        <v>1.0</v>
      </c>
      <c r="D80" s="93">
        <v>39.0</v>
      </c>
      <c r="E80" s="372">
        <v>2.0</v>
      </c>
      <c r="F80" s="372">
        <v>2.0</v>
      </c>
      <c r="G80" s="370">
        <v>5.0</v>
      </c>
      <c r="H80" s="360"/>
      <c r="I80" s="408">
        <f t="shared" si="2"/>
        <v>48.0</v>
      </c>
    </row>
    <row r="81" spans="8:8">
      <c r="A81" s="15" t="s">
        <v>90</v>
      </c>
      <c r="B81" s="16" t="s">
        <v>65</v>
      </c>
      <c r="C81" s="93">
        <v>1.0</v>
      </c>
      <c r="D81" s="93">
        <v>44.0</v>
      </c>
      <c r="E81" s="372">
        <v>2.0</v>
      </c>
      <c r="F81" s="372">
        <v>2.0</v>
      </c>
      <c r="G81" s="370">
        <v>5.0</v>
      </c>
      <c r="H81" s="360"/>
      <c r="I81" s="408">
        <f t="shared" si="2"/>
        <v>53.0</v>
      </c>
    </row>
    <row r="82" spans="8:8">
      <c r="A82" s="15" t="s">
        <v>91</v>
      </c>
      <c r="B82" s="16" t="s">
        <v>65</v>
      </c>
      <c r="C82" s="93">
        <v>1.0</v>
      </c>
      <c r="D82" s="93">
        <v>49.0</v>
      </c>
      <c r="E82" s="372">
        <v>2.0</v>
      </c>
      <c r="F82" s="372">
        <v>2.0</v>
      </c>
      <c r="G82" s="370">
        <v>5.0</v>
      </c>
      <c r="H82" s="360"/>
      <c r="I82" s="408">
        <f t="shared" si="2"/>
        <v>58.0</v>
      </c>
    </row>
    <row r="83" spans="8:8">
      <c r="A83" s="15" t="s">
        <v>92</v>
      </c>
      <c r="B83" s="16" t="s">
        <v>65</v>
      </c>
      <c r="C83" s="93">
        <v>1.0</v>
      </c>
      <c r="D83" s="93">
        <v>19.0</v>
      </c>
      <c r="E83" s="372">
        <v>2.0</v>
      </c>
      <c r="F83" s="372">
        <v>2.0</v>
      </c>
      <c r="G83" s="370">
        <v>5.0</v>
      </c>
      <c r="H83" s="360"/>
      <c r="I83" s="408">
        <f t="shared" si="2"/>
        <v>28.0</v>
      </c>
    </row>
    <row r="84" spans="8:8">
      <c r="A84" s="15" t="s">
        <v>93</v>
      </c>
      <c r="B84" s="16" t="s">
        <v>65</v>
      </c>
      <c r="C84" s="93">
        <v>1.0</v>
      </c>
      <c r="D84" s="93">
        <v>24.0</v>
      </c>
      <c r="E84" s="372">
        <v>2.0</v>
      </c>
      <c r="F84" s="372">
        <v>2.0</v>
      </c>
      <c r="G84" s="370">
        <v>5.0</v>
      </c>
      <c r="H84" s="360"/>
      <c r="I84" s="408">
        <f t="shared" si="2"/>
        <v>33.0</v>
      </c>
    </row>
    <row r="85" spans="8:8">
      <c r="A85" s="15" t="s">
        <v>94</v>
      </c>
      <c r="B85" s="16" t="s">
        <v>65</v>
      </c>
      <c r="C85" s="93">
        <v>1.0</v>
      </c>
      <c r="D85" s="93">
        <v>34.0</v>
      </c>
      <c r="E85" s="372">
        <v>2.0</v>
      </c>
      <c r="F85" s="372">
        <v>2.0</v>
      </c>
      <c r="G85" s="370">
        <v>5.0</v>
      </c>
      <c r="H85" s="360"/>
      <c r="I85" s="408">
        <f t="shared" si="2"/>
        <v>43.0</v>
      </c>
    </row>
    <row r="86" spans="8:8">
      <c r="A86" s="15" t="s">
        <v>95</v>
      </c>
      <c r="B86" s="16" t="s">
        <v>65</v>
      </c>
      <c r="C86" s="93">
        <v>1.0</v>
      </c>
      <c r="D86" s="93">
        <v>24.0</v>
      </c>
      <c r="E86" s="372">
        <v>2.0</v>
      </c>
      <c r="F86" s="372">
        <v>2.0</v>
      </c>
      <c r="G86" s="370">
        <v>5.0</v>
      </c>
      <c r="H86" s="360"/>
      <c r="I86" s="408">
        <f t="shared" si="2"/>
        <v>33.0</v>
      </c>
    </row>
    <row r="87" spans="8:8">
      <c r="A87" s="15" t="s">
        <v>96</v>
      </c>
      <c r="B87" s="16" t="s">
        <v>65</v>
      </c>
      <c r="C87" s="93">
        <v>1.0</v>
      </c>
      <c r="D87" s="93">
        <v>34.0</v>
      </c>
      <c r="E87" s="372">
        <v>2.0</v>
      </c>
      <c r="F87" s="372">
        <v>2.0</v>
      </c>
      <c r="G87" s="370">
        <v>5.0</v>
      </c>
      <c r="H87" s="360"/>
      <c r="I87" s="408">
        <f t="shared" si="2"/>
        <v>43.0</v>
      </c>
    </row>
    <row r="88" spans="8:8">
      <c r="A88" s="15" t="s">
        <v>97</v>
      </c>
      <c r="B88" s="16" t="s">
        <v>65</v>
      </c>
      <c r="C88" s="93">
        <v>1.0</v>
      </c>
      <c r="D88" s="93">
        <v>19.0</v>
      </c>
      <c r="E88" s="372">
        <v>2.0</v>
      </c>
      <c r="F88" s="372">
        <v>2.0</v>
      </c>
      <c r="G88" s="370">
        <v>5.0</v>
      </c>
      <c r="H88" s="360"/>
      <c r="I88" s="408">
        <f t="shared" si="2"/>
        <v>28.0</v>
      </c>
    </row>
    <row r="89" spans="8:8">
      <c r="A89" s="15" t="s">
        <v>98</v>
      </c>
      <c r="B89" s="16" t="s">
        <v>65</v>
      </c>
      <c r="C89" s="93">
        <v>1.0</v>
      </c>
      <c r="D89" s="93">
        <v>24.0</v>
      </c>
      <c r="E89" s="372">
        <v>2.0</v>
      </c>
      <c r="F89" s="372">
        <v>2.0</v>
      </c>
      <c r="G89" s="370">
        <v>5.0</v>
      </c>
      <c r="H89" s="360"/>
      <c r="I89" s="408">
        <f t="shared" si="2"/>
        <v>33.0</v>
      </c>
    </row>
    <row r="90" spans="8:8" s="49" ht="15.0" customFormat="1">
      <c r="A90" s="15" t="s">
        <v>99</v>
      </c>
      <c r="B90" s="16" t="s">
        <v>65</v>
      </c>
      <c r="C90" s="93">
        <v>1.0</v>
      </c>
      <c r="D90" s="93">
        <v>34.0</v>
      </c>
      <c r="E90" s="372">
        <v>2.0</v>
      </c>
      <c r="F90" s="372">
        <v>2.0</v>
      </c>
      <c r="G90" s="370">
        <v>5.0</v>
      </c>
      <c r="H90" s="360"/>
      <c r="I90" s="408">
        <f t="shared" si="2"/>
        <v>43.0</v>
      </c>
    </row>
    <row r="91" spans="8:8">
      <c r="A91" s="15" t="s">
        <v>100</v>
      </c>
      <c r="B91" s="16" t="s">
        <v>65</v>
      </c>
      <c r="C91" s="93">
        <v>1.0</v>
      </c>
      <c r="D91" s="93">
        <v>44.0</v>
      </c>
      <c r="E91" s="372">
        <v>2.0</v>
      </c>
      <c r="F91" s="372">
        <v>2.0</v>
      </c>
      <c r="G91" s="370">
        <v>5.0</v>
      </c>
      <c r="H91" s="360"/>
      <c r="I91" s="408">
        <f t="shared" si="2"/>
        <v>53.0</v>
      </c>
    </row>
    <row r="92" spans="8:8">
      <c r="A92" s="15" t="s">
        <v>101</v>
      </c>
      <c r="B92" s="16" t="s">
        <v>65</v>
      </c>
      <c r="C92" s="93">
        <v>1.0</v>
      </c>
      <c r="D92" s="93">
        <v>49.0</v>
      </c>
      <c r="E92" s="372">
        <v>2.0</v>
      </c>
      <c r="F92" s="372">
        <v>2.0</v>
      </c>
      <c r="G92" s="370">
        <v>5.0</v>
      </c>
      <c r="H92" s="360"/>
      <c r="I92" s="408">
        <f t="shared" si="2"/>
        <v>58.0</v>
      </c>
    </row>
    <row r="93" spans="8:8">
      <c r="A93" s="15" t="s">
        <v>102</v>
      </c>
      <c r="B93" s="16" t="s">
        <v>65</v>
      </c>
      <c r="C93" s="93">
        <v>1.0</v>
      </c>
      <c r="D93" s="93">
        <v>24.0</v>
      </c>
      <c r="E93" s="372">
        <v>2.0</v>
      </c>
      <c r="F93" s="372">
        <v>2.0</v>
      </c>
      <c r="G93" s="370">
        <v>5.0</v>
      </c>
      <c r="H93" s="360"/>
      <c r="I93" s="408">
        <f t="shared" si="2"/>
        <v>33.0</v>
      </c>
    </row>
    <row r="94" spans="8:8">
      <c r="A94" s="15" t="s">
        <v>103</v>
      </c>
      <c r="B94" s="16" t="s">
        <v>65</v>
      </c>
      <c r="C94" s="93">
        <v>1.0</v>
      </c>
      <c r="D94" s="93">
        <v>19.0</v>
      </c>
      <c r="E94" s="372">
        <v>2.0</v>
      </c>
      <c r="F94" s="372">
        <v>2.0</v>
      </c>
      <c r="G94" s="370">
        <v>5.0</v>
      </c>
      <c r="H94" s="360"/>
      <c r="I94" s="408">
        <f t="shared" si="2"/>
        <v>28.0</v>
      </c>
    </row>
    <row r="95" spans="8:8">
      <c r="A95" s="15" t="s">
        <v>104</v>
      </c>
      <c r="B95" s="16" t="s">
        <v>65</v>
      </c>
      <c r="C95" s="93">
        <v>1.0</v>
      </c>
      <c r="D95" s="93">
        <v>24.0</v>
      </c>
      <c r="E95" s="372">
        <v>2.0</v>
      </c>
      <c r="F95" s="372">
        <v>2.0</v>
      </c>
      <c r="G95" s="370">
        <v>5.0</v>
      </c>
      <c r="H95" s="360"/>
      <c r="I95" s="408">
        <f t="shared" si="2"/>
        <v>33.0</v>
      </c>
    </row>
    <row r="96" spans="8:8" s="49" ht="15.0" customFormat="1">
      <c r="A96" s="3" t="s">
        <v>105</v>
      </c>
      <c r="B96" s="4" t="s">
        <v>65</v>
      </c>
      <c r="C96" s="93">
        <v>1.0</v>
      </c>
      <c r="D96" s="93">
        <v>29.0</v>
      </c>
      <c r="E96" s="372">
        <v>2.0</v>
      </c>
      <c r="F96" s="372">
        <v>2.0</v>
      </c>
      <c r="G96" s="370">
        <v>5.0</v>
      </c>
      <c r="H96" s="360"/>
      <c r="I96" s="372">
        <f t="shared" si="2"/>
        <v>38.0</v>
      </c>
    </row>
    <row r="97" spans="8:8">
      <c r="A97" s="3" t="s">
        <v>108</v>
      </c>
      <c r="B97" s="4" t="s">
        <v>65</v>
      </c>
      <c r="C97" s="93">
        <v>1.0</v>
      </c>
      <c r="D97" s="93">
        <v>24.0</v>
      </c>
      <c r="E97" s="372">
        <v>2.0</v>
      </c>
      <c r="F97" s="372">
        <v>2.0</v>
      </c>
      <c r="G97" s="370">
        <v>5.0</v>
      </c>
      <c r="H97" s="360"/>
      <c r="I97" s="408">
        <f t="shared" si="2"/>
        <v>33.0</v>
      </c>
    </row>
    <row r="98" spans="8:8">
      <c r="A98" s="3" t="s">
        <v>109</v>
      </c>
      <c r="B98" s="4" t="s">
        <v>65</v>
      </c>
      <c r="C98" s="93">
        <v>1.0</v>
      </c>
      <c r="D98" s="93">
        <v>29.0</v>
      </c>
      <c r="E98" s="372">
        <v>2.0</v>
      </c>
      <c r="F98" s="372">
        <v>2.0</v>
      </c>
      <c r="G98" s="370">
        <v>5.0</v>
      </c>
      <c r="H98" s="360"/>
      <c r="I98" s="408">
        <f t="shared" si="2"/>
        <v>38.0</v>
      </c>
    </row>
    <row r="99" spans="8:8">
      <c r="A99" s="3" t="s">
        <v>110</v>
      </c>
      <c r="B99" s="4" t="s">
        <v>65</v>
      </c>
      <c r="C99" s="93">
        <v>52.0</v>
      </c>
      <c r="D99" s="93">
        <v>16.0</v>
      </c>
      <c r="E99" s="372">
        <v>2.0</v>
      </c>
      <c r="F99" s="372">
        <v>2.0</v>
      </c>
      <c r="G99" s="370">
        <v>5.0</v>
      </c>
      <c r="H99" s="360"/>
      <c r="I99" s="408">
        <f>SUM(C99:H99)</f>
        <v>77.0</v>
      </c>
    </row>
    <row r="100" spans="8:8">
      <c r="A100" s="3" t="s">
        <v>111</v>
      </c>
      <c r="B100" s="4" t="s">
        <v>65</v>
      </c>
      <c r="C100" s="93">
        <v>1.0</v>
      </c>
      <c r="D100" s="93">
        <v>19.0</v>
      </c>
      <c r="E100" s="372">
        <v>2.0</v>
      </c>
      <c r="F100" s="372">
        <v>2.0</v>
      </c>
      <c r="G100" s="370">
        <v>5.0</v>
      </c>
      <c r="H100" s="360"/>
      <c r="I100" s="408">
        <f t="shared" si="2"/>
        <v>28.0</v>
      </c>
    </row>
    <row r="101" spans="8:8">
      <c r="A101" s="3" t="s">
        <v>112</v>
      </c>
      <c r="B101" s="4" t="s">
        <v>65</v>
      </c>
      <c r="C101" s="93">
        <v>1.0</v>
      </c>
      <c r="D101" s="93">
        <v>24.0</v>
      </c>
      <c r="E101" s="372">
        <v>2.0</v>
      </c>
      <c r="F101" s="372">
        <v>2.0</v>
      </c>
      <c r="G101" s="370">
        <v>5.0</v>
      </c>
      <c r="H101" s="360"/>
      <c r="I101" s="408">
        <f t="shared" si="2"/>
        <v>33.0</v>
      </c>
    </row>
    <row r="102" spans="8:8">
      <c r="A102" s="3" t="s">
        <v>113</v>
      </c>
      <c r="B102" s="4" t="s">
        <v>65</v>
      </c>
      <c r="C102" s="93">
        <v>1.0</v>
      </c>
      <c r="D102" s="93">
        <v>29.0</v>
      </c>
      <c r="E102" s="372">
        <v>2.0</v>
      </c>
      <c r="F102" s="372">
        <v>2.0</v>
      </c>
      <c r="G102" s="370">
        <v>5.0</v>
      </c>
      <c r="H102" s="360"/>
      <c r="I102" s="408">
        <f t="shared" si="2"/>
        <v>38.0</v>
      </c>
    </row>
    <row r="103" spans="8:8">
      <c r="A103" s="3" t="s">
        <v>114</v>
      </c>
      <c r="B103" s="4" t="s">
        <v>65</v>
      </c>
      <c r="C103" s="93">
        <v>1.0</v>
      </c>
      <c r="D103" s="93">
        <v>19.0</v>
      </c>
      <c r="E103" s="372">
        <v>2.0</v>
      </c>
      <c r="F103" s="372">
        <v>2.0</v>
      </c>
      <c r="G103" s="370">
        <v>5.0</v>
      </c>
      <c r="H103" s="360"/>
      <c r="I103" s="408">
        <f t="shared" si="2"/>
        <v>28.0</v>
      </c>
    </row>
    <row r="104" spans="8:8">
      <c r="A104" s="3" t="s">
        <v>115</v>
      </c>
      <c r="B104" s="4" t="s">
        <v>65</v>
      </c>
      <c r="C104" s="93">
        <v>1.0</v>
      </c>
      <c r="D104" s="93">
        <v>24.0</v>
      </c>
      <c r="E104" s="372">
        <v>2.0</v>
      </c>
      <c r="F104" s="372">
        <v>2.0</v>
      </c>
      <c r="G104" s="370">
        <v>5.0</v>
      </c>
      <c r="H104" s="360"/>
      <c r="I104" s="408">
        <f t="shared" si="2"/>
        <v>33.0</v>
      </c>
    </row>
    <row r="105" spans="8:8">
      <c r="A105" s="3" t="s">
        <v>116</v>
      </c>
      <c r="B105" s="4" t="s">
        <v>65</v>
      </c>
      <c r="C105" s="93">
        <v>1.0</v>
      </c>
      <c r="D105" s="93">
        <v>29.0</v>
      </c>
      <c r="E105" s="372">
        <v>2.0</v>
      </c>
      <c r="F105" s="372">
        <v>2.0</v>
      </c>
      <c r="G105" s="370">
        <v>5.0</v>
      </c>
      <c r="H105" s="360"/>
      <c r="I105" s="408">
        <f t="shared" si="2"/>
        <v>38.0</v>
      </c>
    </row>
    <row r="106" spans="8:8">
      <c r="A106" s="3" t="s">
        <v>117</v>
      </c>
      <c r="B106" s="4" t="s">
        <v>65</v>
      </c>
      <c r="C106" s="93">
        <v>1.0</v>
      </c>
      <c r="D106" s="93">
        <v>24.0</v>
      </c>
      <c r="E106" s="372">
        <v>2.0</v>
      </c>
      <c r="F106" s="372">
        <v>2.0</v>
      </c>
      <c r="G106" s="370">
        <v>5.0</v>
      </c>
      <c r="H106" s="360"/>
      <c r="I106" s="408">
        <f t="shared" si="2"/>
        <v>33.0</v>
      </c>
    </row>
    <row r="107" spans="8:8">
      <c r="A107" s="3" t="s">
        <v>118</v>
      </c>
      <c r="B107" s="4" t="s">
        <v>65</v>
      </c>
      <c r="C107" s="93">
        <v>1.0</v>
      </c>
      <c r="D107" s="93">
        <v>19.0</v>
      </c>
      <c r="E107" s="372">
        <v>2.0</v>
      </c>
      <c r="F107" s="372">
        <v>2.0</v>
      </c>
      <c r="G107" s="370">
        <v>5.0</v>
      </c>
      <c r="H107" s="360"/>
      <c r="I107" s="408">
        <f t="shared" si="2"/>
        <v>28.0</v>
      </c>
    </row>
    <row r="108" spans="8:8">
      <c r="A108" s="3" t="s">
        <v>119</v>
      </c>
      <c r="B108" s="4" t="s">
        <v>65</v>
      </c>
      <c r="C108" s="93">
        <v>1.0</v>
      </c>
      <c r="D108" s="93">
        <v>24.0</v>
      </c>
      <c r="E108" s="372">
        <v>2.0</v>
      </c>
      <c r="F108" s="372">
        <v>2.0</v>
      </c>
      <c r="G108" s="370">
        <v>5.0</v>
      </c>
      <c r="H108" s="360"/>
      <c r="I108" s="408">
        <f t="shared" si="2"/>
        <v>33.0</v>
      </c>
    </row>
    <row r="109" spans="8:8">
      <c r="A109" s="3" t="s">
        <v>120</v>
      </c>
      <c r="B109" s="4" t="s">
        <v>65</v>
      </c>
      <c r="C109" s="93">
        <v>1.0</v>
      </c>
      <c r="D109" s="93">
        <v>39.0</v>
      </c>
      <c r="E109" s="372">
        <v>2.0</v>
      </c>
      <c r="F109" s="372">
        <v>2.0</v>
      </c>
      <c r="G109" s="370">
        <v>5.0</v>
      </c>
      <c r="H109" s="360"/>
      <c r="I109" s="408">
        <f t="shared" si="2"/>
        <v>48.0</v>
      </c>
    </row>
    <row r="110" spans="8:8">
      <c r="A110" s="3" t="s">
        <v>121</v>
      </c>
      <c r="B110" s="4" t="s">
        <v>65</v>
      </c>
      <c r="C110" s="93">
        <v>1.0</v>
      </c>
      <c r="D110" s="93">
        <v>49.0</v>
      </c>
      <c r="E110" s="372">
        <v>2.0</v>
      </c>
      <c r="F110" s="372">
        <v>2.0</v>
      </c>
      <c r="G110" s="370">
        <v>5.0</v>
      </c>
      <c r="H110" s="360"/>
      <c r="I110" s="408">
        <f t="shared" si="2"/>
        <v>58.0</v>
      </c>
    </row>
    <row r="111" spans="8:8">
      <c r="A111" s="3" t="s">
        <v>122</v>
      </c>
      <c r="B111" s="4" t="s">
        <v>65</v>
      </c>
      <c r="C111" s="93">
        <v>1.0</v>
      </c>
      <c r="D111" s="93">
        <v>19.0</v>
      </c>
      <c r="E111" s="372">
        <v>2.0</v>
      </c>
      <c r="F111" s="372">
        <v>2.0</v>
      </c>
      <c r="G111" s="370">
        <v>5.0</v>
      </c>
      <c r="H111" s="360"/>
      <c r="I111" s="408">
        <f t="shared" si="2"/>
        <v>28.0</v>
      </c>
    </row>
    <row r="112" spans="8:8" s="418" ht="15.0" customFormat="1">
      <c r="A112" s="419" t="s">
        <v>123</v>
      </c>
      <c r="B112" s="420" t="s">
        <v>65</v>
      </c>
      <c r="C112" s="421">
        <v>1.0</v>
      </c>
      <c r="D112" s="421">
        <v>24.0</v>
      </c>
      <c r="E112" s="422">
        <v>2.0</v>
      </c>
      <c r="F112" s="422">
        <v>2.0</v>
      </c>
      <c r="G112" s="423">
        <v>5.0</v>
      </c>
      <c r="H112" s="424"/>
      <c r="I112" s="422">
        <f t="shared" si="2"/>
        <v>33.0</v>
      </c>
    </row>
    <row r="113" spans="8:8">
      <c r="A113" s="3" t="s">
        <v>124</v>
      </c>
      <c r="B113" s="4" t="s">
        <v>65</v>
      </c>
      <c r="C113" s="93">
        <v>1.0</v>
      </c>
      <c r="D113" s="93">
        <v>29.0</v>
      </c>
      <c r="E113" s="372">
        <v>2.0</v>
      </c>
      <c r="F113" s="372">
        <v>2.0</v>
      </c>
      <c r="G113" s="370">
        <v>5.0</v>
      </c>
      <c r="H113" s="360"/>
      <c r="I113" s="408">
        <f t="shared" si="2"/>
        <v>38.0</v>
      </c>
    </row>
    <row r="114" spans="8:8">
      <c r="A114" s="3" t="s">
        <v>125</v>
      </c>
      <c r="B114" s="4" t="s">
        <v>65</v>
      </c>
      <c r="C114" s="93">
        <v>1.0</v>
      </c>
      <c r="D114" s="93">
        <v>34.0</v>
      </c>
      <c r="E114" s="372">
        <v>2.0</v>
      </c>
      <c r="F114" s="372">
        <v>2.0</v>
      </c>
      <c r="G114" s="370">
        <v>5.0</v>
      </c>
      <c r="H114" s="360"/>
      <c r="I114" s="408">
        <f t="shared" si="2"/>
        <v>43.0</v>
      </c>
    </row>
    <row r="115" spans="8:8">
      <c r="A115" s="3" t="s">
        <v>126</v>
      </c>
      <c r="B115" s="4" t="s">
        <v>65</v>
      </c>
      <c r="C115" s="93">
        <v>1.0</v>
      </c>
      <c r="D115" s="93">
        <v>39.0</v>
      </c>
      <c r="E115" s="372">
        <v>2.0</v>
      </c>
      <c r="F115" s="372">
        <v>2.0</v>
      </c>
      <c r="G115" s="370">
        <v>5.0</v>
      </c>
      <c r="H115" s="360"/>
      <c r="I115" s="408">
        <f t="shared" si="2"/>
        <v>48.0</v>
      </c>
    </row>
    <row r="116" spans="8:8">
      <c r="A116" s="3" t="s">
        <v>127</v>
      </c>
      <c r="B116" s="4" t="s">
        <v>65</v>
      </c>
      <c r="C116" s="93">
        <v>1.0</v>
      </c>
      <c r="D116" s="93">
        <v>39.0</v>
      </c>
      <c r="E116" s="372">
        <v>2.0</v>
      </c>
      <c r="F116" s="372">
        <v>2.0</v>
      </c>
      <c r="G116" s="370">
        <v>5.0</v>
      </c>
      <c r="H116" s="360"/>
      <c r="I116" s="408">
        <f t="shared" si="2"/>
        <v>48.0</v>
      </c>
    </row>
    <row r="117" spans="8:8">
      <c r="A117" s="3" t="s">
        <v>128</v>
      </c>
      <c r="B117" s="4" t="s">
        <v>65</v>
      </c>
      <c r="C117" s="93">
        <v>1.0</v>
      </c>
      <c r="D117" s="93">
        <v>49.0</v>
      </c>
      <c r="E117" s="372">
        <v>2.0</v>
      </c>
      <c r="F117" s="372">
        <v>2.0</v>
      </c>
      <c r="G117" s="370">
        <v>5.0</v>
      </c>
      <c r="H117" s="360"/>
      <c r="I117" s="408">
        <f t="shared" si="2"/>
        <v>58.0</v>
      </c>
    </row>
    <row r="118" spans="8:8">
      <c r="A118" s="3" t="s">
        <v>129</v>
      </c>
      <c r="B118" s="4" t="s">
        <v>65</v>
      </c>
      <c r="C118" s="93">
        <v>1.0</v>
      </c>
      <c r="D118" s="93">
        <v>59.0</v>
      </c>
      <c r="E118" s="372">
        <v>2.0</v>
      </c>
      <c r="F118" s="372">
        <v>2.0</v>
      </c>
      <c r="G118" s="370">
        <v>5.0</v>
      </c>
      <c r="H118" s="360"/>
      <c r="I118" s="408">
        <f t="shared" si="3" ref="I118:I181">SUM(D118:H118)</f>
        <v>68.0</v>
      </c>
    </row>
    <row r="119" spans="8:8">
      <c r="A119" s="3" t="s">
        <v>130</v>
      </c>
      <c r="B119" s="4" t="s">
        <v>65</v>
      </c>
      <c r="C119" s="93">
        <v>1.0</v>
      </c>
      <c r="D119" s="93">
        <v>69.0</v>
      </c>
      <c r="E119" s="372">
        <v>2.0</v>
      </c>
      <c r="F119" s="372">
        <v>2.0</v>
      </c>
      <c r="G119" s="370">
        <v>5.0</v>
      </c>
      <c r="H119" s="360"/>
      <c r="I119" s="408">
        <f t="shared" si="3"/>
        <v>78.0</v>
      </c>
    </row>
    <row r="120" spans="8:8">
      <c r="A120" s="3" t="s">
        <v>131</v>
      </c>
      <c r="B120" s="4" t="s">
        <v>65</v>
      </c>
      <c r="C120" s="93">
        <v>1.0</v>
      </c>
      <c r="D120" s="93">
        <v>79.0</v>
      </c>
      <c r="E120" s="372">
        <v>2.0</v>
      </c>
      <c r="F120" s="372">
        <v>2.0</v>
      </c>
      <c r="G120" s="370">
        <v>5.0</v>
      </c>
      <c r="H120" s="360"/>
      <c r="I120" s="408">
        <f t="shared" si="3"/>
        <v>88.0</v>
      </c>
    </row>
    <row r="121" spans="8:8">
      <c r="A121" s="3" t="s">
        <v>132</v>
      </c>
      <c r="B121" s="4" t="s">
        <v>65</v>
      </c>
      <c r="C121" s="93">
        <v>1.0</v>
      </c>
      <c r="D121" s="93">
        <v>19.0</v>
      </c>
      <c r="E121" s="372">
        <v>2.0</v>
      </c>
      <c r="F121" s="372">
        <v>2.0</v>
      </c>
      <c r="G121" s="370">
        <v>5.0</v>
      </c>
      <c r="H121" s="360"/>
      <c r="I121" s="408">
        <f t="shared" si="3"/>
        <v>28.0</v>
      </c>
    </row>
    <row r="122" spans="8:8">
      <c r="A122" s="3" t="s">
        <v>133</v>
      </c>
      <c r="B122" s="4" t="s">
        <v>65</v>
      </c>
      <c r="C122" s="93">
        <v>1.0</v>
      </c>
      <c r="D122" s="93">
        <v>24.0</v>
      </c>
      <c r="E122" s="372">
        <v>2.0</v>
      </c>
      <c r="F122" s="372">
        <v>2.0</v>
      </c>
      <c r="G122" s="370">
        <v>5.0</v>
      </c>
      <c r="H122" s="360"/>
      <c r="I122" s="408">
        <f t="shared" si="3"/>
        <v>33.0</v>
      </c>
    </row>
    <row r="123" spans="8:8">
      <c r="A123" s="3" t="s">
        <v>134</v>
      </c>
      <c r="B123" s="4" t="s">
        <v>65</v>
      </c>
      <c r="C123" s="93">
        <v>1.0</v>
      </c>
      <c r="D123" s="93">
        <v>29.0</v>
      </c>
      <c r="E123" s="372">
        <v>2.0</v>
      </c>
      <c r="F123" s="372">
        <v>2.0</v>
      </c>
      <c r="G123" s="370">
        <v>5.0</v>
      </c>
      <c r="H123" s="360"/>
      <c r="I123" s="408">
        <f t="shared" si="3"/>
        <v>38.0</v>
      </c>
    </row>
    <row r="124" spans="8:8">
      <c r="A124" s="3" t="s">
        <v>135</v>
      </c>
      <c r="B124" s="4" t="s">
        <v>65</v>
      </c>
      <c r="C124" s="93">
        <v>1.0</v>
      </c>
      <c r="D124" s="93">
        <v>19.0</v>
      </c>
      <c r="E124" s="372">
        <v>2.0</v>
      </c>
      <c r="F124" s="372">
        <v>2.0</v>
      </c>
      <c r="G124" s="370">
        <v>5.0</v>
      </c>
      <c r="H124" s="360"/>
      <c r="I124" s="408">
        <f t="shared" si="3"/>
        <v>28.0</v>
      </c>
    </row>
    <row r="125" spans="8:8">
      <c r="A125" s="3" t="s">
        <v>136</v>
      </c>
      <c r="B125" s="4" t="s">
        <v>65</v>
      </c>
      <c r="C125" s="93">
        <v>1.0</v>
      </c>
      <c r="D125" s="93">
        <v>24.0</v>
      </c>
      <c r="E125" s="372">
        <v>2.0</v>
      </c>
      <c r="F125" s="372">
        <v>2.0</v>
      </c>
      <c r="G125" s="370">
        <v>5.0</v>
      </c>
      <c r="H125" s="360"/>
      <c r="I125" s="408">
        <f t="shared" si="3"/>
        <v>33.0</v>
      </c>
    </row>
    <row r="126" spans="8:8">
      <c r="A126" s="3" t="s">
        <v>137</v>
      </c>
      <c r="B126" s="4" t="s">
        <v>65</v>
      </c>
      <c r="C126" s="93">
        <v>1.0</v>
      </c>
      <c r="D126" s="93">
        <v>39.0</v>
      </c>
      <c r="E126" s="372">
        <v>2.0</v>
      </c>
      <c r="F126" s="372">
        <v>2.0</v>
      </c>
      <c r="G126" s="370">
        <v>5.0</v>
      </c>
      <c r="H126" s="360"/>
      <c r="I126" s="408">
        <f t="shared" si="3"/>
        <v>48.0</v>
      </c>
    </row>
    <row r="127" spans="8:8">
      <c r="A127" s="3" t="s">
        <v>138</v>
      </c>
      <c r="B127" s="4" t="s">
        <v>65</v>
      </c>
      <c r="C127" s="93">
        <v>1.0</v>
      </c>
      <c r="D127" s="93">
        <v>49.0</v>
      </c>
      <c r="E127" s="372">
        <v>2.0</v>
      </c>
      <c r="F127" s="372">
        <v>2.0</v>
      </c>
      <c r="G127" s="370">
        <v>5.0</v>
      </c>
      <c r="H127" s="360"/>
      <c r="I127" s="408">
        <f t="shared" si="3"/>
        <v>58.0</v>
      </c>
    </row>
    <row r="128" spans="8:8">
      <c r="A128" s="3" t="s">
        <v>139</v>
      </c>
      <c r="B128" s="4" t="s">
        <v>65</v>
      </c>
      <c r="C128" s="93">
        <v>1.0</v>
      </c>
      <c r="D128" s="93">
        <v>19.0</v>
      </c>
      <c r="E128" s="372">
        <v>2.0</v>
      </c>
      <c r="F128" s="372">
        <v>2.0</v>
      </c>
      <c r="G128" s="370">
        <v>5.0</v>
      </c>
      <c r="H128" s="360"/>
      <c r="I128" s="408">
        <f t="shared" si="3"/>
        <v>28.0</v>
      </c>
    </row>
    <row r="129" spans="8:8">
      <c r="A129" s="3" t="s">
        <v>140</v>
      </c>
      <c r="B129" s="4" t="s">
        <v>65</v>
      </c>
      <c r="C129" s="93">
        <v>1.0</v>
      </c>
      <c r="D129" s="93">
        <v>24.0</v>
      </c>
      <c r="E129" s="372">
        <v>2.0</v>
      </c>
      <c r="F129" s="372">
        <v>2.0</v>
      </c>
      <c r="G129" s="370">
        <v>5.0</v>
      </c>
      <c r="H129" s="360"/>
      <c r="I129" s="408">
        <f t="shared" si="3"/>
        <v>33.0</v>
      </c>
    </row>
    <row r="130" spans="8:8">
      <c r="A130" s="3" t="s">
        <v>141</v>
      </c>
      <c r="B130" s="4" t="s">
        <v>65</v>
      </c>
      <c r="C130" s="93">
        <v>1.0</v>
      </c>
      <c r="D130" s="93">
        <v>29.0</v>
      </c>
      <c r="E130" s="372">
        <v>2.0</v>
      </c>
      <c r="F130" s="372">
        <v>2.0</v>
      </c>
      <c r="G130" s="370">
        <v>5.0</v>
      </c>
      <c r="H130" s="360"/>
      <c r="I130" s="408">
        <f t="shared" si="3"/>
        <v>38.0</v>
      </c>
    </row>
    <row r="131" spans="8:8">
      <c r="A131" s="3" t="s">
        <v>142</v>
      </c>
      <c r="B131" s="4" t="s">
        <v>65</v>
      </c>
      <c r="C131" s="93">
        <v>1.0</v>
      </c>
      <c r="D131" s="93">
        <v>39.0</v>
      </c>
      <c r="E131" s="372">
        <v>2.0</v>
      </c>
      <c r="F131" s="372">
        <v>2.0</v>
      </c>
      <c r="G131" s="370">
        <v>5.0</v>
      </c>
      <c r="H131" s="360"/>
      <c r="I131" s="408">
        <f t="shared" si="3"/>
        <v>48.0</v>
      </c>
    </row>
    <row r="132" spans="8:8">
      <c r="A132" s="3" t="s">
        <v>143</v>
      </c>
      <c r="B132" s="4" t="s">
        <v>65</v>
      </c>
      <c r="C132" s="93">
        <v>1.0</v>
      </c>
      <c r="D132" s="93">
        <v>49.0</v>
      </c>
      <c r="E132" s="372">
        <v>2.0</v>
      </c>
      <c r="F132" s="372">
        <v>2.0</v>
      </c>
      <c r="G132" s="370">
        <v>5.0</v>
      </c>
      <c r="H132" s="360"/>
      <c r="I132" s="408">
        <f t="shared" si="3"/>
        <v>58.0</v>
      </c>
    </row>
    <row r="133" spans="8:8">
      <c r="A133" s="3" t="s">
        <v>144</v>
      </c>
      <c r="B133" s="4" t="s">
        <v>65</v>
      </c>
      <c r="C133" s="93">
        <v>1.0</v>
      </c>
      <c r="D133" s="93">
        <v>59.0</v>
      </c>
      <c r="E133" s="372">
        <v>2.0</v>
      </c>
      <c r="F133" s="372">
        <v>2.0</v>
      </c>
      <c r="G133" s="370">
        <v>5.0</v>
      </c>
      <c r="H133" s="360"/>
      <c r="I133" s="408">
        <f t="shared" si="3"/>
        <v>68.0</v>
      </c>
    </row>
    <row r="134" spans="8:8">
      <c r="A134" s="3" t="s">
        <v>145</v>
      </c>
      <c r="B134" s="4" t="s">
        <v>65</v>
      </c>
      <c r="C134" s="93">
        <v>1.0</v>
      </c>
      <c r="D134" s="93">
        <v>19.0</v>
      </c>
      <c r="E134" s="372">
        <v>2.0</v>
      </c>
      <c r="F134" s="372">
        <v>2.0</v>
      </c>
      <c r="G134" s="370">
        <v>5.0</v>
      </c>
      <c r="H134" s="360"/>
      <c r="I134" s="408">
        <f t="shared" si="3"/>
        <v>28.0</v>
      </c>
    </row>
    <row r="135" spans="8:8">
      <c r="A135" s="3" t="s">
        <v>146</v>
      </c>
      <c r="B135" s="4" t="s">
        <v>65</v>
      </c>
      <c r="C135" s="93">
        <v>1.0</v>
      </c>
      <c r="D135" s="93">
        <v>24.0</v>
      </c>
      <c r="E135" s="372">
        <v>2.0</v>
      </c>
      <c r="F135" s="372">
        <v>2.0</v>
      </c>
      <c r="G135" s="370">
        <v>5.0</v>
      </c>
      <c r="H135" s="360"/>
      <c r="I135" s="408">
        <f t="shared" si="3"/>
        <v>33.0</v>
      </c>
    </row>
    <row r="136" spans="8:8">
      <c r="A136" s="3" t="s">
        <v>147</v>
      </c>
      <c r="B136" s="4" t="s">
        <v>65</v>
      </c>
      <c r="C136" s="93">
        <v>1.0</v>
      </c>
      <c r="D136" s="93">
        <v>29.0</v>
      </c>
      <c r="E136" s="372">
        <v>2.0</v>
      </c>
      <c r="F136" s="372">
        <v>2.0</v>
      </c>
      <c r="G136" s="370">
        <v>5.0</v>
      </c>
      <c r="H136" s="360"/>
      <c r="I136" s="408">
        <f t="shared" si="3"/>
        <v>38.0</v>
      </c>
    </row>
    <row r="137" spans="8:8">
      <c r="A137" s="3" t="s">
        <v>148</v>
      </c>
      <c r="B137" s="4" t="s">
        <v>65</v>
      </c>
      <c r="C137" s="93">
        <v>1.0</v>
      </c>
      <c r="D137" s="93">
        <v>24.0</v>
      </c>
      <c r="E137" s="372">
        <v>2.0</v>
      </c>
      <c r="F137" s="372">
        <v>2.0</v>
      </c>
      <c r="G137" s="370">
        <v>5.0</v>
      </c>
      <c r="H137" s="360"/>
      <c r="I137" s="408">
        <f t="shared" si="3"/>
        <v>33.0</v>
      </c>
    </row>
    <row r="138" spans="8:8">
      <c r="A138" s="3" t="s">
        <v>149</v>
      </c>
      <c r="B138" s="4" t="s">
        <v>65</v>
      </c>
      <c r="C138" s="93">
        <v>1.0</v>
      </c>
      <c r="D138" s="93">
        <v>29.0</v>
      </c>
      <c r="E138" s="372">
        <v>2.0</v>
      </c>
      <c r="F138" s="372">
        <v>2.0</v>
      </c>
      <c r="G138" s="370">
        <v>5.0</v>
      </c>
      <c r="H138" s="360"/>
      <c r="I138" s="408">
        <f t="shared" si="3"/>
        <v>38.0</v>
      </c>
    </row>
    <row r="139" spans="8:8">
      <c r="A139" s="3" t="s">
        <v>150</v>
      </c>
      <c r="B139" s="4" t="s">
        <v>65</v>
      </c>
      <c r="C139" s="93">
        <v>1.0</v>
      </c>
      <c r="D139" s="93">
        <v>89.0</v>
      </c>
      <c r="E139" s="372">
        <v>2.0</v>
      </c>
      <c r="F139" s="372">
        <v>2.0</v>
      </c>
      <c r="G139" s="370">
        <v>5.0</v>
      </c>
      <c r="H139" s="360"/>
      <c r="I139" s="408">
        <f t="shared" si="3"/>
        <v>98.0</v>
      </c>
    </row>
    <row r="140" spans="8:8">
      <c r="A140" s="3" t="s">
        <v>151</v>
      </c>
      <c r="B140" s="4" t="s">
        <v>65</v>
      </c>
      <c r="C140" s="93">
        <v>1.0</v>
      </c>
      <c r="D140" s="93">
        <v>49.0</v>
      </c>
      <c r="E140" s="372">
        <v>2.0</v>
      </c>
      <c r="F140" s="372">
        <v>2.0</v>
      </c>
      <c r="G140" s="370">
        <v>5.0</v>
      </c>
      <c r="H140" s="360"/>
      <c r="I140" s="408">
        <f t="shared" si="3"/>
        <v>58.0</v>
      </c>
    </row>
    <row r="141" spans="8:8">
      <c r="A141" s="3" t="s">
        <v>152</v>
      </c>
      <c r="B141" s="4" t="s">
        <v>65</v>
      </c>
      <c r="C141" s="93">
        <v>1.0</v>
      </c>
      <c r="D141" s="93">
        <v>59.0</v>
      </c>
      <c r="E141" s="372">
        <v>2.0</v>
      </c>
      <c r="F141" s="372">
        <v>2.0</v>
      </c>
      <c r="G141" s="370">
        <v>5.0</v>
      </c>
      <c r="H141" s="360"/>
      <c r="I141" s="408">
        <f t="shared" si="3"/>
        <v>68.0</v>
      </c>
    </row>
    <row r="142" spans="8:8">
      <c r="A142" s="3" t="s">
        <v>153</v>
      </c>
      <c r="B142" s="4" t="s">
        <v>65</v>
      </c>
      <c r="C142" s="93">
        <v>1.0</v>
      </c>
      <c r="D142" s="93">
        <v>89.0</v>
      </c>
      <c r="E142" s="372">
        <v>2.0</v>
      </c>
      <c r="F142" s="372">
        <v>2.0</v>
      </c>
      <c r="G142" s="370">
        <v>5.0</v>
      </c>
      <c r="H142" s="360"/>
      <c r="I142" s="408">
        <f t="shared" si="3"/>
        <v>98.0</v>
      </c>
    </row>
    <row r="143" spans="8:8">
      <c r="A143" s="3" t="s">
        <v>154</v>
      </c>
      <c r="B143" s="4" t="s">
        <v>65</v>
      </c>
      <c r="C143" s="93">
        <v>1.0</v>
      </c>
      <c r="D143" s="93">
        <v>20.0</v>
      </c>
      <c r="E143" s="372">
        <v>2.0</v>
      </c>
      <c r="F143" s="372">
        <v>2.0</v>
      </c>
      <c r="G143" s="370">
        <v>5.0</v>
      </c>
      <c r="H143" s="360"/>
      <c r="I143" s="408">
        <f t="shared" si="3"/>
        <v>29.0</v>
      </c>
    </row>
    <row r="144" spans="8:8">
      <c r="A144" s="3" t="s">
        <v>155</v>
      </c>
      <c r="B144" s="4" t="s">
        <v>65</v>
      </c>
      <c r="C144" s="93">
        <v>1.0</v>
      </c>
      <c r="D144" s="93">
        <v>19.0</v>
      </c>
      <c r="E144" s="372">
        <v>2.0</v>
      </c>
      <c r="F144" s="372">
        <v>2.0</v>
      </c>
      <c r="G144" s="370">
        <v>5.0</v>
      </c>
      <c r="H144" s="360"/>
      <c r="I144" s="408">
        <f t="shared" si="3"/>
        <v>28.0</v>
      </c>
    </row>
    <row r="145" spans="8:8">
      <c r="A145" s="3" t="s">
        <v>156</v>
      </c>
      <c r="B145" s="4" t="s">
        <v>65</v>
      </c>
      <c r="C145" s="93">
        <v>1.0</v>
      </c>
      <c r="D145" s="93">
        <v>24.0</v>
      </c>
      <c r="E145" s="372">
        <v>2.0</v>
      </c>
      <c r="F145" s="372">
        <v>2.0</v>
      </c>
      <c r="G145" s="370">
        <v>5.0</v>
      </c>
      <c r="H145" s="360"/>
      <c r="I145" s="408">
        <f t="shared" si="3"/>
        <v>33.0</v>
      </c>
    </row>
    <row r="146" spans="8:8">
      <c r="A146" s="3" t="s">
        <v>157</v>
      </c>
      <c r="B146" s="4" t="s">
        <v>65</v>
      </c>
      <c r="C146" s="93">
        <v>1.0</v>
      </c>
      <c r="D146" s="93">
        <v>19.0</v>
      </c>
      <c r="E146" s="372">
        <v>2.0</v>
      </c>
      <c r="F146" s="372">
        <v>2.0</v>
      </c>
      <c r="G146" s="370">
        <v>5.0</v>
      </c>
      <c r="H146" s="360"/>
      <c r="I146" s="408">
        <f t="shared" si="3"/>
        <v>28.0</v>
      </c>
    </row>
    <row r="147" spans="8:8">
      <c r="A147" s="3" t="s">
        <v>158</v>
      </c>
      <c r="B147" s="4" t="s">
        <v>65</v>
      </c>
      <c r="C147" s="93">
        <v>1.0</v>
      </c>
      <c r="D147" s="93">
        <v>24.0</v>
      </c>
      <c r="E147" s="372">
        <v>2.0</v>
      </c>
      <c r="F147" s="372">
        <v>2.0</v>
      </c>
      <c r="G147" s="370">
        <v>5.0</v>
      </c>
      <c r="H147" s="360"/>
      <c r="I147" s="408">
        <f t="shared" si="3"/>
        <v>33.0</v>
      </c>
    </row>
    <row r="148" spans="8:8">
      <c r="A148" s="3" t="s">
        <v>159</v>
      </c>
      <c r="B148" s="4" t="s">
        <v>65</v>
      </c>
      <c r="C148" s="93">
        <v>1.0</v>
      </c>
      <c r="D148" s="93">
        <v>34.0</v>
      </c>
      <c r="E148" s="372">
        <v>2.0</v>
      </c>
      <c r="F148" s="372">
        <v>2.0</v>
      </c>
      <c r="G148" s="370">
        <v>5.0</v>
      </c>
      <c r="H148" s="360"/>
      <c r="I148" s="408">
        <f t="shared" si="3"/>
        <v>43.0</v>
      </c>
    </row>
    <row r="149" spans="8:8">
      <c r="A149" s="3" t="s">
        <v>160</v>
      </c>
      <c r="B149" s="4" t="s">
        <v>65</v>
      </c>
      <c r="C149" s="93">
        <v>1.0</v>
      </c>
      <c r="D149" s="93">
        <v>24.0</v>
      </c>
      <c r="E149" s="372">
        <v>2.0</v>
      </c>
      <c r="F149" s="372">
        <v>2.0</v>
      </c>
      <c r="G149" s="370">
        <v>5.0</v>
      </c>
      <c r="H149" s="360"/>
      <c r="I149" s="408">
        <f t="shared" si="3"/>
        <v>33.0</v>
      </c>
    </row>
    <row r="150" spans="8:8">
      <c r="A150" s="15" t="s">
        <v>161</v>
      </c>
      <c r="B150" s="16" t="s">
        <v>65</v>
      </c>
      <c r="C150" s="93">
        <v>1.0</v>
      </c>
      <c r="D150" s="93">
        <v>29.0</v>
      </c>
      <c r="E150" s="372">
        <v>2.0</v>
      </c>
      <c r="F150" s="372">
        <v>2.0</v>
      </c>
      <c r="G150" s="370">
        <v>5.0</v>
      </c>
      <c r="H150" s="360"/>
      <c r="I150" s="408">
        <f t="shared" si="3"/>
        <v>38.0</v>
      </c>
    </row>
    <row r="151" spans="8:8">
      <c r="A151" s="15" t="s">
        <v>162</v>
      </c>
      <c r="B151" s="16" t="s">
        <v>65</v>
      </c>
      <c r="C151" s="93">
        <v>1.0</v>
      </c>
      <c r="D151" s="93">
        <v>49.0</v>
      </c>
      <c r="E151" s="372">
        <v>2.0</v>
      </c>
      <c r="F151" s="372">
        <v>2.0</v>
      </c>
      <c r="G151" s="370">
        <v>5.0</v>
      </c>
      <c r="H151" s="360"/>
      <c r="I151" s="408">
        <f t="shared" si="3"/>
        <v>58.0</v>
      </c>
    </row>
    <row r="152" spans="8:8">
      <c r="A152" s="15" t="s">
        <v>163</v>
      </c>
      <c r="B152" s="16" t="s">
        <v>65</v>
      </c>
      <c r="C152" s="93">
        <v>1.0</v>
      </c>
      <c r="D152" s="93">
        <v>59.0</v>
      </c>
      <c r="E152" s="372">
        <v>2.0</v>
      </c>
      <c r="F152" s="372">
        <v>2.0</v>
      </c>
      <c r="G152" s="370">
        <v>5.0</v>
      </c>
      <c r="H152" s="360"/>
      <c r="I152" s="408">
        <f t="shared" si="3"/>
        <v>68.0</v>
      </c>
    </row>
    <row r="153" spans="8:8">
      <c r="A153" s="3" t="s">
        <v>164</v>
      </c>
      <c r="B153" s="4" t="s">
        <v>65</v>
      </c>
      <c r="C153" s="93">
        <v>1.0</v>
      </c>
      <c r="D153" s="93">
        <v>20.0</v>
      </c>
      <c r="E153" s="372">
        <v>2.0</v>
      </c>
      <c r="F153" s="372">
        <v>2.0</v>
      </c>
      <c r="G153" s="370">
        <v>5.0</v>
      </c>
      <c r="H153" s="360"/>
      <c r="I153" s="408">
        <f t="shared" si="3"/>
        <v>29.0</v>
      </c>
    </row>
    <row r="154" spans="8:8">
      <c r="A154" s="3" t="s">
        <v>165</v>
      </c>
      <c r="B154" s="4" t="s">
        <v>65</v>
      </c>
      <c r="C154" s="93">
        <v>1.0</v>
      </c>
      <c r="D154" s="93">
        <v>24.0</v>
      </c>
      <c r="E154" s="372">
        <v>2.0</v>
      </c>
      <c r="F154" s="372">
        <v>2.0</v>
      </c>
      <c r="G154" s="370">
        <v>5.0</v>
      </c>
      <c r="H154" s="360"/>
      <c r="I154" s="408">
        <f t="shared" si="3"/>
        <v>33.0</v>
      </c>
    </row>
    <row r="155" spans="8:8">
      <c r="A155" s="3" t="s">
        <v>166</v>
      </c>
      <c r="B155" s="4" t="s">
        <v>65</v>
      </c>
      <c r="C155" s="93">
        <v>1.0</v>
      </c>
      <c r="D155" s="93">
        <v>19.0</v>
      </c>
      <c r="E155" s="372">
        <v>2.0</v>
      </c>
      <c r="F155" s="372">
        <v>2.0</v>
      </c>
      <c r="G155" s="370">
        <v>5.0</v>
      </c>
      <c r="H155" s="360"/>
      <c r="I155" s="408">
        <f t="shared" si="3"/>
        <v>28.0</v>
      </c>
    </row>
    <row r="156" spans="8:8">
      <c r="A156" s="3" t="s">
        <v>167</v>
      </c>
      <c r="B156" s="4" t="s">
        <v>65</v>
      </c>
      <c r="C156" s="93">
        <v>1.0</v>
      </c>
      <c r="D156" s="93">
        <v>24.0</v>
      </c>
      <c r="E156" s="372">
        <v>2.0</v>
      </c>
      <c r="F156" s="372">
        <v>2.0</v>
      </c>
      <c r="G156" s="370">
        <v>5.0</v>
      </c>
      <c r="H156" s="360"/>
      <c r="I156" s="408">
        <f t="shared" si="3"/>
        <v>33.0</v>
      </c>
    </row>
    <row r="157" spans="8:8">
      <c r="A157" s="3" t="s">
        <v>168</v>
      </c>
      <c r="B157" s="4" t="s">
        <v>65</v>
      </c>
      <c r="C157" s="93">
        <v>1.0</v>
      </c>
      <c r="D157" s="93">
        <v>39.0</v>
      </c>
      <c r="E157" s="372">
        <v>2.0</v>
      </c>
      <c r="F157" s="372">
        <v>2.0</v>
      </c>
      <c r="G157" s="370">
        <v>5.0</v>
      </c>
      <c r="H157" s="360"/>
      <c r="I157" s="408">
        <f t="shared" si="3"/>
        <v>48.0</v>
      </c>
    </row>
    <row r="158" spans="8:8">
      <c r="A158" s="3" t="s">
        <v>169</v>
      </c>
      <c r="B158" s="4" t="s">
        <v>65</v>
      </c>
      <c r="C158" s="93">
        <v>1.0</v>
      </c>
      <c r="D158" s="93">
        <v>49.0</v>
      </c>
      <c r="E158" s="372">
        <v>2.0</v>
      </c>
      <c r="F158" s="372">
        <v>2.0</v>
      </c>
      <c r="G158" s="370">
        <v>5.0</v>
      </c>
      <c r="H158" s="360"/>
      <c r="I158" s="408">
        <f t="shared" si="3"/>
        <v>58.0</v>
      </c>
    </row>
    <row r="159" spans="8:8">
      <c r="A159" s="3" t="s">
        <v>170</v>
      </c>
      <c r="B159" s="4" t="s">
        <v>65</v>
      </c>
      <c r="C159" s="93">
        <v>1.0</v>
      </c>
      <c r="D159" s="93">
        <v>19.0</v>
      </c>
      <c r="E159" s="372">
        <v>2.0</v>
      </c>
      <c r="F159" s="372">
        <v>2.0</v>
      </c>
      <c r="G159" s="370">
        <v>5.0</v>
      </c>
      <c r="H159" s="360"/>
      <c r="I159" s="408">
        <f t="shared" si="3"/>
        <v>28.0</v>
      </c>
    </row>
    <row r="160" spans="8:8">
      <c r="A160" s="3" t="s">
        <v>171</v>
      </c>
      <c r="B160" s="4" t="s">
        <v>65</v>
      </c>
      <c r="C160" s="93">
        <v>1.0</v>
      </c>
      <c r="D160" s="93">
        <v>24.0</v>
      </c>
      <c r="E160" s="372">
        <v>2.0</v>
      </c>
      <c r="F160" s="372">
        <v>2.0</v>
      </c>
      <c r="G160" s="370">
        <v>5.0</v>
      </c>
      <c r="H160" s="360"/>
      <c r="I160" s="408">
        <f t="shared" si="3"/>
        <v>33.0</v>
      </c>
    </row>
    <row r="161" spans="8:8">
      <c r="A161" s="3" t="s">
        <v>172</v>
      </c>
      <c r="B161" s="4" t="s">
        <v>65</v>
      </c>
      <c r="C161" s="93">
        <v>1.0</v>
      </c>
      <c r="D161" s="93">
        <v>29.0</v>
      </c>
      <c r="E161" s="372">
        <v>2.0</v>
      </c>
      <c r="F161" s="372">
        <v>2.0</v>
      </c>
      <c r="G161" s="370">
        <v>5.0</v>
      </c>
      <c r="H161" s="360"/>
      <c r="I161" s="408">
        <f t="shared" si="3"/>
        <v>38.0</v>
      </c>
    </row>
    <row r="162" spans="8:8">
      <c r="A162" s="3" t="s">
        <v>173</v>
      </c>
      <c r="B162" s="4" t="s">
        <v>65</v>
      </c>
      <c r="C162" s="93">
        <v>1.0</v>
      </c>
      <c r="D162" s="93">
        <v>39.0</v>
      </c>
      <c r="E162" s="372">
        <v>2.0</v>
      </c>
      <c r="F162" s="372">
        <v>2.0</v>
      </c>
      <c r="G162" s="370">
        <v>5.0</v>
      </c>
      <c r="H162" s="360"/>
      <c r="I162" s="408">
        <f t="shared" si="3"/>
        <v>48.0</v>
      </c>
    </row>
    <row r="163" spans="8:8">
      <c r="A163" s="3" t="s">
        <v>174</v>
      </c>
      <c r="B163" s="4" t="s">
        <v>65</v>
      </c>
      <c r="C163" s="93">
        <v>1.0</v>
      </c>
      <c r="D163" s="93">
        <v>49.0</v>
      </c>
      <c r="E163" s="372">
        <v>2.0</v>
      </c>
      <c r="F163" s="372">
        <v>2.0</v>
      </c>
      <c r="G163" s="370">
        <v>5.0</v>
      </c>
      <c r="H163" s="360"/>
      <c r="I163" s="408">
        <f t="shared" si="3"/>
        <v>58.0</v>
      </c>
    </row>
    <row r="164" spans="8:8">
      <c r="A164" s="3" t="s">
        <v>175</v>
      </c>
      <c r="B164" s="4" t="s">
        <v>65</v>
      </c>
      <c r="C164" s="93">
        <v>1.0</v>
      </c>
      <c r="D164" s="93">
        <v>59.0</v>
      </c>
      <c r="E164" s="372">
        <v>2.0</v>
      </c>
      <c r="F164" s="372">
        <v>2.0</v>
      </c>
      <c r="G164" s="370">
        <v>5.0</v>
      </c>
      <c r="H164" s="360"/>
      <c r="I164" s="408">
        <f t="shared" si="3"/>
        <v>68.0</v>
      </c>
    </row>
    <row r="165" spans="8:8">
      <c r="A165" s="3" t="s">
        <v>176</v>
      </c>
      <c r="B165" s="4" t="s">
        <v>65</v>
      </c>
      <c r="C165" s="93">
        <v>1.0</v>
      </c>
      <c r="D165" s="93">
        <v>20.0</v>
      </c>
      <c r="E165" s="372">
        <v>2.0</v>
      </c>
      <c r="F165" s="372">
        <v>2.0</v>
      </c>
      <c r="G165" s="370">
        <v>5.0</v>
      </c>
      <c r="H165" s="360"/>
      <c r="I165" s="408">
        <f t="shared" si="3"/>
        <v>29.0</v>
      </c>
    </row>
    <row r="166" spans="8:8">
      <c r="A166" s="3" t="s">
        <v>177</v>
      </c>
      <c r="B166" s="4" t="s">
        <v>65</v>
      </c>
      <c r="C166" s="93">
        <v>1.0</v>
      </c>
      <c r="D166" s="93">
        <v>29.0</v>
      </c>
      <c r="E166" s="372">
        <v>2.0</v>
      </c>
      <c r="F166" s="372">
        <v>2.0</v>
      </c>
      <c r="G166" s="370">
        <v>5.0</v>
      </c>
      <c r="H166" s="360"/>
      <c r="I166" s="408">
        <f t="shared" si="3"/>
        <v>38.0</v>
      </c>
    </row>
    <row r="167" spans="8:8">
      <c r="A167" s="3" t="s">
        <v>178</v>
      </c>
      <c r="B167" s="4" t="s">
        <v>65</v>
      </c>
      <c r="C167" s="93">
        <v>52.0</v>
      </c>
      <c r="D167" s="93">
        <v>300.0</v>
      </c>
      <c r="E167" s="372">
        <v>2.0</v>
      </c>
      <c r="F167" s="372">
        <v>2.0</v>
      </c>
      <c r="G167" s="370">
        <v>5.0</v>
      </c>
      <c r="H167" s="360"/>
      <c r="I167" s="408">
        <f>SUM(C167:H167)</f>
        <v>361.0</v>
      </c>
    </row>
    <row r="168" spans="8:8">
      <c r="A168" s="3" t="s">
        <v>179</v>
      </c>
      <c r="B168" s="4" t="s">
        <v>65</v>
      </c>
      <c r="C168" s="93">
        <v>1.0</v>
      </c>
      <c r="D168" s="93">
        <v>25.0</v>
      </c>
      <c r="E168" s="372">
        <v>2.0</v>
      </c>
      <c r="F168" s="372">
        <v>2.0</v>
      </c>
      <c r="G168" s="370">
        <v>5.0</v>
      </c>
      <c r="H168" s="360"/>
      <c r="I168" s="408">
        <f t="shared" si="3"/>
        <v>34.0</v>
      </c>
    </row>
    <row r="169" spans="8:8">
      <c r="A169" s="3" t="s">
        <v>180</v>
      </c>
      <c r="B169" s="4" t="s">
        <v>65</v>
      </c>
      <c r="C169" s="93">
        <v>1.0</v>
      </c>
      <c r="D169" s="93">
        <v>24.0</v>
      </c>
      <c r="E169" s="372">
        <v>2.0</v>
      </c>
      <c r="F169" s="372">
        <v>2.0</v>
      </c>
      <c r="G169" s="370">
        <v>5.0</v>
      </c>
      <c r="H169" s="360"/>
      <c r="I169" s="408">
        <f t="shared" si="3"/>
        <v>33.0</v>
      </c>
    </row>
    <row r="170" spans="8:8">
      <c r="A170" s="3" t="s">
        <v>181</v>
      </c>
      <c r="B170" s="4" t="s">
        <v>65</v>
      </c>
      <c r="C170" s="93">
        <v>1.0</v>
      </c>
      <c r="D170" s="93">
        <v>49.0</v>
      </c>
      <c r="E170" s="372">
        <v>2.0</v>
      </c>
      <c r="F170" s="372">
        <v>2.0</v>
      </c>
      <c r="G170" s="370">
        <v>5.0</v>
      </c>
      <c r="H170" s="360"/>
      <c r="I170" s="408">
        <f t="shared" si="3"/>
        <v>58.0</v>
      </c>
    </row>
    <row r="171" spans="8:8">
      <c r="A171" s="3" t="s">
        <v>182</v>
      </c>
      <c r="B171" s="4" t="s">
        <v>65</v>
      </c>
      <c r="C171" s="93">
        <v>1.0</v>
      </c>
      <c r="D171" s="93">
        <v>19.0</v>
      </c>
      <c r="E171" s="372">
        <v>2.0</v>
      </c>
      <c r="F171" s="372">
        <v>2.0</v>
      </c>
      <c r="G171" s="370">
        <v>5.0</v>
      </c>
      <c r="H171" s="360"/>
      <c r="I171" s="408">
        <f t="shared" si="3"/>
        <v>28.0</v>
      </c>
    </row>
    <row r="172" spans="8:8">
      <c r="A172" s="3" t="s">
        <v>183</v>
      </c>
      <c r="B172" s="4" t="s">
        <v>65</v>
      </c>
      <c r="C172" s="93">
        <v>1.0</v>
      </c>
      <c r="D172" s="93">
        <v>24.0</v>
      </c>
      <c r="E172" s="372">
        <v>2.0</v>
      </c>
      <c r="F172" s="372">
        <v>2.0</v>
      </c>
      <c r="G172" s="370">
        <v>5.0</v>
      </c>
      <c r="H172" s="360"/>
      <c r="I172" s="408">
        <f t="shared" si="3"/>
        <v>33.0</v>
      </c>
    </row>
    <row r="173" spans="8:8">
      <c r="A173" s="3" t="s">
        <v>184</v>
      </c>
      <c r="B173" s="4" t="s">
        <v>65</v>
      </c>
      <c r="C173" s="93">
        <v>1.0</v>
      </c>
      <c r="D173" s="93">
        <v>29.0</v>
      </c>
      <c r="E173" s="372">
        <v>2.0</v>
      </c>
      <c r="F173" s="372">
        <v>2.0</v>
      </c>
      <c r="G173" s="370">
        <v>5.0</v>
      </c>
      <c r="H173" s="360"/>
      <c r="I173" s="408">
        <f t="shared" si="3"/>
        <v>38.0</v>
      </c>
    </row>
    <row r="174" spans="8:8">
      <c r="A174" s="3" t="s">
        <v>185</v>
      </c>
      <c r="B174" s="4" t="s">
        <v>65</v>
      </c>
      <c r="C174" s="93">
        <v>1.0</v>
      </c>
      <c r="D174" s="93">
        <v>39.0</v>
      </c>
      <c r="E174" s="372">
        <v>2.0</v>
      </c>
      <c r="F174" s="372">
        <v>2.0</v>
      </c>
      <c r="G174" s="370">
        <v>5.0</v>
      </c>
      <c r="H174" s="360"/>
      <c r="I174" s="408">
        <f t="shared" si="3"/>
        <v>48.0</v>
      </c>
    </row>
    <row r="175" spans="8:8">
      <c r="A175" s="3" t="s">
        <v>186</v>
      </c>
      <c r="B175" s="4" t="s">
        <v>65</v>
      </c>
      <c r="C175" s="93">
        <v>1.0</v>
      </c>
      <c r="D175" s="93">
        <v>49.0</v>
      </c>
      <c r="E175" s="372">
        <v>2.0</v>
      </c>
      <c r="F175" s="372">
        <v>2.0</v>
      </c>
      <c r="G175" s="370">
        <v>5.0</v>
      </c>
      <c r="H175" s="360"/>
      <c r="I175" s="408">
        <f t="shared" si="3"/>
        <v>58.0</v>
      </c>
    </row>
    <row r="176" spans="8:8">
      <c r="A176" s="3" t="s">
        <v>187</v>
      </c>
      <c r="B176" s="4" t="s">
        <v>65</v>
      </c>
      <c r="C176" s="93">
        <v>1.0</v>
      </c>
      <c r="D176" s="93">
        <v>59.0</v>
      </c>
      <c r="E176" s="372">
        <v>2.0</v>
      </c>
      <c r="F176" s="372">
        <v>2.0</v>
      </c>
      <c r="G176" s="370">
        <v>5.0</v>
      </c>
      <c r="H176" s="360"/>
      <c r="I176" s="408">
        <f t="shared" si="3"/>
        <v>68.0</v>
      </c>
    </row>
    <row r="177" spans="8:8" s="49" ht="15.0" customFormat="1">
      <c r="A177" s="15" t="s">
        <v>188</v>
      </c>
      <c r="B177" s="16" t="s">
        <v>65</v>
      </c>
      <c r="C177" s="93">
        <v>1.0</v>
      </c>
      <c r="D177" s="93">
        <v>19.0</v>
      </c>
      <c r="E177" s="372">
        <v>2.0</v>
      </c>
      <c r="F177" s="372">
        <v>2.0</v>
      </c>
      <c r="G177" s="370">
        <v>5.0</v>
      </c>
      <c r="H177" s="360"/>
      <c r="I177" s="372">
        <f t="shared" si="3"/>
        <v>28.0</v>
      </c>
    </row>
    <row r="178" spans="8:8" s="49" ht="15.0" customFormat="1">
      <c r="A178" s="15" t="s">
        <v>189</v>
      </c>
      <c r="B178" s="16" t="s">
        <v>65</v>
      </c>
      <c r="C178" s="93">
        <v>1.0</v>
      </c>
      <c r="D178" s="93">
        <v>24.0</v>
      </c>
      <c r="E178" s="372">
        <v>2.0</v>
      </c>
      <c r="F178" s="372">
        <v>2.0</v>
      </c>
      <c r="G178" s="370">
        <v>5.0</v>
      </c>
      <c r="H178" s="360"/>
      <c r="I178" s="372">
        <f t="shared" si="3"/>
        <v>33.0</v>
      </c>
    </row>
    <row r="179" spans="8:8">
      <c r="A179" s="3" t="s">
        <v>190</v>
      </c>
      <c r="B179" s="16" t="s">
        <v>65</v>
      </c>
      <c r="C179" s="93">
        <v>1.0</v>
      </c>
      <c r="D179" s="93">
        <v>19.0</v>
      </c>
      <c r="E179" s="372">
        <v>2.0</v>
      </c>
      <c r="F179" s="372">
        <v>2.0</v>
      </c>
      <c r="G179" s="370">
        <v>5.0</v>
      </c>
      <c r="H179" s="360"/>
      <c r="I179" s="408">
        <f t="shared" si="3"/>
        <v>28.0</v>
      </c>
    </row>
    <row r="180" spans="8:8" s="49" ht="15.0" customFormat="1">
      <c r="A180" s="3" t="s">
        <v>191</v>
      </c>
      <c r="B180" s="4" t="s">
        <v>65</v>
      </c>
      <c r="C180" s="93">
        <v>1.0</v>
      </c>
      <c r="D180" s="93">
        <v>24.0</v>
      </c>
      <c r="E180" s="372">
        <v>2.0</v>
      </c>
      <c r="F180" s="372">
        <v>2.0</v>
      </c>
      <c r="G180" s="370">
        <v>5.0</v>
      </c>
      <c r="H180" s="360"/>
      <c r="I180" s="372">
        <f t="shared" si="3"/>
        <v>33.0</v>
      </c>
    </row>
    <row r="181" spans="8:8">
      <c r="A181" s="3" t="s">
        <v>192</v>
      </c>
      <c r="B181" s="4" t="s">
        <v>65</v>
      </c>
      <c r="C181" s="93">
        <v>1.0</v>
      </c>
      <c r="D181" s="93">
        <v>29.0</v>
      </c>
      <c r="E181" s="372">
        <v>2.0</v>
      </c>
      <c r="F181" s="372">
        <v>2.0</v>
      </c>
      <c r="G181" s="370">
        <v>5.0</v>
      </c>
      <c r="H181" s="360"/>
      <c r="I181" s="408">
        <f t="shared" si="3"/>
        <v>38.0</v>
      </c>
    </row>
    <row r="182" spans="8:8">
      <c r="A182" s="3" t="s">
        <v>193</v>
      </c>
      <c r="B182" s="4" t="s">
        <v>65</v>
      </c>
      <c r="C182" s="93">
        <v>1.0</v>
      </c>
      <c r="D182" s="93">
        <v>19.0</v>
      </c>
      <c r="E182" s="372">
        <v>2.0</v>
      </c>
      <c r="F182" s="372">
        <v>2.0</v>
      </c>
      <c r="G182" s="370">
        <v>5.0</v>
      </c>
      <c r="H182" s="360"/>
      <c r="I182" s="408">
        <f t="shared" si="4" ref="I182:I241">SUM(D182:H182)</f>
        <v>28.0</v>
      </c>
    </row>
    <row r="183" spans="8:8" ht="15.75">
      <c r="A183" s="388" t="s">
        <v>194</v>
      </c>
      <c r="B183" s="389" t="s">
        <v>65</v>
      </c>
      <c r="C183" s="391">
        <v>1.0</v>
      </c>
      <c r="D183" s="391">
        <v>24.0</v>
      </c>
      <c r="E183" s="392">
        <v>2.0</v>
      </c>
      <c r="F183" s="392">
        <v>2.0</v>
      </c>
      <c r="G183" s="392">
        <v>5.0</v>
      </c>
      <c r="H183" s="397"/>
      <c r="I183" s="409">
        <f t="shared" si="4"/>
        <v>33.0</v>
      </c>
    </row>
    <row r="184" spans="8:8" ht="15.75">
      <c r="A184" s="10" t="s">
        <v>197</v>
      </c>
      <c r="B184" s="11" t="s">
        <v>196</v>
      </c>
      <c r="C184" s="118">
        <v>1.0</v>
      </c>
      <c r="D184" s="118">
        <v>41.0</v>
      </c>
      <c r="E184" s="370">
        <v>2.0</v>
      </c>
      <c r="F184" s="370">
        <v>2.0</v>
      </c>
      <c r="G184" s="395"/>
      <c r="H184" s="395"/>
      <c r="I184" s="407">
        <f t="shared" si="4"/>
        <v>45.0</v>
      </c>
    </row>
    <row r="185" spans="8:8">
      <c r="A185" s="3" t="s">
        <v>198</v>
      </c>
      <c r="B185" s="4" t="s">
        <v>196</v>
      </c>
      <c r="C185" s="93">
        <v>1.0</v>
      </c>
      <c r="D185" s="93">
        <v>313.0</v>
      </c>
      <c r="E185" s="372">
        <v>2.0</v>
      </c>
      <c r="F185" s="372">
        <v>2.0</v>
      </c>
      <c r="G185" s="360"/>
      <c r="H185" s="360"/>
      <c r="I185" s="408">
        <f t="shared" si="4"/>
        <v>317.0</v>
      </c>
    </row>
    <row r="186" spans="8:8">
      <c r="A186" s="3" t="s">
        <v>199</v>
      </c>
      <c r="B186" s="4" t="s">
        <v>196</v>
      </c>
      <c r="C186" s="93">
        <v>1.0</v>
      </c>
      <c r="D186" s="93">
        <v>99.0</v>
      </c>
      <c r="E186" s="372">
        <v>2.0</v>
      </c>
      <c r="F186" s="372">
        <v>2.0</v>
      </c>
      <c r="G186" s="360"/>
      <c r="H186" s="360"/>
      <c r="I186" s="408">
        <f t="shared" si="4"/>
        <v>103.0</v>
      </c>
    </row>
    <row r="187" spans="8:8">
      <c r="A187" s="3" t="s">
        <v>201</v>
      </c>
      <c r="B187" s="4" t="s">
        <v>196</v>
      </c>
      <c r="C187" s="93">
        <v>1.0</v>
      </c>
      <c r="D187" s="93">
        <v>99.0</v>
      </c>
      <c r="E187" s="372">
        <v>2.0</v>
      </c>
      <c r="F187" s="372">
        <v>2.0</v>
      </c>
      <c r="G187" s="360"/>
      <c r="H187" s="360"/>
      <c r="I187" s="408">
        <f t="shared" si="4"/>
        <v>103.0</v>
      </c>
    </row>
    <row r="188" spans="8:8">
      <c r="A188" s="3" t="s">
        <v>202</v>
      </c>
      <c r="B188" s="16" t="s">
        <v>196</v>
      </c>
      <c r="C188" s="93">
        <v>1.0</v>
      </c>
      <c r="D188" s="93">
        <v>99.0</v>
      </c>
      <c r="E188" s="372">
        <v>2.0</v>
      </c>
      <c r="F188" s="372">
        <v>2.0</v>
      </c>
      <c r="G188" s="360"/>
      <c r="H188" s="360"/>
      <c r="I188" s="408">
        <f t="shared" si="4"/>
        <v>103.0</v>
      </c>
    </row>
    <row r="189" spans="8:8">
      <c r="A189" s="3" t="s">
        <v>203</v>
      </c>
      <c r="B189" s="4" t="s">
        <v>196</v>
      </c>
      <c r="C189" s="93">
        <v>1.0</v>
      </c>
      <c r="D189" s="93">
        <v>99.0</v>
      </c>
      <c r="E189" s="372">
        <v>2.0</v>
      </c>
      <c r="F189" s="372">
        <v>2.0</v>
      </c>
      <c r="G189" s="360"/>
      <c r="H189" s="360"/>
      <c r="I189" s="408">
        <f t="shared" si="4"/>
        <v>103.0</v>
      </c>
    </row>
    <row r="190" spans="8:8">
      <c r="A190" s="3" t="s">
        <v>204</v>
      </c>
      <c r="B190" s="4" t="s">
        <v>196</v>
      </c>
      <c r="C190" s="93">
        <v>1.0</v>
      </c>
      <c r="D190" s="93">
        <v>99.0</v>
      </c>
      <c r="E190" s="372">
        <v>2.0</v>
      </c>
      <c r="F190" s="372">
        <v>2.0</v>
      </c>
      <c r="G190" s="360"/>
      <c r="H190" s="360"/>
      <c r="I190" s="408">
        <f t="shared" si="4"/>
        <v>103.0</v>
      </c>
    </row>
    <row r="191" spans="8:8">
      <c r="A191" s="3" t="s">
        <v>206</v>
      </c>
      <c r="B191" s="4" t="s">
        <v>196</v>
      </c>
      <c r="C191" s="93">
        <v>1.0</v>
      </c>
      <c r="D191" s="93">
        <v>99.0</v>
      </c>
      <c r="E191" s="372">
        <v>2.0</v>
      </c>
      <c r="F191" s="372">
        <v>2.0</v>
      </c>
      <c r="G191" s="360"/>
      <c r="H191" s="360"/>
      <c r="I191" s="408">
        <f t="shared" si="4"/>
        <v>103.0</v>
      </c>
    </row>
    <row r="192" spans="8:8">
      <c r="A192" s="3" t="s">
        <v>207</v>
      </c>
      <c r="B192" s="4" t="s">
        <v>196</v>
      </c>
      <c r="C192" s="93">
        <v>1.0</v>
      </c>
      <c r="D192" s="93">
        <v>99.0</v>
      </c>
      <c r="E192" s="372">
        <v>2.0</v>
      </c>
      <c r="F192" s="372">
        <v>2.0</v>
      </c>
      <c r="G192" s="360"/>
      <c r="H192" s="360"/>
      <c r="I192" s="408">
        <f t="shared" si="4"/>
        <v>103.0</v>
      </c>
    </row>
    <row r="193" spans="8:8">
      <c r="A193" s="3" t="s">
        <v>208</v>
      </c>
      <c r="B193" s="4" t="s">
        <v>196</v>
      </c>
      <c r="C193" s="93">
        <v>1.0</v>
      </c>
      <c r="D193" s="93">
        <v>99.0</v>
      </c>
      <c r="E193" s="372">
        <v>2.0</v>
      </c>
      <c r="F193" s="372">
        <v>2.0</v>
      </c>
      <c r="G193" s="360"/>
      <c r="H193" s="360"/>
      <c r="I193" s="408">
        <f t="shared" si="4"/>
        <v>103.0</v>
      </c>
    </row>
    <row r="194" spans="8:8">
      <c r="A194" s="3" t="s">
        <v>209</v>
      </c>
      <c r="B194" s="4" t="s">
        <v>196</v>
      </c>
      <c r="C194" s="93">
        <v>1.0</v>
      </c>
      <c r="D194" s="93">
        <v>99.0</v>
      </c>
      <c r="E194" s="372">
        <v>2.0</v>
      </c>
      <c r="F194" s="372">
        <v>2.0</v>
      </c>
      <c r="G194" s="360"/>
      <c r="H194" s="360"/>
      <c r="I194" s="408">
        <f t="shared" si="4"/>
        <v>103.0</v>
      </c>
    </row>
    <row r="195" spans="8:8">
      <c r="A195" s="3" t="s">
        <v>210</v>
      </c>
      <c r="B195" s="4" t="s">
        <v>196</v>
      </c>
      <c r="C195" s="93">
        <v>1.0</v>
      </c>
      <c r="D195" s="93">
        <v>99.0</v>
      </c>
      <c r="E195" s="372">
        <v>2.0</v>
      </c>
      <c r="F195" s="372">
        <v>2.0</v>
      </c>
      <c r="G195" s="360"/>
      <c r="H195" s="360"/>
      <c r="I195" s="408">
        <f t="shared" si="4"/>
        <v>103.0</v>
      </c>
    </row>
    <row r="196" spans="8:8">
      <c r="A196" s="3" t="s">
        <v>211</v>
      </c>
      <c r="B196" s="4" t="s">
        <v>196</v>
      </c>
      <c r="C196" s="93">
        <v>1.0</v>
      </c>
      <c r="D196" s="93">
        <v>99.0</v>
      </c>
      <c r="E196" s="372">
        <v>2.0</v>
      </c>
      <c r="F196" s="372">
        <v>2.0</v>
      </c>
      <c r="G196" s="360"/>
      <c r="H196" s="360"/>
      <c r="I196" s="408">
        <f t="shared" si="4"/>
        <v>103.0</v>
      </c>
    </row>
    <row r="197" spans="8:8">
      <c r="A197" s="3" t="s">
        <v>212</v>
      </c>
      <c r="B197" s="4" t="s">
        <v>196</v>
      </c>
      <c r="C197" s="93">
        <v>1.0</v>
      </c>
      <c r="D197" s="93">
        <v>99.0</v>
      </c>
      <c r="E197" s="372">
        <v>2.0</v>
      </c>
      <c r="F197" s="372">
        <v>2.0</v>
      </c>
      <c r="G197" s="360"/>
      <c r="H197" s="360"/>
      <c r="I197" s="408">
        <f t="shared" si="4"/>
        <v>103.0</v>
      </c>
    </row>
    <row r="198" spans="8:8">
      <c r="A198" s="3" t="s">
        <v>214</v>
      </c>
      <c r="B198" s="4" t="s">
        <v>196</v>
      </c>
      <c r="C198" s="93">
        <v>1.0</v>
      </c>
      <c r="D198" s="93">
        <v>99.0</v>
      </c>
      <c r="E198" s="372">
        <v>2.0</v>
      </c>
      <c r="F198" s="372">
        <v>2.0</v>
      </c>
      <c r="G198" s="360"/>
      <c r="H198" s="360"/>
      <c r="I198" s="408">
        <f t="shared" si="4"/>
        <v>103.0</v>
      </c>
    </row>
    <row r="199" spans="8:8">
      <c r="A199" s="3" t="s">
        <v>215</v>
      </c>
      <c r="B199" s="4" t="s">
        <v>196</v>
      </c>
      <c r="C199" s="93">
        <v>1.0</v>
      </c>
      <c r="D199" s="93">
        <v>99.0</v>
      </c>
      <c r="E199" s="372">
        <v>2.0</v>
      </c>
      <c r="F199" s="372">
        <v>2.0</v>
      </c>
      <c r="G199" s="360"/>
      <c r="H199" s="360"/>
      <c r="I199" s="408">
        <f t="shared" si="4"/>
        <v>103.0</v>
      </c>
    </row>
    <row r="200" spans="8:8">
      <c r="A200" s="3" t="s">
        <v>216</v>
      </c>
      <c r="B200" s="4" t="s">
        <v>196</v>
      </c>
      <c r="C200" s="93">
        <v>1.0</v>
      </c>
      <c r="D200" s="93">
        <v>99.0</v>
      </c>
      <c r="E200" s="372">
        <v>2.0</v>
      </c>
      <c r="F200" s="372">
        <v>2.0</v>
      </c>
      <c r="G200" s="360"/>
      <c r="H200" s="360"/>
      <c r="I200" s="408">
        <f t="shared" si="4"/>
        <v>103.0</v>
      </c>
    </row>
    <row r="201" spans="8:8">
      <c r="A201" s="3" t="s">
        <v>217</v>
      </c>
      <c r="B201" s="4" t="s">
        <v>196</v>
      </c>
      <c r="C201" s="93">
        <v>1.0</v>
      </c>
      <c r="D201" s="93">
        <v>99.0</v>
      </c>
      <c r="E201" s="372">
        <v>2.0</v>
      </c>
      <c r="F201" s="372">
        <v>2.0</v>
      </c>
      <c r="G201" s="360"/>
      <c r="H201" s="360"/>
      <c r="I201" s="408">
        <f t="shared" si="4"/>
        <v>103.0</v>
      </c>
    </row>
    <row r="202" spans="8:8">
      <c r="A202" s="3" t="s">
        <v>218</v>
      </c>
      <c r="B202" s="4" t="s">
        <v>196</v>
      </c>
      <c r="C202" s="93">
        <v>1.0</v>
      </c>
      <c r="D202" s="93">
        <v>99.0</v>
      </c>
      <c r="E202" s="372">
        <v>2.0</v>
      </c>
      <c r="F202" s="372">
        <v>2.0</v>
      </c>
      <c r="G202" s="360"/>
      <c r="H202" s="360"/>
      <c r="I202" s="408">
        <f t="shared" si="4"/>
        <v>103.0</v>
      </c>
    </row>
    <row r="203" spans="8:8">
      <c r="A203" s="3" t="s">
        <v>219</v>
      </c>
      <c r="B203" s="4" t="s">
        <v>196</v>
      </c>
      <c r="C203" s="93">
        <v>1.0</v>
      </c>
      <c r="D203" s="93">
        <v>99.0</v>
      </c>
      <c r="E203" s="372">
        <v>2.0</v>
      </c>
      <c r="F203" s="372">
        <v>2.0</v>
      </c>
      <c r="G203" s="360"/>
      <c r="H203" s="360"/>
      <c r="I203" s="408">
        <f t="shared" si="4"/>
        <v>103.0</v>
      </c>
    </row>
    <row r="204" spans="8:8">
      <c r="A204" s="3" t="s">
        <v>220</v>
      </c>
      <c r="B204" s="4" t="s">
        <v>196</v>
      </c>
      <c r="C204" s="93">
        <v>1.0</v>
      </c>
      <c r="D204" s="93">
        <v>99.0</v>
      </c>
      <c r="E204" s="372">
        <v>2.0</v>
      </c>
      <c r="F204" s="372">
        <v>2.0</v>
      </c>
      <c r="G204" s="360"/>
      <c r="H204" s="360"/>
      <c r="I204" s="408">
        <f t="shared" si="4"/>
        <v>103.0</v>
      </c>
    </row>
    <row r="205" spans="8:8">
      <c r="A205" s="15" t="s">
        <v>221</v>
      </c>
      <c r="B205" s="4" t="s">
        <v>196</v>
      </c>
      <c r="C205" s="93">
        <v>1.0</v>
      </c>
      <c r="D205" s="93">
        <v>99.0</v>
      </c>
      <c r="E205" s="372">
        <v>2.0</v>
      </c>
      <c r="F205" s="372">
        <v>2.0</v>
      </c>
      <c r="G205" s="360"/>
      <c r="H205" s="360"/>
      <c r="I205" s="408">
        <f t="shared" si="4"/>
        <v>103.0</v>
      </c>
    </row>
    <row r="206" spans="8:8">
      <c r="A206" s="3" t="s">
        <v>222</v>
      </c>
      <c r="B206" s="4" t="s">
        <v>196</v>
      </c>
      <c r="C206" s="93">
        <v>1.0</v>
      </c>
      <c r="D206" s="93">
        <v>180.0</v>
      </c>
      <c r="E206" s="372">
        <v>2.0</v>
      </c>
      <c r="F206" s="372">
        <v>2.0</v>
      </c>
      <c r="G206" s="360"/>
      <c r="H206" s="360"/>
      <c r="I206" s="408">
        <f t="shared" si="4"/>
        <v>184.0</v>
      </c>
    </row>
    <row r="207" spans="8:8">
      <c r="A207" s="3" t="s">
        <v>223</v>
      </c>
      <c r="B207" s="4" t="s">
        <v>196</v>
      </c>
      <c r="C207" s="93">
        <v>1.0</v>
      </c>
      <c r="D207" s="93">
        <v>99.0</v>
      </c>
      <c r="E207" s="372">
        <v>2.0</v>
      </c>
      <c r="F207" s="372">
        <v>2.0</v>
      </c>
      <c r="G207" s="360"/>
      <c r="H207" s="360"/>
      <c r="I207" s="408">
        <f t="shared" si="4"/>
        <v>103.0</v>
      </c>
    </row>
    <row r="208" spans="8:8">
      <c r="A208" s="3" t="s">
        <v>224</v>
      </c>
      <c r="B208" s="4" t="s">
        <v>196</v>
      </c>
      <c r="C208" s="93">
        <v>1.0</v>
      </c>
      <c r="D208" s="93">
        <v>99.0</v>
      </c>
      <c r="E208" s="372">
        <v>2.0</v>
      </c>
      <c r="F208" s="372">
        <v>2.0</v>
      </c>
      <c r="G208" s="360"/>
      <c r="H208" s="360"/>
      <c r="I208" s="408">
        <f t="shared" si="4"/>
        <v>103.0</v>
      </c>
    </row>
    <row r="209" spans="8:8">
      <c r="A209" s="3" t="s">
        <v>225</v>
      </c>
      <c r="B209" s="4" t="s">
        <v>196</v>
      </c>
      <c r="C209" s="93">
        <v>1.0</v>
      </c>
      <c r="D209" s="93">
        <v>99.0</v>
      </c>
      <c r="E209" s="372">
        <v>2.0</v>
      </c>
      <c r="F209" s="372">
        <v>2.0</v>
      </c>
      <c r="G209" s="360"/>
      <c r="H209" s="360"/>
      <c r="I209" s="408">
        <f t="shared" si="4"/>
        <v>103.0</v>
      </c>
    </row>
    <row r="210" spans="8:8">
      <c r="A210" s="3" t="s">
        <v>226</v>
      </c>
      <c r="B210" s="4" t="s">
        <v>196</v>
      </c>
      <c r="C210" s="93">
        <v>1.0</v>
      </c>
      <c r="D210" s="93">
        <v>118.0</v>
      </c>
      <c r="E210" s="372">
        <v>2.0</v>
      </c>
      <c r="F210" s="372">
        <v>2.0</v>
      </c>
      <c r="G210" s="360"/>
      <c r="H210" s="360"/>
      <c r="I210" s="408">
        <f t="shared" si="4"/>
        <v>122.0</v>
      </c>
    </row>
    <row r="211" spans="8:8">
      <c r="A211" s="3" t="s">
        <v>228</v>
      </c>
      <c r="B211" s="4" t="s">
        <v>196</v>
      </c>
      <c r="C211" s="93">
        <v>1.0</v>
      </c>
      <c r="D211" s="93">
        <v>99.0</v>
      </c>
      <c r="E211" s="372">
        <v>2.0</v>
      </c>
      <c r="F211" s="372">
        <v>2.0</v>
      </c>
      <c r="G211" s="360"/>
      <c r="H211" s="360"/>
      <c r="I211" s="408">
        <f t="shared" si="4"/>
        <v>103.0</v>
      </c>
    </row>
    <row r="212" spans="8:8">
      <c r="A212" s="3" t="s">
        <v>229</v>
      </c>
      <c r="B212" s="4" t="s">
        <v>196</v>
      </c>
      <c r="C212" s="93">
        <v>1.0</v>
      </c>
      <c r="D212" s="93">
        <v>99.0</v>
      </c>
      <c r="E212" s="372">
        <v>2.0</v>
      </c>
      <c r="F212" s="372">
        <v>2.0</v>
      </c>
      <c r="G212" s="360"/>
      <c r="H212" s="360"/>
      <c r="I212" s="408">
        <f t="shared" si="4"/>
        <v>103.0</v>
      </c>
    </row>
    <row r="213" spans="8:8">
      <c r="A213" s="3" t="s">
        <v>230</v>
      </c>
      <c r="B213" s="4" t="s">
        <v>196</v>
      </c>
      <c r="C213" s="93">
        <v>1.0</v>
      </c>
      <c r="D213" s="93">
        <v>99.0</v>
      </c>
      <c r="E213" s="372">
        <v>2.0</v>
      </c>
      <c r="F213" s="372">
        <v>2.0</v>
      </c>
      <c r="G213" s="360"/>
      <c r="H213" s="360"/>
      <c r="I213" s="408">
        <f t="shared" si="4"/>
        <v>103.0</v>
      </c>
    </row>
    <row r="214" spans="8:8">
      <c r="A214" s="3" t="s">
        <v>231</v>
      </c>
      <c r="B214" s="4" t="s">
        <v>196</v>
      </c>
      <c r="C214" s="93">
        <v>1.0</v>
      </c>
      <c r="D214" s="93">
        <v>99.0</v>
      </c>
      <c r="E214" s="372">
        <v>2.0</v>
      </c>
      <c r="F214" s="372">
        <v>2.0</v>
      </c>
      <c r="G214" s="360"/>
      <c r="H214" s="360"/>
      <c r="I214" s="408">
        <f t="shared" si="4"/>
        <v>103.0</v>
      </c>
    </row>
    <row r="215" spans="8:8">
      <c r="A215" s="3" t="s">
        <v>232</v>
      </c>
      <c r="B215" s="4" t="s">
        <v>196</v>
      </c>
      <c r="C215" s="93">
        <v>1.0</v>
      </c>
      <c r="D215" s="93">
        <v>99.0</v>
      </c>
      <c r="E215" s="372">
        <v>2.0</v>
      </c>
      <c r="F215" s="372">
        <v>2.0</v>
      </c>
      <c r="G215" s="360"/>
      <c r="H215" s="360"/>
      <c r="I215" s="408">
        <f t="shared" si="4"/>
        <v>103.0</v>
      </c>
    </row>
    <row r="216" spans="8:8">
      <c r="A216" s="3" t="s">
        <v>233</v>
      </c>
      <c r="B216" s="4" t="s">
        <v>196</v>
      </c>
      <c r="C216" s="93">
        <v>1.0</v>
      </c>
      <c r="D216" s="93">
        <v>99.0</v>
      </c>
      <c r="E216" s="372">
        <v>2.0</v>
      </c>
      <c r="F216" s="372">
        <v>2.0</v>
      </c>
      <c r="G216" s="360"/>
      <c r="H216" s="360"/>
      <c r="I216" s="408">
        <f t="shared" si="4"/>
        <v>103.0</v>
      </c>
    </row>
    <row r="217" spans="8:8">
      <c r="A217" s="3" t="s">
        <v>234</v>
      </c>
      <c r="B217" s="4" t="s">
        <v>196</v>
      </c>
      <c r="C217" s="93">
        <v>1.0</v>
      </c>
      <c r="D217" s="93">
        <v>99.0</v>
      </c>
      <c r="E217" s="372">
        <v>2.0</v>
      </c>
      <c r="F217" s="372">
        <v>2.0</v>
      </c>
      <c r="G217" s="360"/>
      <c r="H217" s="360"/>
      <c r="I217" s="408">
        <f t="shared" si="4"/>
        <v>103.0</v>
      </c>
    </row>
    <row r="218" spans="8:8">
      <c r="A218" s="3" t="s">
        <v>235</v>
      </c>
      <c r="B218" s="4" t="s">
        <v>196</v>
      </c>
      <c r="C218" s="93">
        <v>1.0</v>
      </c>
      <c r="D218" s="93">
        <v>99.0</v>
      </c>
      <c r="E218" s="372">
        <v>2.0</v>
      </c>
      <c r="F218" s="372">
        <v>2.0</v>
      </c>
      <c r="G218" s="360"/>
      <c r="H218" s="360"/>
      <c r="I218" s="408">
        <f t="shared" si="4"/>
        <v>103.0</v>
      </c>
    </row>
    <row r="219" spans="8:8">
      <c r="A219" s="3" t="s">
        <v>236</v>
      </c>
      <c r="B219" s="4" t="s">
        <v>196</v>
      </c>
      <c r="C219" s="93">
        <v>1.0</v>
      </c>
      <c r="D219" s="93">
        <v>99.0</v>
      </c>
      <c r="E219" s="372">
        <v>2.0</v>
      </c>
      <c r="F219" s="372">
        <v>2.0</v>
      </c>
      <c r="G219" s="360"/>
      <c r="H219" s="360"/>
      <c r="I219" s="408">
        <f t="shared" si="4"/>
        <v>103.0</v>
      </c>
    </row>
    <row r="220" spans="8:8">
      <c r="A220" s="3" t="s">
        <v>237</v>
      </c>
      <c r="B220" s="4" t="s">
        <v>196</v>
      </c>
      <c r="C220" s="93">
        <v>1.0</v>
      </c>
      <c r="D220" s="93">
        <v>99.0</v>
      </c>
      <c r="E220" s="372">
        <v>2.0</v>
      </c>
      <c r="F220" s="372">
        <v>2.0</v>
      </c>
      <c r="G220" s="360"/>
      <c r="H220" s="360"/>
      <c r="I220" s="408">
        <f t="shared" si="4"/>
        <v>103.0</v>
      </c>
    </row>
    <row r="221" spans="8:8">
      <c r="A221" s="3" t="s">
        <v>238</v>
      </c>
      <c r="B221" s="4" t="s">
        <v>196</v>
      </c>
      <c r="C221" s="93">
        <v>1.0</v>
      </c>
      <c r="D221" s="93">
        <v>99.0</v>
      </c>
      <c r="E221" s="372">
        <v>2.0</v>
      </c>
      <c r="F221" s="372">
        <v>2.0</v>
      </c>
      <c r="G221" s="360"/>
      <c r="H221" s="360"/>
      <c r="I221" s="408">
        <f t="shared" si="4"/>
        <v>103.0</v>
      </c>
    </row>
    <row r="222" spans="8:8">
      <c r="A222" s="3" t="s">
        <v>239</v>
      </c>
      <c r="B222" s="4" t="s">
        <v>196</v>
      </c>
      <c r="C222" s="93">
        <v>1.0</v>
      </c>
      <c r="D222" s="93">
        <v>99.0</v>
      </c>
      <c r="E222" s="372">
        <v>2.0</v>
      </c>
      <c r="F222" s="372">
        <v>2.0</v>
      </c>
      <c r="G222" s="360"/>
      <c r="H222" s="360"/>
      <c r="I222" s="408">
        <f t="shared" si="4"/>
        <v>103.0</v>
      </c>
    </row>
    <row r="223" spans="8:8">
      <c r="A223" s="3" t="s">
        <v>240</v>
      </c>
      <c r="B223" s="4" t="s">
        <v>196</v>
      </c>
      <c r="C223" s="93">
        <v>1.0</v>
      </c>
      <c r="D223" s="93">
        <v>99.0</v>
      </c>
      <c r="E223" s="372">
        <v>2.0</v>
      </c>
      <c r="F223" s="372">
        <v>2.0</v>
      </c>
      <c r="G223" s="360"/>
      <c r="H223" s="360"/>
      <c r="I223" s="408">
        <f t="shared" si="4"/>
        <v>103.0</v>
      </c>
    </row>
    <row r="224" spans="8:8">
      <c r="A224" s="3" t="s">
        <v>241</v>
      </c>
      <c r="B224" s="16" t="s">
        <v>196</v>
      </c>
      <c r="C224" s="93">
        <v>1.0</v>
      </c>
      <c r="D224" s="93">
        <v>99.0</v>
      </c>
      <c r="E224" s="372">
        <v>2.0</v>
      </c>
      <c r="F224" s="372">
        <v>2.0</v>
      </c>
      <c r="G224" s="360"/>
      <c r="H224" s="360"/>
      <c r="I224" s="408">
        <f t="shared" si="4"/>
        <v>103.0</v>
      </c>
    </row>
    <row r="225" spans="8:8">
      <c r="A225" s="3" t="s">
        <v>242</v>
      </c>
      <c r="B225" s="4" t="s">
        <v>196</v>
      </c>
      <c r="C225" s="93">
        <v>1.0</v>
      </c>
      <c r="D225" s="93">
        <v>99.0</v>
      </c>
      <c r="E225" s="372">
        <v>2.0</v>
      </c>
      <c r="F225" s="372">
        <v>2.0</v>
      </c>
      <c r="G225" s="360"/>
      <c r="H225" s="360"/>
      <c r="I225" s="408">
        <f t="shared" si="4"/>
        <v>103.0</v>
      </c>
    </row>
    <row r="226" spans="8:8">
      <c r="A226" s="3" t="s">
        <v>243</v>
      </c>
      <c r="B226" s="4" t="s">
        <v>196</v>
      </c>
      <c r="C226" s="93">
        <v>1.0</v>
      </c>
      <c r="D226" s="93">
        <v>99.0</v>
      </c>
      <c r="E226" s="372">
        <v>2.0</v>
      </c>
      <c r="F226" s="372">
        <v>2.0</v>
      </c>
      <c r="G226" s="360"/>
      <c r="H226" s="360"/>
      <c r="I226" s="408">
        <f t="shared" si="4"/>
        <v>103.0</v>
      </c>
    </row>
    <row r="227" spans="8:8" s="49" ht="15.0" customFormat="1">
      <c r="A227" s="3" t="s">
        <v>244</v>
      </c>
      <c r="B227" s="4" t="s">
        <v>196</v>
      </c>
      <c r="C227" s="93">
        <v>1.0</v>
      </c>
      <c r="D227" s="93">
        <v>99.0</v>
      </c>
      <c r="E227" s="372">
        <v>2.0</v>
      </c>
      <c r="F227" s="372">
        <v>2.0</v>
      </c>
      <c r="G227" s="360"/>
      <c r="H227" s="360"/>
      <c r="I227" s="372">
        <f t="shared" si="4"/>
        <v>103.0</v>
      </c>
    </row>
    <row r="228" spans="8:8">
      <c r="A228" s="3" t="s">
        <v>246</v>
      </c>
      <c r="B228" s="4" t="s">
        <v>196</v>
      </c>
      <c r="C228" s="93">
        <v>1.0</v>
      </c>
      <c r="D228" s="93">
        <v>99.0</v>
      </c>
      <c r="E228" s="372">
        <v>2.0</v>
      </c>
      <c r="F228" s="372">
        <v>2.0</v>
      </c>
      <c r="G228" s="360"/>
      <c r="H228" s="360"/>
      <c r="I228" s="408">
        <f t="shared" si="4"/>
        <v>103.0</v>
      </c>
    </row>
    <row r="229" spans="8:8">
      <c r="A229" s="3" t="s">
        <v>247</v>
      </c>
      <c r="B229" s="4" t="s">
        <v>196</v>
      </c>
      <c r="C229" s="93">
        <v>1.0</v>
      </c>
      <c r="D229" s="93">
        <v>99.0</v>
      </c>
      <c r="E229" s="372">
        <v>2.0</v>
      </c>
      <c r="F229" s="372">
        <v>2.0</v>
      </c>
      <c r="G229" s="360"/>
      <c r="H229" s="360"/>
      <c r="I229" s="408">
        <f t="shared" si="4"/>
        <v>103.0</v>
      </c>
    </row>
    <row r="230" spans="8:8">
      <c r="A230" s="3" t="s">
        <v>248</v>
      </c>
      <c r="B230" s="4" t="s">
        <v>196</v>
      </c>
      <c r="C230" s="93">
        <v>1.0</v>
      </c>
      <c r="D230" s="93">
        <v>99.0</v>
      </c>
      <c r="E230" s="372">
        <v>2.0</v>
      </c>
      <c r="F230" s="372">
        <v>2.0</v>
      </c>
      <c r="G230" s="360"/>
      <c r="H230" s="360"/>
      <c r="I230" s="408">
        <f t="shared" si="4"/>
        <v>103.0</v>
      </c>
    </row>
    <row r="231" spans="8:8">
      <c r="A231" s="3" t="s">
        <v>249</v>
      </c>
      <c r="B231" s="4" t="s">
        <v>196</v>
      </c>
      <c r="C231" s="93">
        <v>1.0</v>
      </c>
      <c r="D231" s="93">
        <v>99.0</v>
      </c>
      <c r="E231" s="372">
        <v>2.0</v>
      </c>
      <c r="F231" s="372">
        <v>2.0</v>
      </c>
      <c r="G231" s="360"/>
      <c r="H231" s="360"/>
      <c r="I231" s="408">
        <f t="shared" si="4"/>
        <v>103.0</v>
      </c>
    </row>
    <row r="232" spans="8:8">
      <c r="A232" s="3" t="s">
        <v>250</v>
      </c>
      <c r="B232" s="4" t="s">
        <v>196</v>
      </c>
      <c r="C232" s="93">
        <v>1.0</v>
      </c>
      <c r="D232" s="93">
        <v>99.0</v>
      </c>
      <c r="E232" s="372">
        <v>2.0</v>
      </c>
      <c r="F232" s="372">
        <v>2.0</v>
      </c>
      <c r="G232" s="360"/>
      <c r="H232" s="360"/>
      <c r="I232" s="408">
        <f t="shared" si="4"/>
        <v>103.0</v>
      </c>
    </row>
    <row r="233" spans="8:8">
      <c r="A233" s="3" t="s">
        <v>251</v>
      </c>
      <c r="B233" s="4" t="s">
        <v>196</v>
      </c>
      <c r="C233" s="93">
        <v>1.0</v>
      </c>
      <c r="D233" s="93">
        <v>99.0</v>
      </c>
      <c r="E233" s="372">
        <v>2.0</v>
      </c>
      <c r="F233" s="372">
        <v>2.0</v>
      </c>
      <c r="G233" s="360"/>
      <c r="H233" s="360"/>
      <c r="I233" s="408">
        <f t="shared" si="4"/>
        <v>103.0</v>
      </c>
    </row>
    <row r="234" spans="8:8">
      <c r="A234" s="3" t="s">
        <v>252</v>
      </c>
      <c r="B234" s="4" t="s">
        <v>196</v>
      </c>
      <c r="C234" s="93">
        <v>1.0</v>
      </c>
      <c r="D234" s="93">
        <v>99.0</v>
      </c>
      <c r="E234" s="372">
        <v>2.0</v>
      </c>
      <c r="F234" s="372">
        <v>2.0</v>
      </c>
      <c r="G234" s="360"/>
      <c r="H234" s="360"/>
      <c r="I234" s="408">
        <f t="shared" si="4"/>
        <v>103.0</v>
      </c>
    </row>
    <row r="235" spans="8:8">
      <c r="A235" s="3" t="s">
        <v>253</v>
      </c>
      <c r="B235" s="4" t="s">
        <v>196</v>
      </c>
      <c r="C235" s="93">
        <v>1.0</v>
      </c>
      <c r="D235" s="93">
        <v>99.0</v>
      </c>
      <c r="E235" s="372">
        <v>2.0</v>
      </c>
      <c r="F235" s="372">
        <v>2.0</v>
      </c>
      <c r="G235" s="360"/>
      <c r="H235" s="360"/>
      <c r="I235" s="408">
        <f t="shared" si="4"/>
        <v>103.0</v>
      </c>
    </row>
    <row r="236" spans="8:8">
      <c r="A236" s="3" t="s">
        <v>254</v>
      </c>
      <c r="B236" s="4" t="s">
        <v>196</v>
      </c>
      <c r="C236" s="93">
        <v>1.0</v>
      </c>
      <c r="D236" s="93">
        <v>99.0</v>
      </c>
      <c r="E236" s="372">
        <v>2.0</v>
      </c>
      <c r="F236" s="372">
        <v>2.0</v>
      </c>
      <c r="G236" s="360"/>
      <c r="H236" s="360"/>
      <c r="I236" s="408">
        <f t="shared" si="4"/>
        <v>103.0</v>
      </c>
    </row>
    <row r="237" spans="8:8">
      <c r="A237" s="3" t="s">
        <v>255</v>
      </c>
      <c r="B237" s="4" t="s">
        <v>196</v>
      </c>
      <c r="C237" s="93">
        <v>1.0</v>
      </c>
      <c r="D237" s="93">
        <v>99.0</v>
      </c>
      <c r="E237" s="372">
        <v>2.0</v>
      </c>
      <c r="F237" s="372">
        <v>2.0</v>
      </c>
      <c r="G237" s="360"/>
      <c r="H237" s="360"/>
      <c r="I237" s="408">
        <f t="shared" si="4"/>
        <v>103.0</v>
      </c>
    </row>
    <row r="238" spans="8:8">
      <c r="A238" s="3" t="s">
        <v>256</v>
      </c>
      <c r="B238" s="4" t="s">
        <v>196</v>
      </c>
      <c r="C238" s="93">
        <v>1.0</v>
      </c>
      <c r="D238" s="93">
        <v>99.0</v>
      </c>
      <c r="E238" s="372">
        <v>2.0</v>
      </c>
      <c r="F238" s="372">
        <v>2.0</v>
      </c>
      <c r="G238" s="360"/>
      <c r="H238" s="360"/>
      <c r="I238" s="408">
        <f t="shared" si="4"/>
        <v>103.0</v>
      </c>
    </row>
    <row r="239" spans="8:8">
      <c r="A239" s="3" t="s">
        <v>257</v>
      </c>
      <c r="B239" s="4" t="s">
        <v>196</v>
      </c>
      <c r="C239" s="93">
        <v>1.0</v>
      </c>
      <c r="D239" s="93">
        <v>99.0</v>
      </c>
      <c r="E239" s="372">
        <v>2.0</v>
      </c>
      <c r="F239" s="372">
        <v>2.0</v>
      </c>
      <c r="G239" s="360"/>
      <c r="H239" s="360"/>
      <c r="I239" s="408">
        <f t="shared" si="4"/>
        <v>103.0</v>
      </c>
    </row>
    <row r="240" spans="8:8">
      <c r="A240" s="3" t="s">
        <v>258</v>
      </c>
      <c r="B240" s="4" t="s">
        <v>196</v>
      </c>
      <c r="C240" s="93">
        <v>1.0</v>
      </c>
      <c r="D240" s="93">
        <v>99.0</v>
      </c>
      <c r="E240" s="372">
        <v>2.0</v>
      </c>
      <c r="F240" s="372">
        <v>2.0</v>
      </c>
      <c r="G240" s="360"/>
      <c r="H240" s="360"/>
      <c r="I240" s="408">
        <f t="shared" si="4"/>
        <v>103.0</v>
      </c>
    </row>
    <row r="241" spans="8:8">
      <c r="A241" s="3" t="s">
        <v>259</v>
      </c>
      <c r="B241" s="4" t="s">
        <v>196</v>
      </c>
      <c r="C241" s="93">
        <v>1.0</v>
      </c>
      <c r="D241" s="93">
        <v>99.0</v>
      </c>
      <c r="E241" s="372">
        <v>2.0</v>
      </c>
      <c r="F241" s="372">
        <v>2.0</v>
      </c>
      <c r="G241" s="360"/>
      <c r="H241" s="360"/>
      <c r="I241" s="408">
        <f t="shared" si="4"/>
        <v>103.0</v>
      </c>
    </row>
    <row r="242" spans="8:8">
      <c r="A242" s="3" t="s">
        <v>260</v>
      </c>
      <c r="B242" s="4" t="s">
        <v>196</v>
      </c>
      <c r="C242" s="93">
        <v>33.0</v>
      </c>
      <c r="D242" s="93">
        <v>108.0</v>
      </c>
      <c r="E242" s="372">
        <v>2.0</v>
      </c>
      <c r="F242" s="372">
        <v>2.0</v>
      </c>
      <c r="G242" s="360"/>
      <c r="H242" s="360"/>
      <c r="I242" s="408">
        <f>SUM(C242:H242)</f>
        <v>145.0</v>
      </c>
    </row>
    <row r="243" spans="8:8">
      <c r="A243" s="3" t="s">
        <v>262</v>
      </c>
      <c r="B243" s="4" t="s">
        <v>196</v>
      </c>
      <c r="C243" s="93">
        <v>1.0</v>
      </c>
      <c r="D243" s="93">
        <v>108.0</v>
      </c>
      <c r="E243" s="372">
        <v>2.0</v>
      </c>
      <c r="F243" s="372">
        <v>2.0</v>
      </c>
      <c r="G243" s="360"/>
      <c r="H243" s="360"/>
      <c r="I243" s="408">
        <f t="shared" si="5" ref="I243:I258">SUM(D243:H243)</f>
        <v>112.0</v>
      </c>
    </row>
    <row r="244" spans="8:8">
      <c r="A244" s="3" t="s">
        <v>265</v>
      </c>
      <c r="B244" s="4" t="s">
        <v>196</v>
      </c>
      <c r="C244" s="93">
        <v>1.0</v>
      </c>
      <c r="D244" s="93">
        <v>99.0</v>
      </c>
      <c r="E244" s="372">
        <v>2.0</v>
      </c>
      <c r="F244" s="372">
        <v>2.0</v>
      </c>
      <c r="G244" s="360"/>
      <c r="H244" s="360"/>
      <c r="I244" s="408">
        <f t="shared" si="5"/>
        <v>103.0</v>
      </c>
    </row>
    <row r="245" spans="8:8">
      <c r="A245" s="3" t="s">
        <v>266</v>
      </c>
      <c r="B245" s="4" t="s">
        <v>196</v>
      </c>
      <c r="C245" s="93">
        <v>1.0</v>
      </c>
      <c r="D245" s="93">
        <v>99.0</v>
      </c>
      <c r="E245" s="372">
        <v>2.0</v>
      </c>
      <c r="F245" s="372">
        <v>2.0</v>
      </c>
      <c r="G245" s="360"/>
      <c r="H245" s="360"/>
      <c r="I245" s="408">
        <f t="shared" si="5"/>
        <v>103.0</v>
      </c>
    </row>
    <row r="246" spans="8:8">
      <c r="A246" s="3" t="s">
        <v>267</v>
      </c>
      <c r="B246" s="4" t="s">
        <v>196</v>
      </c>
      <c r="C246" s="93">
        <v>1.0</v>
      </c>
      <c r="D246" s="93">
        <v>99.0</v>
      </c>
      <c r="E246" s="372">
        <v>2.0</v>
      </c>
      <c r="F246" s="372">
        <v>2.0</v>
      </c>
      <c r="G246" s="360"/>
      <c r="H246" s="360"/>
      <c r="I246" s="408">
        <f t="shared" si="5"/>
        <v>103.0</v>
      </c>
    </row>
    <row r="247" spans="8:8">
      <c r="A247" s="3" t="s">
        <v>268</v>
      </c>
      <c r="B247" s="4" t="s">
        <v>196</v>
      </c>
      <c r="C247" s="93">
        <v>1.0</v>
      </c>
      <c r="D247" s="93">
        <v>99.0</v>
      </c>
      <c r="E247" s="372">
        <v>2.0</v>
      </c>
      <c r="F247" s="372">
        <v>2.0</v>
      </c>
      <c r="G247" s="360"/>
      <c r="H247" s="360"/>
      <c r="I247" s="408">
        <f t="shared" si="5"/>
        <v>103.0</v>
      </c>
    </row>
    <row r="248" spans="8:8">
      <c r="A248" s="3" t="s">
        <v>269</v>
      </c>
      <c r="B248" s="4" t="s">
        <v>196</v>
      </c>
      <c r="C248" s="93">
        <v>1.0</v>
      </c>
      <c r="D248" s="93">
        <v>99.0</v>
      </c>
      <c r="E248" s="372">
        <v>2.0</v>
      </c>
      <c r="F248" s="372">
        <v>2.0</v>
      </c>
      <c r="G248" s="360"/>
      <c r="H248" s="360"/>
      <c r="I248" s="408">
        <f t="shared" si="5"/>
        <v>103.0</v>
      </c>
    </row>
    <row r="249" spans="8:8">
      <c r="A249" s="3" t="s">
        <v>270</v>
      </c>
      <c r="B249" s="4" t="s">
        <v>196</v>
      </c>
      <c r="C249" s="93">
        <v>1.0</v>
      </c>
      <c r="D249" s="93">
        <v>99.0</v>
      </c>
      <c r="E249" s="372">
        <v>2.0</v>
      </c>
      <c r="F249" s="372">
        <v>2.0</v>
      </c>
      <c r="G249" s="360"/>
      <c r="H249" s="360"/>
      <c r="I249" s="408">
        <f t="shared" si="5"/>
        <v>103.0</v>
      </c>
    </row>
    <row r="250" spans="8:8">
      <c r="A250" s="3" t="s">
        <v>271</v>
      </c>
      <c r="B250" s="4" t="s">
        <v>196</v>
      </c>
      <c r="C250" s="93">
        <v>1.0</v>
      </c>
      <c r="D250" s="93">
        <v>99.0</v>
      </c>
      <c r="E250" s="372">
        <v>2.0</v>
      </c>
      <c r="F250" s="372">
        <v>2.0</v>
      </c>
      <c r="G250" s="360"/>
      <c r="H250" s="360"/>
      <c r="I250" s="408">
        <f t="shared" si="5"/>
        <v>103.0</v>
      </c>
    </row>
    <row r="251" spans="8:8">
      <c r="A251" s="3" t="s">
        <v>272</v>
      </c>
      <c r="B251" s="4" t="s">
        <v>196</v>
      </c>
      <c r="C251" s="93">
        <v>1.0</v>
      </c>
      <c r="D251" s="93">
        <v>99.0</v>
      </c>
      <c r="E251" s="372">
        <v>2.0</v>
      </c>
      <c r="F251" s="372">
        <v>2.0</v>
      </c>
      <c r="G251" s="360"/>
      <c r="H251" s="360"/>
      <c r="I251" s="408">
        <f t="shared" si="5"/>
        <v>103.0</v>
      </c>
    </row>
    <row r="252" spans="8:8">
      <c r="A252" s="3" t="s">
        <v>273</v>
      </c>
      <c r="B252" s="4" t="s">
        <v>196</v>
      </c>
      <c r="C252" s="93">
        <v>1.0</v>
      </c>
      <c r="D252" s="93">
        <v>99.0</v>
      </c>
      <c r="E252" s="372">
        <v>2.0</v>
      </c>
      <c r="F252" s="372">
        <v>2.0</v>
      </c>
      <c r="G252" s="360"/>
      <c r="H252" s="360"/>
      <c r="I252" s="408">
        <f t="shared" si="5"/>
        <v>103.0</v>
      </c>
    </row>
    <row r="253" spans="8:8">
      <c r="A253" s="3" t="s">
        <v>274</v>
      </c>
      <c r="B253" s="4" t="s">
        <v>196</v>
      </c>
      <c r="C253" s="93">
        <v>1.0</v>
      </c>
      <c r="D253" s="93">
        <v>99.0</v>
      </c>
      <c r="E253" s="372">
        <v>2.0</v>
      </c>
      <c r="F253" s="372">
        <v>2.0</v>
      </c>
      <c r="G253" s="360"/>
      <c r="H253" s="360"/>
      <c r="I253" s="408">
        <f t="shared" si="5"/>
        <v>103.0</v>
      </c>
    </row>
    <row r="254" spans="8:8">
      <c r="A254" s="3" t="s">
        <v>275</v>
      </c>
      <c r="B254" s="4" t="s">
        <v>196</v>
      </c>
      <c r="C254" s="93">
        <v>1.0</v>
      </c>
      <c r="D254" s="93">
        <v>99.0</v>
      </c>
      <c r="E254" s="372">
        <v>2.0</v>
      </c>
      <c r="F254" s="372">
        <v>2.0</v>
      </c>
      <c r="G254" s="360"/>
      <c r="H254" s="360"/>
      <c r="I254" s="408">
        <f t="shared" si="5"/>
        <v>103.0</v>
      </c>
    </row>
    <row r="255" spans="8:8">
      <c r="A255" s="3" t="s">
        <v>276</v>
      </c>
      <c r="B255" s="4" t="s">
        <v>196</v>
      </c>
      <c r="C255" s="93">
        <v>1.0</v>
      </c>
      <c r="D255" s="93">
        <v>99.0</v>
      </c>
      <c r="E255" s="372">
        <v>2.0</v>
      </c>
      <c r="F255" s="372">
        <v>2.0</v>
      </c>
      <c r="G255" s="360"/>
      <c r="H255" s="360"/>
      <c r="I255" s="408">
        <f t="shared" si="5"/>
        <v>103.0</v>
      </c>
    </row>
    <row r="256" spans="8:8">
      <c r="A256" s="382" t="s">
        <v>407</v>
      </c>
      <c r="B256" s="4" t="s">
        <v>196</v>
      </c>
      <c r="C256" s="93">
        <v>1.0</v>
      </c>
      <c r="D256" s="93">
        <v>179.0</v>
      </c>
      <c r="E256" s="372">
        <v>2.0</v>
      </c>
      <c r="F256" s="372">
        <v>2.0</v>
      </c>
      <c r="G256" s="360"/>
      <c r="H256" s="360"/>
      <c r="I256" s="408">
        <f t="shared" si="5"/>
        <v>183.0</v>
      </c>
    </row>
    <row r="257" spans="8:8">
      <c r="A257" s="382" t="s">
        <v>408</v>
      </c>
      <c r="B257" s="4" t="s">
        <v>196</v>
      </c>
      <c r="C257" s="93">
        <v>1.0</v>
      </c>
      <c r="D257" s="93">
        <v>180.0</v>
      </c>
      <c r="E257" s="372">
        <v>2.0</v>
      </c>
      <c r="F257" s="372">
        <v>2.0</v>
      </c>
      <c r="G257" s="360"/>
      <c r="H257" s="360"/>
      <c r="I257" s="408">
        <f t="shared" si="5"/>
        <v>184.0</v>
      </c>
    </row>
    <row r="258" spans="8:8">
      <c r="A258" s="15" t="s">
        <v>277</v>
      </c>
      <c r="B258" s="4" t="s">
        <v>196</v>
      </c>
      <c r="C258" s="93">
        <v>1.0</v>
      </c>
      <c r="D258" s="93">
        <v>99.0</v>
      </c>
      <c r="E258" s="372">
        <v>2.0</v>
      </c>
      <c r="F258" s="372">
        <v>2.0</v>
      </c>
      <c r="G258" s="360"/>
      <c r="H258" s="360"/>
      <c r="I258" s="408">
        <f t="shared" si="5"/>
        <v>103.0</v>
      </c>
    </row>
    <row r="259" spans="8:8" ht="15.75">
      <c r="A259" s="388" t="s">
        <v>280</v>
      </c>
      <c r="B259" s="389" t="s">
        <v>196</v>
      </c>
      <c r="C259" s="391">
        <v>33.0</v>
      </c>
      <c r="D259" s="391">
        <v>107.0</v>
      </c>
      <c r="E259" s="392">
        <v>2.0</v>
      </c>
      <c r="F259" s="392">
        <v>2.0</v>
      </c>
      <c r="G259" s="397"/>
      <c r="H259" s="397"/>
      <c r="I259" s="409">
        <f t="shared" si="6" ref="I259:I270">SUM(C259:H259)</f>
        <v>144.0</v>
      </c>
    </row>
    <row r="260" spans="8:8" ht="15.75">
      <c r="A260" s="336" t="s">
        <v>281</v>
      </c>
      <c r="B260" s="399" t="s">
        <v>282</v>
      </c>
      <c r="C260" s="425">
        <v>150.0</v>
      </c>
      <c r="D260" s="369"/>
      <c r="E260" s="370"/>
      <c r="F260" s="370"/>
      <c r="G260" s="395"/>
      <c r="H260" s="395"/>
      <c r="I260" s="426">
        <f t="shared" si="6"/>
        <v>150.0</v>
      </c>
    </row>
    <row r="261" spans="8:8" ht="15.75">
      <c r="A261" s="400" t="s">
        <v>283</v>
      </c>
      <c r="B261" s="401" t="s">
        <v>282</v>
      </c>
      <c r="C261" s="427">
        <v>150.0</v>
      </c>
      <c r="D261" s="402"/>
      <c r="E261" s="392"/>
      <c r="F261" s="392"/>
      <c r="G261" s="397"/>
      <c r="H261" s="397"/>
      <c r="I261" s="428">
        <f t="shared" si="6"/>
        <v>150.0</v>
      </c>
    </row>
    <row r="262" spans="8:8" ht="15.75">
      <c r="A262" s="336" t="s">
        <v>284</v>
      </c>
      <c r="B262" s="399" t="s">
        <v>285</v>
      </c>
      <c r="C262" s="429">
        <v>1.0</v>
      </c>
      <c r="D262" s="369"/>
      <c r="E262" s="370"/>
      <c r="F262" s="370"/>
      <c r="G262" s="395"/>
      <c r="H262" s="395"/>
      <c r="I262" s="426">
        <f t="shared" si="6"/>
        <v>1.0</v>
      </c>
    </row>
    <row r="263" spans="8:8">
      <c r="A263" s="207" t="s">
        <v>286</v>
      </c>
      <c r="B263" s="208" t="s">
        <v>285</v>
      </c>
      <c r="C263" s="430">
        <v>1.0</v>
      </c>
      <c r="D263" s="371"/>
      <c r="E263" s="372"/>
      <c r="F263" s="372"/>
      <c r="G263" s="360"/>
      <c r="H263" s="360"/>
      <c r="I263" s="431">
        <f t="shared" si="6"/>
        <v>1.0</v>
      </c>
    </row>
    <row r="264" spans="8:8">
      <c r="A264" s="15" t="s">
        <v>4</v>
      </c>
      <c r="B264" s="16" t="s">
        <v>285</v>
      </c>
      <c r="C264" s="430">
        <v>2.0</v>
      </c>
      <c r="D264" s="371"/>
      <c r="E264" s="372"/>
      <c r="F264" s="372"/>
      <c r="G264" s="360"/>
      <c r="H264" s="360"/>
      <c r="I264" s="431">
        <f t="shared" si="6"/>
        <v>2.0</v>
      </c>
    </row>
    <row r="265" spans="8:8">
      <c r="A265" s="15" t="s">
        <v>406</v>
      </c>
      <c r="B265" s="16" t="s">
        <v>285</v>
      </c>
      <c r="C265" s="430">
        <v>5.0</v>
      </c>
      <c r="D265" s="371"/>
      <c r="E265" s="372"/>
      <c r="F265" s="372"/>
      <c r="G265" s="360"/>
      <c r="H265" s="360"/>
      <c r="I265" s="431">
        <f t="shared" si="6"/>
        <v>5.0</v>
      </c>
    </row>
    <row r="266" spans="8:8">
      <c r="A266" s="207" t="s">
        <v>287</v>
      </c>
      <c r="B266" s="16" t="s">
        <v>285</v>
      </c>
      <c r="C266" s="430">
        <v>4.0</v>
      </c>
      <c r="D266" s="371"/>
      <c r="E266" s="372"/>
      <c r="F266" s="372"/>
      <c r="G266" s="360"/>
      <c r="H266" s="360"/>
      <c r="I266" s="431">
        <f t="shared" si="6"/>
        <v>4.0</v>
      </c>
    </row>
    <row r="267" spans="8:8">
      <c r="A267" s="15" t="s">
        <v>319</v>
      </c>
      <c r="B267" s="16" t="s">
        <v>285</v>
      </c>
      <c r="C267" s="430">
        <v>3.0</v>
      </c>
      <c r="D267" s="372"/>
      <c r="E267" s="372"/>
      <c r="F267" s="372"/>
      <c r="G267" s="360"/>
      <c r="H267" s="360"/>
      <c r="I267" s="431">
        <f t="shared" si="6"/>
        <v>3.0</v>
      </c>
    </row>
    <row r="268" spans="8:8">
      <c r="A268" s="15" t="s">
        <v>5</v>
      </c>
      <c r="B268" s="16" t="s">
        <v>285</v>
      </c>
      <c r="C268" s="430">
        <v>2.0</v>
      </c>
      <c r="D268" s="3"/>
      <c r="E268" s="372"/>
      <c r="F268" s="372"/>
      <c r="G268" s="360"/>
      <c r="H268" s="360"/>
      <c r="I268" s="431">
        <f t="shared" si="6"/>
        <v>2.0</v>
      </c>
    </row>
    <row r="269" spans="8:8" ht="15.75">
      <c r="A269" s="404" t="s">
        <v>288</v>
      </c>
      <c r="B269" s="396" t="s">
        <v>285</v>
      </c>
      <c r="C269" s="432">
        <v>6.0</v>
      </c>
      <c r="D269" s="388"/>
      <c r="E269" s="392"/>
      <c r="F269" s="392"/>
      <c r="G269" s="397"/>
      <c r="H269" s="397"/>
      <c r="I269" s="428">
        <f t="shared" si="6"/>
        <v>6.0</v>
      </c>
    </row>
    <row r="270" spans="8:8" ht="15.75">
      <c r="A270" s="336" t="s">
        <v>291</v>
      </c>
      <c r="B270" s="399" t="s">
        <v>290</v>
      </c>
      <c r="C270" s="429">
        <v>20.0</v>
      </c>
      <c r="D270" s="429">
        <v>29.0</v>
      </c>
      <c r="E270" s="370">
        <v>2.0</v>
      </c>
      <c r="F270" s="370">
        <v>2.0</v>
      </c>
      <c r="G270" s="395"/>
      <c r="H270" s="395"/>
      <c r="I270" s="426">
        <f t="shared" si="6"/>
        <v>53.0</v>
      </c>
    </row>
    <row r="271" spans="8:8">
      <c r="A271" s="39"/>
      <c r="C271" s="161"/>
    </row>
    <row r="272" spans="8:8">
      <c r="A272" s="39"/>
      <c r="C272" s="161"/>
    </row>
  </sheetData>
  <pageMargins left="0.3937007874015748" right="0.0" top="0.35433070866141736" bottom="0.0" header="0.31496062992125984" footer="0.31496062992125984"/>
</worksheet>
</file>

<file path=xl/worksheets/sheet34.xml><?xml version="1.0" encoding="utf-8"?>
<worksheet xmlns:r="http://schemas.openxmlformats.org/officeDocument/2006/relationships" xmlns="http://schemas.openxmlformats.org/spreadsheetml/2006/main">
  <dimension ref="A1:P302"/>
  <sheetViews>
    <sheetView workbookViewId="0" zoomScale="82">
      <pane ySplit="1" topLeftCell="A164" state="frozen" activePane="bottomLeft"/>
      <selection pane="bottomLeft" activeCell="A114" sqref="A114:XFD114"/>
    </sheetView>
  </sheetViews>
  <sheetFormatPr defaultRowHeight="15.0" defaultColWidth="10"/>
  <cols>
    <col min="1" max="1" customWidth="1" width="49.85547" style="38"/>
    <col min="2" max="2" customWidth="1" width="14.285156" style="39"/>
    <col min="3" max="3" customWidth="1" width="14.5703125" style="40"/>
    <col min="4" max="5" customWidth="1" width="18.140625" style="163"/>
    <col min="6" max="6" customWidth="1" width="19.710938" style="163"/>
    <col min="7" max="7" customWidth="1" width="14.5703125" style="314"/>
    <col min="8" max="8" customWidth="1" width="19.710938" style="244"/>
    <col min="9" max="9" customWidth="1" width="17.0" style="39"/>
    <col min="10" max="12" customWidth="1" bestFit="1" width="16.0" style="39"/>
    <col min="13" max="13" customWidth="1" bestFit="1" width="17.285156" style="39"/>
    <col min="14" max="14" customWidth="0" width="11.425781" style="39"/>
    <col min="15" max="15" customWidth="1" bestFit="1" width="14.140625" style="39"/>
    <col min="16" max="16384" customWidth="0" width="11.425781" style="39"/>
  </cols>
  <sheetData>
    <row r="1" spans="8:8" ht="15.75">
      <c r="A1" s="383" t="s">
        <v>0</v>
      </c>
      <c r="B1" s="384" t="s">
        <v>1</v>
      </c>
      <c r="C1" s="385" t="s">
        <v>416</v>
      </c>
      <c r="D1" s="385" t="s">
        <v>3</v>
      </c>
      <c r="E1" s="386" t="s">
        <v>4</v>
      </c>
      <c r="F1" s="386" t="s">
        <v>5</v>
      </c>
      <c r="G1" s="386" t="s">
        <v>406</v>
      </c>
      <c r="H1" s="386" t="s">
        <v>319</v>
      </c>
      <c r="I1" s="387" t="s">
        <v>434</v>
      </c>
    </row>
    <row r="2" spans="8:8" ht="15.75">
      <c r="A2" s="10" t="s">
        <v>7</v>
      </c>
      <c r="B2" s="11" t="s">
        <v>8</v>
      </c>
      <c r="C2" s="433">
        <v>1.0</v>
      </c>
      <c r="D2" s="76">
        <v>35.0</v>
      </c>
      <c r="E2" s="370">
        <v>2.0</v>
      </c>
      <c r="F2" s="370">
        <v>2.0</v>
      </c>
      <c r="G2" s="316"/>
      <c r="H2" s="362"/>
      <c r="I2" s="13">
        <f>SUM(C2:H2)</f>
        <v>40.0</v>
      </c>
    </row>
    <row r="3" spans="8:8">
      <c r="A3" s="3" t="s">
        <v>9</v>
      </c>
      <c r="B3" s="4" t="s">
        <v>8</v>
      </c>
      <c r="C3" s="93">
        <v>1.0</v>
      </c>
      <c r="D3" s="93">
        <v>35.0</v>
      </c>
      <c r="E3" s="370">
        <v>2.0</v>
      </c>
      <c r="F3" s="370">
        <v>2.0</v>
      </c>
      <c r="G3" s="329"/>
      <c r="H3" s="329"/>
      <c r="I3" s="6">
        <f>SUM(C3:H3)</f>
        <v>40.0</v>
      </c>
    </row>
    <row r="4" spans="8:8">
      <c r="A4" s="3" t="s">
        <v>10</v>
      </c>
      <c r="B4" s="4" t="s">
        <v>8</v>
      </c>
      <c r="C4" s="93">
        <v>1.0</v>
      </c>
      <c r="D4" s="93">
        <v>35.0</v>
      </c>
      <c r="E4" s="370">
        <v>2.0</v>
      </c>
      <c r="F4" s="370">
        <v>2.0</v>
      </c>
      <c r="G4" s="329"/>
      <c r="H4" s="329"/>
      <c r="I4" s="6">
        <f>SUM(C4:H4)</f>
        <v>40.0</v>
      </c>
    </row>
    <row r="5" spans="8:8" ht="15.75">
      <c r="A5" s="388" t="s">
        <v>11</v>
      </c>
      <c r="B5" s="389" t="s">
        <v>8</v>
      </c>
      <c r="C5" s="391">
        <v>1.0</v>
      </c>
      <c r="D5" s="391">
        <v>31.0</v>
      </c>
      <c r="E5" s="392">
        <v>2.0</v>
      </c>
      <c r="F5" s="392">
        <v>2.0</v>
      </c>
      <c r="G5" s="393"/>
      <c r="H5" s="393"/>
      <c r="I5" s="394">
        <f>SUM(C5:H5)</f>
        <v>36.0</v>
      </c>
    </row>
    <row r="6" spans="8:8" ht="31.5" customHeight="1">
      <c r="A6" s="434" t="s">
        <v>436</v>
      </c>
      <c r="B6" s="435" t="s">
        <v>435</v>
      </c>
      <c r="C6" s="433"/>
      <c r="D6" s="433">
        <v>35.0</v>
      </c>
      <c r="E6" s="436">
        <v>6.0</v>
      </c>
      <c r="F6" s="436">
        <v>6.0</v>
      </c>
      <c r="G6" s="437"/>
      <c r="H6" s="437">
        <v>3.0</v>
      </c>
      <c r="I6" s="438">
        <v>50.0</v>
      </c>
      <c r="J6" s="48">
        <f>SUM(D6:H6)</f>
        <v>50.0</v>
      </c>
      <c r="K6" s="212">
        <f>SUM(D6:I6)</f>
        <v>100.0</v>
      </c>
    </row>
    <row r="7" spans="8:8" ht="39.75" customHeight="1">
      <c r="A7" s="434" t="s">
        <v>439</v>
      </c>
      <c r="B7" s="435" t="s">
        <v>435</v>
      </c>
      <c r="C7" s="433"/>
      <c r="D7" s="433">
        <v>45.0</v>
      </c>
      <c r="E7" s="436">
        <v>6.0</v>
      </c>
      <c r="F7" s="436">
        <v>6.0</v>
      </c>
      <c r="G7" s="437"/>
      <c r="H7" s="437">
        <v>3.0</v>
      </c>
      <c r="I7" s="438">
        <v>50.0</v>
      </c>
      <c r="J7" s="48">
        <f>SUM(D7:H7)</f>
        <v>60.0</v>
      </c>
      <c r="K7" s="212">
        <f>SUM(D7:I7)</f>
        <v>110.0</v>
      </c>
    </row>
    <row r="8" spans="8:8">
      <c r="A8" s="353" t="s">
        <v>426</v>
      </c>
      <c r="B8" s="25" t="s">
        <v>13</v>
      </c>
      <c r="C8" s="118">
        <v>18.0</v>
      </c>
      <c r="D8" s="118">
        <v>15.0</v>
      </c>
      <c r="E8" s="370">
        <v>2.0</v>
      </c>
      <c r="F8" s="370">
        <v>2.0</v>
      </c>
      <c r="G8" s="395"/>
      <c r="H8" s="370">
        <v>3.0</v>
      </c>
      <c r="I8" s="13">
        <f>SUM(C8:H8)</f>
        <v>40.0</v>
      </c>
    </row>
    <row r="9" spans="8:8" s="49" ht="15.0" customFormat="1">
      <c r="A9" s="206" t="s">
        <v>433</v>
      </c>
      <c r="B9" s="16" t="s">
        <v>13</v>
      </c>
      <c r="C9" s="93"/>
      <c r="D9" s="93"/>
      <c r="E9" s="372"/>
      <c r="F9" s="372"/>
      <c r="G9" s="360"/>
      <c r="H9" s="372"/>
      <c r="I9" s="43">
        <f>I8*2</f>
        <v>80.0</v>
      </c>
    </row>
    <row r="10" spans="8:8">
      <c r="A10" s="3" t="s">
        <v>15</v>
      </c>
      <c r="B10" s="4" t="s">
        <v>13</v>
      </c>
      <c r="C10" s="93">
        <v>18.0</v>
      </c>
      <c r="D10" s="93">
        <v>15.0</v>
      </c>
      <c r="E10" s="372">
        <v>2.0</v>
      </c>
      <c r="F10" s="372">
        <v>2.0</v>
      </c>
      <c r="G10" s="360"/>
      <c r="H10" s="372">
        <v>3.0</v>
      </c>
      <c r="I10" s="6">
        <f t="shared" si="0" ref="I10:I57">SUM(C10:H10)</f>
        <v>40.0</v>
      </c>
    </row>
    <row r="11" spans="8:8">
      <c r="A11" s="3" t="s">
        <v>16</v>
      </c>
      <c r="B11" s="4" t="s">
        <v>13</v>
      </c>
      <c r="C11" s="93">
        <v>18.0</v>
      </c>
      <c r="D11" s="93">
        <v>15.0</v>
      </c>
      <c r="E11" s="372">
        <v>2.0</v>
      </c>
      <c r="F11" s="372">
        <v>2.0</v>
      </c>
      <c r="G11" s="360"/>
      <c r="H11" s="372">
        <v>3.0</v>
      </c>
      <c r="I11" s="6">
        <f t="shared" si="0"/>
        <v>40.0</v>
      </c>
    </row>
    <row r="12" spans="8:8">
      <c r="A12" s="3" t="s">
        <v>17</v>
      </c>
      <c r="B12" s="4" t="s">
        <v>13</v>
      </c>
      <c r="C12" s="93">
        <v>25.0</v>
      </c>
      <c r="D12" s="93">
        <v>33.0</v>
      </c>
      <c r="E12" s="372">
        <v>2.0</v>
      </c>
      <c r="F12" s="372">
        <v>2.0</v>
      </c>
      <c r="G12" s="360"/>
      <c r="H12" s="372">
        <v>3.0</v>
      </c>
      <c r="I12" s="6">
        <f t="shared" si="0"/>
        <v>65.0</v>
      </c>
    </row>
    <row r="13" spans="8:8">
      <c r="A13" s="3" t="s">
        <v>18</v>
      </c>
      <c r="B13" s="4" t="s">
        <v>13</v>
      </c>
      <c r="C13" s="93">
        <v>22.0</v>
      </c>
      <c r="D13" s="93">
        <v>21.0</v>
      </c>
      <c r="E13" s="372">
        <v>2.0</v>
      </c>
      <c r="F13" s="372">
        <v>2.0</v>
      </c>
      <c r="G13" s="360"/>
      <c r="H13" s="372">
        <v>3.0</v>
      </c>
      <c r="I13" s="6">
        <f t="shared" si="0"/>
        <v>50.0</v>
      </c>
    </row>
    <row r="14" spans="8:8">
      <c r="A14" s="3" t="s">
        <v>19</v>
      </c>
      <c r="B14" s="4" t="s">
        <v>13</v>
      </c>
      <c r="C14" s="93">
        <v>22.0</v>
      </c>
      <c r="D14" s="93">
        <v>21.0</v>
      </c>
      <c r="E14" s="372">
        <v>2.0</v>
      </c>
      <c r="F14" s="372">
        <v>2.0</v>
      </c>
      <c r="G14" s="360"/>
      <c r="H14" s="372">
        <v>3.0</v>
      </c>
      <c r="I14" s="6">
        <f t="shared" si="0"/>
        <v>50.0</v>
      </c>
    </row>
    <row r="15" spans="8:8">
      <c r="A15" s="3" t="s">
        <v>20</v>
      </c>
      <c r="B15" s="4" t="s">
        <v>13</v>
      </c>
      <c r="C15" s="93">
        <v>22.0</v>
      </c>
      <c r="D15" s="93">
        <v>21.0</v>
      </c>
      <c r="E15" s="372">
        <v>2.0</v>
      </c>
      <c r="F15" s="372">
        <v>2.0</v>
      </c>
      <c r="G15" s="360"/>
      <c r="H15" s="372">
        <v>3.0</v>
      </c>
      <c r="I15" s="6">
        <f t="shared" si="0"/>
        <v>50.0</v>
      </c>
    </row>
    <row r="16" spans="8:8">
      <c r="A16" s="206" t="s">
        <v>21</v>
      </c>
      <c r="B16" s="4" t="s">
        <v>13</v>
      </c>
      <c r="C16" s="93">
        <v>25.0</v>
      </c>
      <c r="D16" s="93">
        <v>33.0</v>
      </c>
      <c r="E16" s="372">
        <v>2.0</v>
      </c>
      <c r="F16" s="372">
        <v>2.0</v>
      </c>
      <c r="G16" s="360"/>
      <c r="H16" s="372">
        <v>3.0</v>
      </c>
      <c r="I16" s="6">
        <f>I15*2</f>
        <v>100.0</v>
      </c>
    </row>
    <row r="17" spans="8:8">
      <c r="A17" s="15" t="s">
        <v>22</v>
      </c>
      <c r="B17" s="16" t="s">
        <v>13</v>
      </c>
      <c r="C17" s="93">
        <v>22.0</v>
      </c>
      <c r="D17" s="93">
        <v>21.0</v>
      </c>
      <c r="E17" s="372">
        <v>2.0</v>
      </c>
      <c r="F17" s="372">
        <v>2.0</v>
      </c>
      <c r="G17" s="360"/>
      <c r="H17" s="372">
        <v>3.0</v>
      </c>
      <c r="I17" s="6">
        <f t="shared" si="0"/>
        <v>50.0</v>
      </c>
    </row>
    <row r="18" spans="8:8">
      <c r="A18" s="206" t="s">
        <v>23</v>
      </c>
      <c r="B18" s="16" t="s">
        <v>13</v>
      </c>
      <c r="C18" s="93">
        <v>25.0</v>
      </c>
      <c r="D18" s="93">
        <v>33.0</v>
      </c>
      <c r="E18" s="372">
        <v>2.0</v>
      </c>
      <c r="F18" s="372">
        <v>2.0</v>
      </c>
      <c r="G18" s="360"/>
      <c r="H18" s="372">
        <v>3.0</v>
      </c>
      <c r="I18" s="6">
        <f>I17*2</f>
        <v>100.0</v>
      </c>
    </row>
    <row r="19" spans="8:8">
      <c r="A19" s="3" t="s">
        <v>24</v>
      </c>
      <c r="B19" s="16" t="s">
        <v>13</v>
      </c>
      <c r="C19" s="93">
        <v>22.0</v>
      </c>
      <c r="D19" s="93">
        <v>21.0</v>
      </c>
      <c r="E19" s="372">
        <v>2.0</v>
      </c>
      <c r="F19" s="372">
        <v>2.0</v>
      </c>
      <c r="G19" s="360"/>
      <c r="H19" s="372">
        <v>3.0</v>
      </c>
      <c r="I19" s="6">
        <f t="shared" si="0"/>
        <v>50.0</v>
      </c>
    </row>
    <row r="20" spans="8:8">
      <c r="A20" s="3" t="s">
        <v>25</v>
      </c>
      <c r="B20" s="4" t="s">
        <v>13</v>
      </c>
      <c r="C20" s="93">
        <v>22.0</v>
      </c>
      <c r="D20" s="93">
        <v>21.0</v>
      </c>
      <c r="E20" s="372">
        <v>2.0</v>
      </c>
      <c r="F20" s="372">
        <v>2.0</v>
      </c>
      <c r="G20" s="360"/>
      <c r="H20" s="372">
        <v>3.0</v>
      </c>
      <c r="I20" s="6">
        <f t="shared" si="0"/>
        <v>50.0</v>
      </c>
    </row>
    <row r="21" spans="8:8">
      <c r="A21" s="3" t="s">
        <v>26</v>
      </c>
      <c r="B21" s="4" t="s">
        <v>13</v>
      </c>
      <c r="C21" s="93">
        <v>22.0</v>
      </c>
      <c r="D21" s="93">
        <v>21.0</v>
      </c>
      <c r="E21" s="372">
        <v>2.0</v>
      </c>
      <c r="F21" s="372">
        <v>2.0</v>
      </c>
      <c r="G21" s="360"/>
      <c r="H21" s="372">
        <v>3.0</v>
      </c>
      <c r="I21" s="6">
        <f t="shared" si="0"/>
        <v>50.0</v>
      </c>
    </row>
    <row r="22" spans="8:8">
      <c r="A22" s="3" t="s">
        <v>27</v>
      </c>
      <c r="B22" s="4" t="s">
        <v>13</v>
      </c>
      <c r="C22" s="93">
        <v>22.0</v>
      </c>
      <c r="D22" s="93">
        <v>21.0</v>
      </c>
      <c r="E22" s="372">
        <v>2.0</v>
      </c>
      <c r="F22" s="372">
        <v>2.0</v>
      </c>
      <c r="G22" s="360"/>
      <c r="H22" s="372">
        <v>3.0</v>
      </c>
      <c r="I22" s="6">
        <f t="shared" si="0"/>
        <v>50.0</v>
      </c>
    </row>
    <row r="23" spans="8:8">
      <c r="A23" s="3" t="s">
        <v>28</v>
      </c>
      <c r="B23" s="4" t="s">
        <v>13</v>
      </c>
      <c r="C23" s="93">
        <v>22.0</v>
      </c>
      <c r="D23" s="93">
        <v>21.0</v>
      </c>
      <c r="E23" s="372">
        <v>2.0</v>
      </c>
      <c r="F23" s="372">
        <v>2.0</v>
      </c>
      <c r="G23" s="360"/>
      <c r="H23" s="372">
        <v>3.0</v>
      </c>
      <c r="I23" s="6">
        <f t="shared" si="0"/>
        <v>50.0</v>
      </c>
    </row>
    <row r="24" spans="8:8">
      <c r="A24" s="3" t="s">
        <v>29</v>
      </c>
      <c r="B24" s="4" t="s">
        <v>13</v>
      </c>
      <c r="C24" s="93">
        <v>22.0</v>
      </c>
      <c r="D24" s="93">
        <v>21.0</v>
      </c>
      <c r="E24" s="372">
        <v>2.0</v>
      </c>
      <c r="F24" s="372">
        <v>2.0</v>
      </c>
      <c r="G24" s="360"/>
      <c r="H24" s="372">
        <v>3.0</v>
      </c>
      <c r="I24" s="6">
        <f t="shared" si="0"/>
        <v>50.0</v>
      </c>
    </row>
    <row r="25" spans="8:8">
      <c r="A25" s="14" t="s">
        <v>427</v>
      </c>
      <c r="B25" s="4" t="s">
        <v>13</v>
      </c>
      <c r="C25" s="93">
        <v>22.0</v>
      </c>
      <c r="D25" s="93">
        <v>21.0</v>
      </c>
      <c r="E25" s="372">
        <v>2.0</v>
      </c>
      <c r="F25" s="372">
        <v>2.0</v>
      </c>
      <c r="G25" s="360"/>
      <c r="H25" s="372">
        <v>3.0</v>
      </c>
      <c r="I25" s="6">
        <f t="shared" si="0"/>
        <v>50.0</v>
      </c>
    </row>
    <row r="26" spans="8:8">
      <c r="A26" s="3" t="s">
        <v>31</v>
      </c>
      <c r="B26" s="4" t="s">
        <v>13</v>
      </c>
      <c r="C26" s="93">
        <v>22.0</v>
      </c>
      <c r="D26" s="93">
        <v>21.0</v>
      </c>
      <c r="E26" s="372">
        <v>2.0</v>
      </c>
      <c r="F26" s="372">
        <v>2.0</v>
      </c>
      <c r="G26" s="360"/>
      <c r="H26" s="372">
        <v>3.0</v>
      </c>
      <c r="I26" s="6">
        <f t="shared" si="0"/>
        <v>50.0</v>
      </c>
    </row>
    <row r="27" spans="8:8">
      <c r="A27" s="3" t="s">
        <v>32</v>
      </c>
      <c r="B27" s="4" t="s">
        <v>13</v>
      </c>
      <c r="C27" s="93">
        <v>22.0</v>
      </c>
      <c r="D27" s="93">
        <v>21.0</v>
      </c>
      <c r="E27" s="372">
        <v>2.0</v>
      </c>
      <c r="F27" s="372">
        <v>2.0</v>
      </c>
      <c r="G27" s="360"/>
      <c r="H27" s="372">
        <v>3.0</v>
      </c>
      <c r="I27" s="6">
        <f t="shared" si="0"/>
        <v>50.0</v>
      </c>
    </row>
    <row r="28" spans="8:8">
      <c r="A28" s="3" t="s">
        <v>33</v>
      </c>
      <c r="B28" s="4" t="s">
        <v>13</v>
      </c>
      <c r="C28" s="93">
        <v>22.0</v>
      </c>
      <c r="D28" s="93">
        <v>21.0</v>
      </c>
      <c r="E28" s="372">
        <v>2.0</v>
      </c>
      <c r="F28" s="372">
        <v>2.0</v>
      </c>
      <c r="G28" s="360"/>
      <c r="H28" s="372">
        <v>3.0</v>
      </c>
      <c r="I28" s="6">
        <f t="shared" si="0"/>
        <v>50.0</v>
      </c>
    </row>
    <row r="29" spans="8:8">
      <c r="A29" s="3" t="s">
        <v>34</v>
      </c>
      <c r="B29" s="4" t="s">
        <v>13</v>
      </c>
      <c r="C29" s="93">
        <v>18.0</v>
      </c>
      <c r="D29" s="93">
        <v>15.0</v>
      </c>
      <c r="E29" s="372">
        <v>2.0</v>
      </c>
      <c r="F29" s="372">
        <v>2.0</v>
      </c>
      <c r="G29" s="360"/>
      <c r="H29" s="372">
        <v>3.0</v>
      </c>
      <c r="I29" s="6">
        <f t="shared" si="0"/>
        <v>40.0</v>
      </c>
    </row>
    <row r="30" spans="8:8">
      <c r="A30" s="3" t="s">
        <v>35</v>
      </c>
      <c r="B30" s="4" t="s">
        <v>13</v>
      </c>
      <c r="C30" s="93">
        <v>18.0</v>
      </c>
      <c r="D30" s="93">
        <v>15.0</v>
      </c>
      <c r="E30" s="372">
        <v>2.0</v>
      </c>
      <c r="F30" s="372">
        <v>2.0</v>
      </c>
      <c r="G30" s="360"/>
      <c r="H30" s="372">
        <v>3.0</v>
      </c>
      <c r="I30" s="6">
        <f t="shared" si="0"/>
        <v>40.0</v>
      </c>
    </row>
    <row r="31" spans="8:8">
      <c r="A31" s="3" t="s">
        <v>36</v>
      </c>
      <c r="B31" s="4" t="s">
        <v>13</v>
      </c>
      <c r="C31" s="93">
        <v>18.0</v>
      </c>
      <c r="D31" s="93">
        <v>15.0</v>
      </c>
      <c r="E31" s="372">
        <v>2.0</v>
      </c>
      <c r="F31" s="372">
        <v>2.0</v>
      </c>
      <c r="G31" s="360"/>
      <c r="H31" s="372">
        <v>3.0</v>
      </c>
      <c r="I31" s="6">
        <f t="shared" si="0"/>
        <v>40.0</v>
      </c>
    </row>
    <row r="32" spans="8:8">
      <c r="A32" s="14" t="s">
        <v>428</v>
      </c>
      <c r="B32" s="4" t="s">
        <v>13</v>
      </c>
      <c r="C32" s="93">
        <v>18.0</v>
      </c>
      <c r="D32" s="93">
        <v>15.0</v>
      </c>
      <c r="E32" s="372">
        <v>2.0</v>
      </c>
      <c r="F32" s="372">
        <v>2.0</v>
      </c>
      <c r="G32" s="360"/>
      <c r="H32" s="372">
        <v>3.0</v>
      </c>
      <c r="I32" s="6">
        <f t="shared" si="0"/>
        <v>40.0</v>
      </c>
    </row>
    <row r="33" spans="8:8">
      <c r="A33" s="3" t="s">
        <v>38</v>
      </c>
      <c r="B33" s="4" t="s">
        <v>13</v>
      </c>
      <c r="C33" s="93">
        <v>18.0</v>
      </c>
      <c r="D33" s="93">
        <v>15.0</v>
      </c>
      <c r="E33" s="372">
        <v>2.0</v>
      </c>
      <c r="F33" s="372">
        <v>2.0</v>
      </c>
      <c r="G33" s="360"/>
      <c r="H33" s="372">
        <v>3.0</v>
      </c>
      <c r="I33" s="6">
        <f t="shared" si="0"/>
        <v>40.0</v>
      </c>
    </row>
    <row r="34" spans="8:8">
      <c r="A34" s="15" t="s">
        <v>39</v>
      </c>
      <c r="B34" s="4" t="s">
        <v>13</v>
      </c>
      <c r="C34" s="93">
        <v>18.0</v>
      </c>
      <c r="D34" s="93">
        <v>15.0</v>
      </c>
      <c r="E34" s="372">
        <v>2.0</v>
      </c>
      <c r="F34" s="372">
        <v>2.0</v>
      </c>
      <c r="G34" s="360"/>
      <c r="H34" s="372">
        <v>3.0</v>
      </c>
      <c r="I34" s="6">
        <f t="shared" si="0"/>
        <v>40.0</v>
      </c>
    </row>
    <row r="35" spans="8:8" s="49" ht="15.0" customFormat="1">
      <c r="A35" s="3" t="s">
        <v>40</v>
      </c>
      <c r="B35" s="16" t="s">
        <v>13</v>
      </c>
      <c r="C35" s="93">
        <v>18.0</v>
      </c>
      <c r="D35" s="93">
        <v>15.0</v>
      </c>
      <c r="E35" s="372">
        <v>2.0</v>
      </c>
      <c r="F35" s="372">
        <v>2.0</v>
      </c>
      <c r="G35" s="360"/>
      <c r="H35" s="372">
        <v>3.0</v>
      </c>
      <c r="I35" s="6">
        <f t="shared" si="0"/>
        <v>40.0</v>
      </c>
    </row>
    <row r="36" spans="8:8">
      <c r="A36" s="15" t="s">
        <v>41</v>
      </c>
      <c r="B36" s="16" t="s">
        <v>13</v>
      </c>
      <c r="C36" s="93">
        <v>18.0</v>
      </c>
      <c r="D36" s="93">
        <v>15.0</v>
      </c>
      <c r="E36" s="372">
        <v>2.0</v>
      </c>
      <c r="F36" s="372">
        <v>2.0</v>
      </c>
      <c r="G36" s="360"/>
      <c r="H36" s="372">
        <v>3.0</v>
      </c>
      <c r="I36" s="6">
        <f t="shared" si="0"/>
        <v>40.0</v>
      </c>
    </row>
    <row r="37" spans="8:8" s="49" ht="15.0" customFormat="1">
      <c r="A37" s="14" t="s">
        <v>429</v>
      </c>
      <c r="B37" s="16" t="s">
        <v>13</v>
      </c>
      <c r="C37" s="93">
        <v>18.0</v>
      </c>
      <c r="D37" s="93">
        <v>15.0</v>
      </c>
      <c r="E37" s="372">
        <v>2.0</v>
      </c>
      <c r="F37" s="372">
        <v>2.0</v>
      </c>
      <c r="G37" s="360"/>
      <c r="H37" s="372">
        <v>3.0</v>
      </c>
      <c r="I37" s="6">
        <f t="shared" si="0"/>
        <v>40.0</v>
      </c>
    </row>
    <row r="38" spans="8:8">
      <c r="A38" s="3" t="s">
        <v>43</v>
      </c>
      <c r="B38" s="4" t="s">
        <v>13</v>
      </c>
      <c r="C38" s="93">
        <v>18.0</v>
      </c>
      <c r="D38" s="93">
        <v>15.0</v>
      </c>
      <c r="E38" s="372">
        <v>2.0</v>
      </c>
      <c r="F38" s="372">
        <v>2.0</v>
      </c>
      <c r="G38" s="360"/>
      <c r="H38" s="372">
        <v>3.0</v>
      </c>
      <c r="I38" s="6">
        <f t="shared" si="0"/>
        <v>40.0</v>
      </c>
    </row>
    <row r="39" spans="8:8">
      <c r="A39" s="14" t="s">
        <v>430</v>
      </c>
      <c r="B39" s="4" t="s">
        <v>13</v>
      </c>
      <c r="C39" s="93">
        <v>18.0</v>
      </c>
      <c r="D39" s="93">
        <v>15.0</v>
      </c>
      <c r="E39" s="372">
        <v>2.0</v>
      </c>
      <c r="F39" s="372">
        <v>2.0</v>
      </c>
      <c r="G39" s="360"/>
      <c r="H39" s="372">
        <v>3.0</v>
      </c>
      <c r="I39" s="6">
        <f t="shared" si="0"/>
        <v>40.0</v>
      </c>
    </row>
    <row r="40" spans="8:8">
      <c r="A40" s="3" t="s">
        <v>45</v>
      </c>
      <c r="B40" s="4" t="s">
        <v>13</v>
      </c>
      <c r="C40" s="93">
        <v>40.0</v>
      </c>
      <c r="D40" s="93">
        <v>33.0</v>
      </c>
      <c r="E40" s="372">
        <v>2.0</v>
      </c>
      <c r="F40" s="372">
        <v>2.0</v>
      </c>
      <c r="G40" s="360"/>
      <c r="H40" s="372">
        <v>3.0</v>
      </c>
      <c r="I40" s="6">
        <f t="shared" si="0"/>
        <v>80.0</v>
      </c>
    </row>
    <row r="41" spans="8:8">
      <c r="A41" s="3" t="s">
        <v>46</v>
      </c>
      <c r="B41" s="4" t="s">
        <v>13</v>
      </c>
      <c r="C41" s="93">
        <v>59.0</v>
      </c>
      <c r="D41" s="93">
        <v>34.0</v>
      </c>
      <c r="E41" s="372">
        <v>2.0</v>
      </c>
      <c r="F41" s="372">
        <v>2.0</v>
      </c>
      <c r="G41" s="360"/>
      <c r="H41" s="372">
        <v>3.0</v>
      </c>
      <c r="I41" s="6">
        <f t="shared" si="0"/>
        <v>100.0</v>
      </c>
    </row>
    <row r="42" spans="8:8">
      <c r="A42" s="3" t="s">
        <v>47</v>
      </c>
      <c r="B42" s="4" t="s">
        <v>13</v>
      </c>
      <c r="C42" s="93">
        <v>20.0</v>
      </c>
      <c r="D42" s="93">
        <v>33.0</v>
      </c>
      <c r="E42" s="372">
        <v>2.0</v>
      </c>
      <c r="F42" s="372">
        <v>2.0</v>
      </c>
      <c r="G42" s="360"/>
      <c r="H42" s="372">
        <v>3.0</v>
      </c>
      <c r="I42" s="6">
        <f t="shared" si="0"/>
        <v>60.0</v>
      </c>
    </row>
    <row r="43" spans="8:8">
      <c r="A43" s="3" t="s">
        <v>48</v>
      </c>
      <c r="B43" s="4" t="s">
        <v>13</v>
      </c>
      <c r="C43" s="93">
        <v>20.0</v>
      </c>
      <c r="D43" s="93">
        <v>33.0</v>
      </c>
      <c r="E43" s="372">
        <v>2.0</v>
      </c>
      <c r="F43" s="372">
        <v>2.0</v>
      </c>
      <c r="G43" s="360"/>
      <c r="H43" s="372">
        <v>3.0</v>
      </c>
      <c r="I43" s="6">
        <f t="shared" si="0"/>
        <v>60.0</v>
      </c>
    </row>
    <row r="44" spans="8:8">
      <c r="A44" s="3" t="s">
        <v>49</v>
      </c>
      <c r="B44" s="4" t="s">
        <v>13</v>
      </c>
      <c r="C44" s="93">
        <v>18.0</v>
      </c>
      <c r="D44" s="93">
        <v>15.0</v>
      </c>
      <c r="E44" s="372">
        <v>2.0</v>
      </c>
      <c r="F44" s="372">
        <v>2.0</v>
      </c>
      <c r="G44" s="360"/>
      <c r="H44" s="372">
        <v>3.0</v>
      </c>
      <c r="I44" s="6">
        <f t="shared" si="0"/>
        <v>40.0</v>
      </c>
    </row>
    <row r="45" spans="8:8">
      <c r="A45" s="18" t="s">
        <v>431</v>
      </c>
      <c r="B45" s="4" t="s">
        <v>13</v>
      </c>
      <c r="C45" s="93">
        <v>18.0</v>
      </c>
      <c r="D45" s="93">
        <v>15.0</v>
      </c>
      <c r="E45" s="372">
        <v>2.0</v>
      </c>
      <c r="F45" s="372">
        <v>2.0</v>
      </c>
      <c r="G45" s="360"/>
      <c r="H45" s="372">
        <v>3.0</v>
      </c>
      <c r="I45" s="6">
        <f t="shared" si="0"/>
        <v>40.0</v>
      </c>
    </row>
    <row r="46" spans="8:8" s="49" ht="15.0" customFormat="1">
      <c r="A46" s="3" t="s">
        <v>51</v>
      </c>
      <c r="B46" s="16" t="s">
        <v>13</v>
      </c>
      <c r="C46" s="93">
        <v>18.0</v>
      </c>
      <c r="D46" s="93">
        <v>15.0</v>
      </c>
      <c r="E46" s="372">
        <v>2.0</v>
      </c>
      <c r="F46" s="372">
        <v>2.0</v>
      </c>
      <c r="G46" s="360"/>
      <c r="H46" s="372">
        <v>3.0</v>
      </c>
      <c r="I46" s="6">
        <f t="shared" si="0"/>
        <v>40.0</v>
      </c>
    </row>
    <row r="47" spans="8:8">
      <c r="A47" s="3" t="s">
        <v>52</v>
      </c>
      <c r="B47" s="4" t="s">
        <v>13</v>
      </c>
      <c r="C47" s="93">
        <v>18.0</v>
      </c>
      <c r="D47" s="93">
        <v>15.0</v>
      </c>
      <c r="E47" s="372">
        <v>2.0</v>
      </c>
      <c r="F47" s="372">
        <v>2.0</v>
      </c>
      <c r="G47" s="360"/>
      <c r="H47" s="372">
        <v>3.0</v>
      </c>
      <c r="I47" s="6">
        <f t="shared" si="0"/>
        <v>40.0</v>
      </c>
    </row>
    <row r="48" spans="8:8">
      <c r="A48" s="3" t="s">
        <v>53</v>
      </c>
      <c r="B48" s="4" t="s">
        <v>13</v>
      </c>
      <c r="C48" s="93">
        <v>18.0</v>
      </c>
      <c r="D48" s="93">
        <v>15.0</v>
      </c>
      <c r="E48" s="372">
        <v>2.0</v>
      </c>
      <c r="F48" s="372">
        <v>2.0</v>
      </c>
      <c r="G48" s="360"/>
      <c r="H48" s="372">
        <v>3.0</v>
      </c>
      <c r="I48" s="6">
        <f t="shared" si="0"/>
        <v>40.0</v>
      </c>
    </row>
    <row r="49" spans="8:8">
      <c r="A49" s="3" t="s">
        <v>54</v>
      </c>
      <c r="B49" s="4" t="s">
        <v>13</v>
      </c>
      <c r="C49" s="93">
        <v>18.0</v>
      </c>
      <c r="D49" s="93">
        <v>15.0</v>
      </c>
      <c r="E49" s="372">
        <v>2.0</v>
      </c>
      <c r="F49" s="372">
        <v>2.0</v>
      </c>
      <c r="G49" s="360"/>
      <c r="H49" s="372">
        <v>3.0</v>
      </c>
      <c r="I49" s="6">
        <f t="shared" si="0"/>
        <v>40.0</v>
      </c>
    </row>
    <row r="50" spans="8:8">
      <c r="A50" s="15" t="s">
        <v>55</v>
      </c>
      <c r="B50" s="4" t="s">
        <v>13</v>
      </c>
      <c r="C50" s="93">
        <v>18.0</v>
      </c>
      <c r="D50" s="93">
        <v>15.0</v>
      </c>
      <c r="E50" s="372">
        <v>2.0</v>
      </c>
      <c r="F50" s="372">
        <v>2.0</v>
      </c>
      <c r="G50" s="360"/>
      <c r="H50" s="372">
        <v>3.0</v>
      </c>
      <c r="I50" s="6">
        <f t="shared" si="0"/>
        <v>40.0</v>
      </c>
    </row>
    <row r="51" spans="8:8" s="49" ht="15.75" customFormat="1">
      <c r="A51" s="388" t="s">
        <v>56</v>
      </c>
      <c r="B51" s="396" t="s">
        <v>13</v>
      </c>
      <c r="C51" s="391">
        <v>18.0</v>
      </c>
      <c r="D51" s="391">
        <v>15.0</v>
      </c>
      <c r="E51" s="392">
        <v>2.0</v>
      </c>
      <c r="F51" s="392">
        <v>2.0</v>
      </c>
      <c r="G51" s="397"/>
      <c r="H51" s="392">
        <v>3.0</v>
      </c>
      <c r="I51" s="398">
        <f t="shared" si="0"/>
        <v>40.0</v>
      </c>
    </row>
    <row r="52" spans="8:8" ht="15.75">
      <c r="A52" s="10" t="s">
        <v>57</v>
      </c>
      <c r="B52" s="11" t="s">
        <v>60</v>
      </c>
      <c r="C52" s="118">
        <v>1.0</v>
      </c>
      <c r="D52" s="118">
        <v>25.0</v>
      </c>
      <c r="E52" s="370">
        <v>2.0</v>
      </c>
      <c r="F52" s="370">
        <v>2.0</v>
      </c>
      <c r="G52" s="395"/>
      <c r="H52" s="395"/>
      <c r="I52" s="13">
        <f t="shared" si="0"/>
        <v>30.0</v>
      </c>
    </row>
    <row r="53" spans="8:8">
      <c r="A53" s="3" t="s">
        <v>58</v>
      </c>
      <c r="B53" s="4" t="s">
        <v>60</v>
      </c>
      <c r="C53" s="93">
        <v>1.0</v>
      </c>
      <c r="D53" s="93">
        <v>25.0</v>
      </c>
      <c r="E53" s="372">
        <v>2.0</v>
      </c>
      <c r="F53" s="372">
        <v>2.0</v>
      </c>
      <c r="G53" s="360"/>
      <c r="H53" s="360"/>
      <c r="I53" s="6">
        <f t="shared" si="0"/>
        <v>30.0</v>
      </c>
    </row>
    <row r="54" spans="8:8">
      <c r="A54" s="3" t="s">
        <v>59</v>
      </c>
      <c r="B54" s="4" t="s">
        <v>60</v>
      </c>
      <c r="C54" s="93">
        <v>1.0</v>
      </c>
      <c r="D54" s="93">
        <v>35.0</v>
      </c>
      <c r="E54" s="372">
        <v>2.0</v>
      </c>
      <c r="F54" s="372">
        <v>2.0</v>
      </c>
      <c r="G54" s="360"/>
      <c r="H54" s="360"/>
      <c r="I54" s="6">
        <f t="shared" si="0"/>
        <v>40.0</v>
      </c>
    </row>
    <row r="55" spans="8:8">
      <c r="A55" s="3" t="s">
        <v>61</v>
      </c>
      <c r="B55" s="4" t="s">
        <v>60</v>
      </c>
      <c r="C55" s="93">
        <v>1.0</v>
      </c>
      <c r="D55" s="93">
        <v>35.0</v>
      </c>
      <c r="E55" s="372">
        <v>2.0</v>
      </c>
      <c r="F55" s="372">
        <v>2.0</v>
      </c>
      <c r="G55" s="360"/>
      <c r="H55" s="360"/>
      <c r="I55" s="6">
        <f t="shared" si="0"/>
        <v>40.0</v>
      </c>
    </row>
    <row r="56" spans="8:8">
      <c r="A56" s="3" t="s">
        <v>62</v>
      </c>
      <c r="B56" s="4" t="s">
        <v>60</v>
      </c>
      <c r="C56" s="93">
        <v>1.0</v>
      </c>
      <c r="D56" s="93">
        <v>25.0</v>
      </c>
      <c r="E56" s="372">
        <v>2.0</v>
      </c>
      <c r="F56" s="372">
        <v>2.0</v>
      </c>
      <c r="G56" s="360"/>
      <c r="H56" s="360"/>
      <c r="I56" s="6">
        <f t="shared" si="0"/>
        <v>30.0</v>
      </c>
    </row>
    <row r="57" spans="8:8" ht="15.75">
      <c r="A57" s="388" t="s">
        <v>63</v>
      </c>
      <c r="B57" s="389" t="s">
        <v>60</v>
      </c>
      <c r="C57" s="391">
        <v>1.0</v>
      </c>
      <c r="D57" s="391">
        <v>15.0</v>
      </c>
      <c r="E57" s="392">
        <v>2.0</v>
      </c>
      <c r="F57" s="392">
        <v>2.0</v>
      </c>
      <c r="G57" s="397"/>
      <c r="H57" s="397"/>
      <c r="I57" s="394">
        <f t="shared" si="0"/>
        <v>20.0</v>
      </c>
      <c r="J57" s="411"/>
      <c r="K57" s="49"/>
      <c r="L57" s="49"/>
      <c r="M57" s="49"/>
      <c r="N57" s="49"/>
    </row>
    <row r="58" spans="8:8" s="49" ht="15.75" customFormat="1">
      <c r="A58" s="320" t="s">
        <v>64</v>
      </c>
      <c r="B58" s="25" t="s">
        <v>65</v>
      </c>
      <c r="C58" s="118">
        <v>1.0</v>
      </c>
      <c r="D58" s="118">
        <v>20.0</v>
      </c>
      <c r="E58" s="370">
        <v>2.0</v>
      </c>
      <c r="F58" s="370">
        <v>2.0</v>
      </c>
      <c r="G58" s="370">
        <v>6.0</v>
      </c>
      <c r="H58" s="395"/>
      <c r="I58" s="168">
        <f t="shared" si="1" ref="I58:I99">SUM(D58:H58)</f>
        <v>30.0</v>
      </c>
      <c r="J58" s="413"/>
      <c r="K58" s="414"/>
      <c r="L58" s="414"/>
      <c r="M58" s="414"/>
      <c r="O58" s="415">
        <f>SUM(J58:N58)</f>
        <v>0.0</v>
      </c>
    </row>
    <row r="59" spans="8:8" ht="28.5" customHeight="1">
      <c r="A59" s="439" t="s">
        <v>437</v>
      </c>
      <c r="B59" s="374" t="s">
        <v>65</v>
      </c>
      <c r="C59" s="93">
        <v>1.0</v>
      </c>
      <c r="D59" s="93">
        <v>21.0</v>
      </c>
      <c r="E59" s="372">
        <v>2.0</v>
      </c>
      <c r="F59" s="372">
        <v>2.0</v>
      </c>
      <c r="G59" s="370">
        <v>6.0</v>
      </c>
      <c r="H59" s="376"/>
      <c r="I59" s="377">
        <f t="shared" si="1"/>
        <v>31.0</v>
      </c>
    </row>
    <row r="60" spans="8:8">
      <c r="A60" s="3" t="s">
        <v>67</v>
      </c>
      <c r="B60" s="4" t="s">
        <v>65</v>
      </c>
      <c r="C60" s="93">
        <v>1.0</v>
      </c>
      <c r="D60" s="93">
        <v>20.0</v>
      </c>
      <c r="E60" s="372">
        <v>2.0</v>
      </c>
      <c r="F60" s="372">
        <v>2.0</v>
      </c>
      <c r="G60" s="370">
        <v>6.0</v>
      </c>
      <c r="H60" s="360"/>
      <c r="I60" s="6">
        <f t="shared" si="1"/>
        <v>30.0</v>
      </c>
    </row>
    <row r="61" spans="8:8">
      <c r="A61" s="3" t="s">
        <v>68</v>
      </c>
      <c r="B61" s="4" t="s">
        <v>65</v>
      </c>
      <c r="C61" s="93">
        <v>1.0</v>
      </c>
      <c r="D61" s="93">
        <v>21.0</v>
      </c>
      <c r="E61" s="372">
        <v>2.0</v>
      </c>
      <c r="F61" s="372">
        <v>2.0</v>
      </c>
      <c r="G61" s="370">
        <v>6.0</v>
      </c>
      <c r="H61" s="360"/>
      <c r="I61" s="6">
        <f t="shared" si="1"/>
        <v>31.0</v>
      </c>
    </row>
    <row r="62" spans="8:8">
      <c r="A62" s="3" t="s">
        <v>69</v>
      </c>
      <c r="B62" s="4" t="s">
        <v>65</v>
      </c>
      <c r="C62" s="93">
        <v>1.0</v>
      </c>
      <c r="D62" s="93">
        <v>26.0</v>
      </c>
      <c r="E62" s="372">
        <v>2.0</v>
      </c>
      <c r="F62" s="372">
        <v>2.0</v>
      </c>
      <c r="G62" s="370">
        <v>6.0</v>
      </c>
      <c r="H62" s="360"/>
      <c r="I62" s="6">
        <f t="shared" si="1"/>
        <v>36.0</v>
      </c>
      <c r="K62" s="49"/>
      <c r="L62" s="49"/>
      <c r="M62" s="49"/>
      <c r="N62" s="49"/>
    </row>
    <row r="63" spans="8:8">
      <c r="A63" s="3" t="s">
        <v>70</v>
      </c>
      <c r="B63" s="4" t="s">
        <v>65</v>
      </c>
      <c r="C63" s="93">
        <v>1.0</v>
      </c>
      <c r="D63" s="93">
        <v>20.0</v>
      </c>
      <c r="E63" s="372">
        <v>2.0</v>
      </c>
      <c r="F63" s="372">
        <v>2.0</v>
      </c>
      <c r="G63" s="370">
        <v>6.0</v>
      </c>
      <c r="H63" s="360"/>
      <c r="I63" s="6">
        <f t="shared" si="1"/>
        <v>30.0</v>
      </c>
      <c r="J63" s="49"/>
    </row>
    <row r="64" spans="8:8">
      <c r="A64" s="15" t="s">
        <v>72</v>
      </c>
      <c r="B64" s="16" t="s">
        <v>65</v>
      </c>
      <c r="C64" s="93">
        <v>1.0</v>
      </c>
      <c r="D64" s="93">
        <v>21.0</v>
      </c>
      <c r="E64" s="372">
        <v>2.0</v>
      </c>
      <c r="F64" s="372">
        <v>2.0</v>
      </c>
      <c r="G64" s="370">
        <v>6.0</v>
      </c>
      <c r="H64" s="360"/>
      <c r="I64" s="6">
        <f t="shared" si="1"/>
        <v>31.0</v>
      </c>
      <c r="J64" s="49"/>
    </row>
    <row r="65" spans="8:8">
      <c r="A65" s="15" t="s">
        <v>71</v>
      </c>
      <c r="B65" s="16" t="s">
        <v>65</v>
      </c>
      <c r="C65" s="93">
        <v>1.0</v>
      </c>
      <c r="D65" s="93">
        <v>23.0</v>
      </c>
      <c r="E65" s="372">
        <v>2.0</v>
      </c>
      <c r="F65" s="372">
        <v>2.0</v>
      </c>
      <c r="G65" s="370">
        <v>6.0</v>
      </c>
      <c r="H65" s="360"/>
      <c r="I65" s="6">
        <f t="shared" si="1"/>
        <v>33.0</v>
      </c>
      <c r="J65" s="417"/>
    </row>
    <row r="66" spans="8:8">
      <c r="A66" s="3" t="s">
        <v>73</v>
      </c>
      <c r="B66" s="4" t="s">
        <v>65</v>
      </c>
      <c r="C66" s="93">
        <v>1.0</v>
      </c>
      <c r="D66" s="93">
        <v>20.0</v>
      </c>
      <c r="E66" s="372">
        <v>2.0</v>
      </c>
      <c r="F66" s="372">
        <v>2.0</v>
      </c>
      <c r="G66" s="370">
        <v>6.0</v>
      </c>
      <c r="H66" s="360"/>
      <c r="I66" s="6">
        <f t="shared" si="1"/>
        <v>30.0</v>
      </c>
    </row>
    <row r="67" spans="8:8">
      <c r="A67" s="3" t="s">
        <v>74</v>
      </c>
      <c r="B67" s="4" t="s">
        <v>65</v>
      </c>
      <c r="C67" s="93">
        <v>1.0</v>
      </c>
      <c r="D67" s="93">
        <v>21.0</v>
      </c>
      <c r="E67" s="372">
        <v>2.0</v>
      </c>
      <c r="F67" s="372">
        <v>2.0</v>
      </c>
      <c r="G67" s="370">
        <v>6.0</v>
      </c>
      <c r="H67" s="360"/>
      <c r="I67" s="6">
        <f t="shared" si="1"/>
        <v>31.0</v>
      </c>
    </row>
    <row r="68" spans="8:8">
      <c r="A68" s="3" t="s">
        <v>75</v>
      </c>
      <c r="B68" s="4" t="s">
        <v>65</v>
      </c>
      <c r="C68" s="93">
        <v>1.0</v>
      </c>
      <c r="D68" s="93">
        <v>32.0</v>
      </c>
      <c r="E68" s="372">
        <v>2.0</v>
      </c>
      <c r="F68" s="372">
        <v>2.0</v>
      </c>
      <c r="G68" s="370">
        <v>6.0</v>
      </c>
      <c r="H68" s="360"/>
      <c r="I68" s="6">
        <f t="shared" si="1"/>
        <v>42.0</v>
      </c>
    </row>
    <row r="69" spans="8:8">
      <c r="A69" s="3" t="s">
        <v>76</v>
      </c>
      <c r="B69" s="4" t="s">
        <v>65</v>
      </c>
      <c r="C69" s="93">
        <v>1.0</v>
      </c>
      <c r="D69" s="93">
        <v>20.0</v>
      </c>
      <c r="E69" s="372">
        <v>2.0</v>
      </c>
      <c r="F69" s="372">
        <v>2.0</v>
      </c>
      <c r="G69" s="370">
        <v>6.0</v>
      </c>
      <c r="H69" s="360"/>
      <c r="I69" s="6">
        <f t="shared" si="1"/>
        <v>30.0</v>
      </c>
    </row>
    <row r="70" spans="8:8">
      <c r="A70" s="3" t="s">
        <v>77</v>
      </c>
      <c r="B70" s="4" t="s">
        <v>65</v>
      </c>
      <c r="C70" s="93">
        <v>1.0</v>
      </c>
      <c r="D70" s="93">
        <v>21.0</v>
      </c>
      <c r="E70" s="372">
        <v>2.0</v>
      </c>
      <c r="F70" s="372">
        <v>2.0</v>
      </c>
      <c r="G70" s="370">
        <v>6.0</v>
      </c>
      <c r="H70" s="360"/>
      <c r="I70" s="6">
        <f t="shared" si="1"/>
        <v>31.0</v>
      </c>
    </row>
    <row r="71" spans="8:8">
      <c r="A71" s="3" t="s">
        <v>78</v>
      </c>
      <c r="B71" s="4" t="s">
        <v>65</v>
      </c>
      <c r="C71" s="93">
        <v>1.0</v>
      </c>
      <c r="D71" s="93">
        <v>23.0</v>
      </c>
      <c r="E71" s="372">
        <v>2.0</v>
      </c>
      <c r="F71" s="372">
        <v>2.0</v>
      </c>
      <c r="G71" s="370">
        <v>6.0</v>
      </c>
      <c r="H71" s="360"/>
      <c r="I71" s="6">
        <f t="shared" si="1"/>
        <v>33.0</v>
      </c>
    </row>
    <row r="72" spans="8:8">
      <c r="A72" s="3" t="s">
        <v>79</v>
      </c>
      <c r="B72" s="4" t="s">
        <v>65</v>
      </c>
      <c r="C72" s="93">
        <v>1.0</v>
      </c>
      <c r="D72" s="93">
        <v>26.0</v>
      </c>
      <c r="E72" s="372">
        <v>2.0</v>
      </c>
      <c r="F72" s="372">
        <v>2.0</v>
      </c>
      <c r="G72" s="370">
        <v>6.0</v>
      </c>
      <c r="H72" s="360"/>
      <c r="I72" s="6">
        <f t="shared" si="1"/>
        <v>36.0</v>
      </c>
    </row>
    <row r="73" spans="8:8">
      <c r="A73" s="3" t="s">
        <v>80</v>
      </c>
      <c r="B73" s="4" t="s">
        <v>65</v>
      </c>
      <c r="C73" s="93">
        <v>1.0</v>
      </c>
      <c r="D73" s="93">
        <v>20.0</v>
      </c>
      <c r="E73" s="372">
        <v>2.0</v>
      </c>
      <c r="F73" s="372">
        <v>2.0</v>
      </c>
      <c r="G73" s="370">
        <v>6.0</v>
      </c>
      <c r="H73" s="360"/>
      <c r="I73" s="6">
        <f t="shared" si="1"/>
        <v>30.0</v>
      </c>
    </row>
    <row r="74" spans="8:8">
      <c r="A74" s="3" t="s">
        <v>81</v>
      </c>
      <c r="B74" s="4" t="s">
        <v>65</v>
      </c>
      <c r="C74" s="93">
        <v>1.0</v>
      </c>
      <c r="D74" s="93">
        <v>21.0</v>
      </c>
      <c r="E74" s="372">
        <v>2.0</v>
      </c>
      <c r="F74" s="372">
        <v>2.0</v>
      </c>
      <c r="G74" s="370">
        <v>6.0</v>
      </c>
      <c r="H74" s="360"/>
      <c r="I74" s="6">
        <f t="shared" si="1"/>
        <v>31.0</v>
      </c>
    </row>
    <row r="75" spans="8:8">
      <c r="A75" s="3" t="s">
        <v>82</v>
      </c>
      <c r="B75" s="4" t="s">
        <v>65</v>
      </c>
      <c r="C75" s="93">
        <v>1.0</v>
      </c>
      <c r="D75" s="93">
        <v>39.0</v>
      </c>
      <c r="E75" s="372">
        <v>2.0</v>
      </c>
      <c r="F75" s="372">
        <v>2.0</v>
      </c>
      <c r="G75" s="370">
        <v>6.0</v>
      </c>
      <c r="H75" s="360"/>
      <c r="I75" s="6">
        <f t="shared" si="1"/>
        <v>49.0</v>
      </c>
    </row>
    <row r="76" spans="8:8">
      <c r="A76" s="3" t="s">
        <v>83</v>
      </c>
      <c r="B76" s="4" t="s">
        <v>65</v>
      </c>
      <c r="C76" s="93">
        <v>1.0</v>
      </c>
      <c r="D76" s="93">
        <v>42.0</v>
      </c>
      <c r="E76" s="372">
        <v>2.0</v>
      </c>
      <c r="F76" s="372">
        <v>2.0</v>
      </c>
      <c r="G76" s="370">
        <v>6.0</v>
      </c>
      <c r="H76" s="360"/>
      <c r="I76" s="6">
        <f t="shared" si="1"/>
        <v>52.0</v>
      </c>
    </row>
    <row r="77" spans="8:8">
      <c r="A77" s="3" t="s">
        <v>84</v>
      </c>
      <c r="B77" s="4" t="s">
        <v>65</v>
      </c>
      <c r="C77" s="93">
        <v>1.0</v>
      </c>
      <c r="D77" s="93">
        <v>21.0</v>
      </c>
      <c r="E77" s="372">
        <v>2.0</v>
      </c>
      <c r="F77" s="372">
        <v>2.0</v>
      </c>
      <c r="G77" s="370">
        <v>6.0</v>
      </c>
      <c r="H77" s="360"/>
      <c r="I77" s="6">
        <f t="shared" si="1"/>
        <v>31.0</v>
      </c>
    </row>
    <row r="78" spans="8:8">
      <c r="A78" s="3" t="s">
        <v>85</v>
      </c>
      <c r="B78" s="4" t="s">
        <v>65</v>
      </c>
      <c r="C78" s="93">
        <v>1.0</v>
      </c>
      <c r="D78" s="93">
        <v>42.0</v>
      </c>
      <c r="E78" s="372">
        <v>2.0</v>
      </c>
      <c r="F78" s="372">
        <v>2.0</v>
      </c>
      <c r="G78" s="370">
        <v>6.0</v>
      </c>
      <c r="H78" s="360"/>
      <c r="I78" s="6">
        <f t="shared" si="1"/>
        <v>52.0</v>
      </c>
    </row>
    <row r="79" spans="8:8">
      <c r="A79" s="15" t="s">
        <v>86</v>
      </c>
      <c r="B79" s="16" t="s">
        <v>65</v>
      </c>
      <c r="C79" s="93">
        <v>1.0</v>
      </c>
      <c r="D79" s="93">
        <v>21.0</v>
      </c>
      <c r="E79" s="372">
        <v>2.0</v>
      </c>
      <c r="F79" s="372">
        <v>2.0</v>
      </c>
      <c r="G79" s="370">
        <v>6.0</v>
      </c>
      <c r="H79" s="360"/>
      <c r="I79" s="6">
        <f t="shared" si="1"/>
        <v>31.0</v>
      </c>
    </row>
    <row r="80" spans="8:8" s="49" ht="15.0" customFormat="1">
      <c r="A80" s="15" t="s">
        <v>87</v>
      </c>
      <c r="B80" s="16" t="s">
        <v>65</v>
      </c>
      <c r="C80" s="93">
        <v>1.0</v>
      </c>
      <c r="D80" s="93">
        <v>23.0</v>
      </c>
      <c r="E80" s="372">
        <v>2.0</v>
      </c>
      <c r="F80" s="372">
        <v>2.0</v>
      </c>
      <c r="G80" s="370">
        <v>6.0</v>
      </c>
      <c r="H80" s="360"/>
      <c r="I80" s="17">
        <f t="shared" si="1"/>
        <v>33.0</v>
      </c>
    </row>
    <row r="81" spans="8:8">
      <c r="A81" s="15" t="s">
        <v>88</v>
      </c>
      <c r="B81" s="16" t="s">
        <v>65</v>
      </c>
      <c r="C81" s="93">
        <v>1.0</v>
      </c>
      <c r="D81" s="93">
        <v>26.0</v>
      </c>
      <c r="E81" s="372">
        <v>2.0</v>
      </c>
      <c r="F81" s="372">
        <v>2.0</v>
      </c>
      <c r="G81" s="370">
        <v>6.0</v>
      </c>
      <c r="H81" s="360"/>
      <c r="I81" s="6">
        <f t="shared" si="1"/>
        <v>36.0</v>
      </c>
    </row>
    <row r="82" spans="8:8">
      <c r="A82" s="15" t="s">
        <v>89</v>
      </c>
      <c r="B82" s="16" t="s">
        <v>65</v>
      </c>
      <c r="C82" s="93">
        <v>1.0</v>
      </c>
      <c r="D82" s="93">
        <v>29.0</v>
      </c>
      <c r="E82" s="372">
        <v>2.0</v>
      </c>
      <c r="F82" s="372">
        <v>2.0</v>
      </c>
      <c r="G82" s="370">
        <v>6.0</v>
      </c>
      <c r="H82" s="360"/>
      <c r="I82" s="6">
        <f t="shared" si="1"/>
        <v>39.0</v>
      </c>
    </row>
    <row r="83" spans="8:8">
      <c r="A83" s="15" t="s">
        <v>90</v>
      </c>
      <c r="B83" s="16" t="s">
        <v>65</v>
      </c>
      <c r="C83" s="93">
        <v>1.0</v>
      </c>
      <c r="D83" s="93">
        <v>31.0</v>
      </c>
      <c r="E83" s="372">
        <v>2.0</v>
      </c>
      <c r="F83" s="372">
        <v>2.0</v>
      </c>
      <c r="G83" s="370">
        <v>6.0</v>
      </c>
      <c r="H83" s="360"/>
      <c r="I83" s="6">
        <f t="shared" si="1"/>
        <v>41.0</v>
      </c>
    </row>
    <row r="84" spans="8:8">
      <c r="A84" s="15" t="s">
        <v>91</v>
      </c>
      <c r="B84" s="16" t="s">
        <v>65</v>
      </c>
      <c r="C84" s="93">
        <v>1.0</v>
      </c>
      <c r="D84" s="93">
        <v>33.0</v>
      </c>
      <c r="E84" s="372">
        <v>2.0</v>
      </c>
      <c r="F84" s="372">
        <v>2.0</v>
      </c>
      <c r="G84" s="370">
        <v>6.0</v>
      </c>
      <c r="H84" s="360"/>
      <c r="I84" s="6">
        <f t="shared" si="1"/>
        <v>43.0</v>
      </c>
    </row>
    <row r="85" spans="8:8">
      <c r="A85" s="15" t="s">
        <v>92</v>
      </c>
      <c r="B85" s="16" t="s">
        <v>65</v>
      </c>
      <c r="C85" s="93">
        <v>1.0</v>
      </c>
      <c r="D85" s="93">
        <v>20.0</v>
      </c>
      <c r="E85" s="372">
        <v>2.0</v>
      </c>
      <c r="F85" s="372">
        <v>2.0</v>
      </c>
      <c r="G85" s="370">
        <v>6.0</v>
      </c>
      <c r="H85" s="360"/>
      <c r="I85" s="6">
        <f t="shared" si="1"/>
        <v>30.0</v>
      </c>
    </row>
    <row r="86" spans="8:8">
      <c r="A86" s="15" t="s">
        <v>93</v>
      </c>
      <c r="B86" s="16" t="s">
        <v>65</v>
      </c>
      <c r="C86" s="93">
        <v>1.0</v>
      </c>
      <c r="D86" s="93">
        <v>21.0</v>
      </c>
      <c r="E86" s="372">
        <v>2.0</v>
      </c>
      <c r="F86" s="372">
        <v>2.0</v>
      </c>
      <c r="G86" s="370">
        <v>6.0</v>
      </c>
      <c r="H86" s="360"/>
      <c r="I86" s="6">
        <f t="shared" si="1"/>
        <v>31.0</v>
      </c>
    </row>
    <row r="87" spans="8:8">
      <c r="A87" s="15" t="s">
        <v>94</v>
      </c>
      <c r="B87" s="16" t="s">
        <v>65</v>
      </c>
      <c r="C87" s="93">
        <v>1.0</v>
      </c>
      <c r="D87" s="93">
        <v>26.0</v>
      </c>
      <c r="E87" s="372">
        <v>2.0</v>
      </c>
      <c r="F87" s="372">
        <v>2.0</v>
      </c>
      <c r="G87" s="370">
        <v>6.0</v>
      </c>
      <c r="H87" s="360"/>
      <c r="I87" s="6">
        <f t="shared" si="1"/>
        <v>36.0</v>
      </c>
    </row>
    <row r="88" spans="8:8">
      <c r="A88" s="15" t="s">
        <v>95</v>
      </c>
      <c r="B88" s="16" t="s">
        <v>65</v>
      </c>
      <c r="C88" s="93">
        <v>1.0</v>
      </c>
      <c r="D88" s="93">
        <v>21.0</v>
      </c>
      <c r="E88" s="372">
        <v>2.0</v>
      </c>
      <c r="F88" s="372">
        <v>2.0</v>
      </c>
      <c r="G88" s="370">
        <v>6.0</v>
      </c>
      <c r="H88" s="360"/>
      <c r="I88" s="6">
        <f t="shared" si="1"/>
        <v>31.0</v>
      </c>
    </row>
    <row r="89" spans="8:8">
      <c r="A89" s="15" t="s">
        <v>96</v>
      </c>
      <c r="B89" s="16" t="s">
        <v>65</v>
      </c>
      <c r="C89" s="93">
        <v>1.0</v>
      </c>
      <c r="D89" s="93">
        <v>26.0</v>
      </c>
      <c r="E89" s="372">
        <v>2.0</v>
      </c>
      <c r="F89" s="372">
        <v>2.0</v>
      </c>
      <c r="G89" s="370">
        <v>6.0</v>
      </c>
      <c r="H89" s="360"/>
      <c r="I89" s="6">
        <f t="shared" si="1"/>
        <v>36.0</v>
      </c>
    </row>
    <row r="90" spans="8:8">
      <c r="A90" s="15" t="s">
        <v>97</v>
      </c>
      <c r="B90" s="16" t="s">
        <v>65</v>
      </c>
      <c r="C90" s="93">
        <v>1.0</v>
      </c>
      <c r="D90" s="93">
        <v>20.0</v>
      </c>
      <c r="E90" s="372">
        <v>2.0</v>
      </c>
      <c r="F90" s="372">
        <v>2.0</v>
      </c>
      <c r="G90" s="370">
        <v>6.0</v>
      </c>
      <c r="H90" s="360"/>
      <c r="I90" s="6">
        <f t="shared" si="1"/>
        <v>30.0</v>
      </c>
    </row>
    <row r="91" spans="8:8">
      <c r="A91" s="15" t="s">
        <v>98</v>
      </c>
      <c r="B91" s="16" t="s">
        <v>65</v>
      </c>
      <c r="C91" s="93">
        <v>1.0</v>
      </c>
      <c r="D91" s="93">
        <v>21.0</v>
      </c>
      <c r="E91" s="372">
        <v>2.0</v>
      </c>
      <c r="F91" s="372">
        <v>2.0</v>
      </c>
      <c r="G91" s="370">
        <v>6.0</v>
      </c>
      <c r="H91" s="360"/>
      <c r="I91" s="6">
        <f t="shared" si="1"/>
        <v>31.0</v>
      </c>
    </row>
    <row r="92" spans="8:8" s="49" ht="15.0" customFormat="1">
      <c r="A92" s="15" t="s">
        <v>99</v>
      </c>
      <c r="B92" s="16" t="s">
        <v>65</v>
      </c>
      <c r="C92" s="93">
        <v>1.0</v>
      </c>
      <c r="D92" s="93">
        <v>26.0</v>
      </c>
      <c r="E92" s="372">
        <v>2.0</v>
      </c>
      <c r="F92" s="372">
        <v>2.0</v>
      </c>
      <c r="G92" s="370">
        <v>6.0</v>
      </c>
      <c r="H92" s="360"/>
      <c r="I92" s="6">
        <f t="shared" si="1"/>
        <v>36.0</v>
      </c>
    </row>
    <row r="93" spans="8:8">
      <c r="A93" s="15" t="s">
        <v>100</v>
      </c>
      <c r="B93" s="16" t="s">
        <v>65</v>
      </c>
      <c r="C93" s="93">
        <v>1.0</v>
      </c>
      <c r="D93" s="93">
        <v>31.0</v>
      </c>
      <c r="E93" s="372">
        <v>2.0</v>
      </c>
      <c r="F93" s="372">
        <v>2.0</v>
      </c>
      <c r="G93" s="370">
        <v>6.0</v>
      </c>
      <c r="H93" s="360"/>
      <c r="I93" s="6">
        <f t="shared" si="1"/>
        <v>41.0</v>
      </c>
    </row>
    <row r="94" spans="8:8">
      <c r="A94" s="15" t="s">
        <v>101</v>
      </c>
      <c r="B94" s="16" t="s">
        <v>65</v>
      </c>
      <c r="C94" s="93">
        <v>1.0</v>
      </c>
      <c r="D94" s="93">
        <v>33.0</v>
      </c>
      <c r="E94" s="372">
        <v>2.0</v>
      </c>
      <c r="F94" s="372">
        <v>2.0</v>
      </c>
      <c r="G94" s="370">
        <v>6.0</v>
      </c>
      <c r="H94" s="360"/>
      <c r="I94" s="6">
        <f t="shared" si="1"/>
        <v>43.0</v>
      </c>
    </row>
    <row r="95" spans="8:8">
      <c r="A95" s="15" t="s">
        <v>102</v>
      </c>
      <c r="B95" s="16" t="s">
        <v>65</v>
      </c>
      <c r="C95" s="93">
        <v>1.0</v>
      </c>
      <c r="D95" s="93">
        <v>21.0</v>
      </c>
      <c r="E95" s="372">
        <v>2.0</v>
      </c>
      <c r="F95" s="372">
        <v>2.0</v>
      </c>
      <c r="G95" s="370">
        <v>6.0</v>
      </c>
      <c r="H95" s="360"/>
      <c r="I95" s="6">
        <f t="shared" si="1"/>
        <v>31.0</v>
      </c>
    </row>
    <row r="96" spans="8:8">
      <c r="A96" s="15" t="s">
        <v>103</v>
      </c>
      <c r="B96" s="16" t="s">
        <v>65</v>
      </c>
      <c r="C96" s="93">
        <v>1.0</v>
      </c>
      <c r="D96" s="93">
        <v>20.0</v>
      </c>
      <c r="E96" s="372">
        <v>2.0</v>
      </c>
      <c r="F96" s="372">
        <v>2.0</v>
      </c>
      <c r="G96" s="370">
        <v>6.0</v>
      </c>
      <c r="H96" s="360"/>
      <c r="I96" s="6">
        <f t="shared" si="1"/>
        <v>30.0</v>
      </c>
    </row>
    <row r="97" spans="8:8">
      <c r="A97" s="15" t="s">
        <v>104</v>
      </c>
      <c r="B97" s="16" t="s">
        <v>65</v>
      </c>
      <c r="C97" s="93">
        <v>1.0</v>
      </c>
      <c r="D97" s="93">
        <v>21.0</v>
      </c>
      <c r="E97" s="372">
        <v>2.0</v>
      </c>
      <c r="F97" s="372">
        <v>2.0</v>
      </c>
      <c r="G97" s="370">
        <v>6.0</v>
      </c>
      <c r="H97" s="360"/>
      <c r="I97" s="6">
        <f t="shared" si="1"/>
        <v>31.0</v>
      </c>
    </row>
    <row r="98" spans="8:8" s="49" ht="15.0" customFormat="1">
      <c r="A98" s="3" t="s">
        <v>105</v>
      </c>
      <c r="B98" s="4" t="s">
        <v>65</v>
      </c>
      <c r="C98" s="93">
        <v>1.0</v>
      </c>
      <c r="D98" s="93">
        <v>23.0</v>
      </c>
      <c r="E98" s="372">
        <v>2.0</v>
      </c>
      <c r="F98" s="372">
        <v>2.0</v>
      </c>
      <c r="G98" s="370">
        <v>6.0</v>
      </c>
      <c r="H98" s="360"/>
      <c r="I98" s="17">
        <f t="shared" si="1"/>
        <v>33.0</v>
      </c>
    </row>
    <row r="99" spans="8:8">
      <c r="A99" s="3" t="s">
        <v>108</v>
      </c>
      <c r="B99" s="4" t="s">
        <v>65</v>
      </c>
      <c r="C99" s="93">
        <v>1.0</v>
      </c>
      <c r="D99" s="93">
        <v>22.0</v>
      </c>
      <c r="E99" s="372">
        <v>2.0</v>
      </c>
      <c r="F99" s="372">
        <v>2.0</v>
      </c>
      <c r="G99" s="370">
        <v>6.0</v>
      </c>
      <c r="H99" s="360"/>
      <c r="I99" s="6">
        <f t="shared" si="1"/>
        <v>32.0</v>
      </c>
    </row>
    <row r="100" spans="8:8">
      <c r="A100" s="3" t="s">
        <v>109</v>
      </c>
      <c r="B100" s="4" t="s">
        <v>65</v>
      </c>
      <c r="C100" s="93">
        <v>60.0</v>
      </c>
      <c r="D100" s="93">
        <v>23.0</v>
      </c>
      <c r="E100" s="372">
        <v>2.0</v>
      </c>
      <c r="F100" s="372">
        <v>2.0</v>
      </c>
      <c r="G100" s="370">
        <v>6.0</v>
      </c>
      <c r="H100" s="360"/>
      <c r="I100" s="6">
        <f>SUM(C100:H100)</f>
        <v>93.0</v>
      </c>
    </row>
    <row r="101" spans="8:8">
      <c r="A101" s="3" t="s">
        <v>110</v>
      </c>
      <c r="B101" s="4" t="s">
        <v>65</v>
      </c>
      <c r="C101" s="93">
        <v>1.0</v>
      </c>
      <c r="D101" s="93">
        <v>19.0</v>
      </c>
      <c r="E101" s="372">
        <v>2.0</v>
      </c>
      <c r="F101" s="372">
        <v>2.0</v>
      </c>
      <c r="G101" s="370">
        <v>6.0</v>
      </c>
      <c r="H101" s="360"/>
      <c r="I101" s="6">
        <f t="shared" si="2" ref="I101:I164">SUM(D101:H101)</f>
        <v>29.0</v>
      </c>
    </row>
    <row r="102" spans="8:8">
      <c r="A102" s="3" t="s">
        <v>111</v>
      </c>
      <c r="B102" s="4" t="s">
        <v>65</v>
      </c>
      <c r="C102" s="93">
        <v>1.0</v>
      </c>
      <c r="D102" s="93">
        <v>20.0</v>
      </c>
      <c r="E102" s="372">
        <v>2.0</v>
      </c>
      <c r="F102" s="372">
        <v>2.0</v>
      </c>
      <c r="G102" s="370">
        <v>6.0</v>
      </c>
      <c r="H102" s="360"/>
      <c r="I102" s="6">
        <f t="shared" si="2"/>
        <v>30.0</v>
      </c>
    </row>
    <row r="103" spans="8:8">
      <c r="A103" s="3" t="s">
        <v>112</v>
      </c>
      <c r="B103" s="4" t="s">
        <v>65</v>
      </c>
      <c r="C103" s="93">
        <v>1.0</v>
      </c>
      <c r="D103" s="93">
        <v>21.0</v>
      </c>
      <c r="E103" s="372">
        <v>2.0</v>
      </c>
      <c r="F103" s="372">
        <v>2.0</v>
      </c>
      <c r="G103" s="370">
        <v>6.0</v>
      </c>
      <c r="H103" s="360"/>
      <c r="I103" s="6">
        <f t="shared" si="2"/>
        <v>31.0</v>
      </c>
    </row>
    <row r="104" spans="8:8">
      <c r="A104" s="3" t="s">
        <v>113</v>
      </c>
      <c r="B104" s="4" t="s">
        <v>65</v>
      </c>
      <c r="C104" s="93">
        <v>1.0</v>
      </c>
      <c r="D104" s="93">
        <v>23.0</v>
      </c>
      <c r="E104" s="372">
        <v>2.0</v>
      </c>
      <c r="F104" s="372">
        <v>2.0</v>
      </c>
      <c r="G104" s="370">
        <v>6.0</v>
      </c>
      <c r="H104" s="360"/>
      <c r="I104" s="6">
        <f t="shared" si="2"/>
        <v>33.0</v>
      </c>
    </row>
    <row r="105" spans="8:8">
      <c r="A105" s="3" t="s">
        <v>114</v>
      </c>
      <c r="B105" s="4" t="s">
        <v>65</v>
      </c>
      <c r="C105" s="93">
        <v>1.0</v>
      </c>
      <c r="D105" s="93">
        <v>20.0</v>
      </c>
      <c r="E105" s="372">
        <v>2.0</v>
      </c>
      <c r="F105" s="372">
        <v>2.0</v>
      </c>
      <c r="G105" s="370">
        <v>6.0</v>
      </c>
      <c r="H105" s="360"/>
      <c r="I105" s="6">
        <f t="shared" si="2"/>
        <v>30.0</v>
      </c>
    </row>
    <row r="106" spans="8:8">
      <c r="A106" s="3" t="s">
        <v>115</v>
      </c>
      <c r="B106" s="4" t="s">
        <v>65</v>
      </c>
      <c r="C106" s="93">
        <v>1.0</v>
      </c>
      <c r="D106" s="93">
        <v>21.0</v>
      </c>
      <c r="E106" s="372">
        <v>2.0</v>
      </c>
      <c r="F106" s="372">
        <v>2.0</v>
      </c>
      <c r="G106" s="370">
        <v>6.0</v>
      </c>
      <c r="H106" s="360"/>
      <c r="I106" s="6">
        <f t="shared" si="2"/>
        <v>31.0</v>
      </c>
    </row>
    <row r="107" spans="8:8">
      <c r="A107" s="3" t="s">
        <v>116</v>
      </c>
      <c r="B107" s="4" t="s">
        <v>65</v>
      </c>
      <c r="C107" s="93">
        <v>1.0</v>
      </c>
      <c r="D107" s="93">
        <v>23.0</v>
      </c>
      <c r="E107" s="372">
        <v>2.0</v>
      </c>
      <c r="F107" s="372">
        <v>2.0</v>
      </c>
      <c r="G107" s="370">
        <v>6.0</v>
      </c>
      <c r="H107" s="360"/>
      <c r="I107" s="6">
        <f t="shared" si="2"/>
        <v>33.0</v>
      </c>
    </row>
    <row r="108" spans="8:8">
      <c r="A108" s="3" t="s">
        <v>117</v>
      </c>
      <c r="B108" s="4" t="s">
        <v>65</v>
      </c>
      <c r="C108" s="93">
        <v>1.0</v>
      </c>
      <c r="D108" s="93">
        <v>21.0</v>
      </c>
      <c r="E108" s="372">
        <v>2.0</v>
      </c>
      <c r="F108" s="372">
        <v>2.0</v>
      </c>
      <c r="G108" s="370">
        <v>6.0</v>
      </c>
      <c r="H108" s="360"/>
      <c r="I108" s="6">
        <f t="shared" si="2"/>
        <v>31.0</v>
      </c>
    </row>
    <row r="109" spans="8:8">
      <c r="A109" s="3" t="s">
        <v>118</v>
      </c>
      <c r="B109" s="4" t="s">
        <v>65</v>
      </c>
      <c r="C109" s="93">
        <v>1.0</v>
      </c>
      <c r="D109" s="93">
        <v>20.0</v>
      </c>
      <c r="E109" s="372">
        <v>2.0</v>
      </c>
      <c r="F109" s="372">
        <v>2.0</v>
      </c>
      <c r="G109" s="370">
        <v>6.0</v>
      </c>
      <c r="H109" s="360"/>
      <c r="I109" s="6">
        <f t="shared" si="2"/>
        <v>30.0</v>
      </c>
    </row>
    <row r="110" spans="8:8">
      <c r="A110" s="3" t="s">
        <v>119</v>
      </c>
      <c r="B110" s="4" t="s">
        <v>65</v>
      </c>
      <c r="C110" s="93">
        <v>1.0</v>
      </c>
      <c r="D110" s="93">
        <v>21.0</v>
      </c>
      <c r="E110" s="372">
        <v>2.0</v>
      </c>
      <c r="F110" s="372">
        <v>2.0</v>
      </c>
      <c r="G110" s="370">
        <v>6.0</v>
      </c>
      <c r="H110" s="360"/>
      <c r="I110" s="6">
        <f t="shared" si="2"/>
        <v>31.0</v>
      </c>
    </row>
    <row r="111" spans="8:8">
      <c r="A111" s="3" t="s">
        <v>120</v>
      </c>
      <c r="B111" s="4" t="s">
        <v>65</v>
      </c>
      <c r="C111" s="93">
        <v>1.0</v>
      </c>
      <c r="D111" s="93">
        <v>39.0</v>
      </c>
      <c r="E111" s="372">
        <v>2.0</v>
      </c>
      <c r="F111" s="372">
        <v>2.0</v>
      </c>
      <c r="G111" s="370">
        <v>6.0</v>
      </c>
      <c r="H111" s="360"/>
      <c r="I111" s="6">
        <f t="shared" si="2"/>
        <v>49.0</v>
      </c>
    </row>
    <row r="112" spans="8:8">
      <c r="A112" s="3" t="s">
        <v>121</v>
      </c>
      <c r="B112" s="4" t="s">
        <v>65</v>
      </c>
      <c r="C112" s="93">
        <v>1.0</v>
      </c>
      <c r="D112" s="93">
        <v>42.0</v>
      </c>
      <c r="E112" s="372">
        <v>2.0</v>
      </c>
      <c r="F112" s="372">
        <v>2.0</v>
      </c>
      <c r="G112" s="370">
        <v>6.0</v>
      </c>
      <c r="H112" s="360"/>
      <c r="I112" s="6">
        <f t="shared" si="2"/>
        <v>52.0</v>
      </c>
    </row>
    <row r="113" spans="8:8">
      <c r="A113" s="3" t="s">
        <v>122</v>
      </c>
      <c r="B113" s="4" t="s">
        <v>65</v>
      </c>
      <c r="C113" s="93">
        <v>1.0</v>
      </c>
      <c r="D113" s="93">
        <v>20.0</v>
      </c>
      <c r="E113" s="372">
        <v>2.0</v>
      </c>
      <c r="F113" s="372">
        <v>2.0</v>
      </c>
      <c r="G113" s="370">
        <v>6.0</v>
      </c>
      <c r="H113" s="360"/>
      <c r="I113" s="6">
        <f t="shared" si="2"/>
        <v>30.0</v>
      </c>
    </row>
    <row r="114" spans="8:8">
      <c r="A114" s="3" t="s">
        <v>123</v>
      </c>
      <c r="B114" s="4" t="s">
        <v>65</v>
      </c>
      <c r="C114" s="93">
        <v>1.0</v>
      </c>
      <c r="D114" s="93">
        <v>21.0</v>
      </c>
      <c r="E114" s="372">
        <v>2.0</v>
      </c>
      <c r="F114" s="372">
        <v>2.0</v>
      </c>
      <c r="G114" s="370">
        <v>6.0</v>
      </c>
      <c r="H114" s="360"/>
      <c r="I114" s="6">
        <f t="shared" si="2"/>
        <v>31.0</v>
      </c>
    </row>
    <row r="115" spans="8:8">
      <c r="A115" s="3" t="s">
        <v>124</v>
      </c>
      <c r="B115" s="4" t="s">
        <v>65</v>
      </c>
      <c r="C115" s="93">
        <v>1.0</v>
      </c>
      <c r="D115" s="93">
        <v>23.0</v>
      </c>
      <c r="E115" s="372">
        <v>2.0</v>
      </c>
      <c r="F115" s="372">
        <v>2.0</v>
      </c>
      <c r="G115" s="370">
        <v>6.0</v>
      </c>
      <c r="H115" s="360"/>
      <c r="I115" s="6">
        <f t="shared" si="2"/>
        <v>33.0</v>
      </c>
    </row>
    <row r="116" spans="8:8">
      <c r="A116" s="3" t="s">
        <v>125</v>
      </c>
      <c r="B116" s="4" t="s">
        <v>65</v>
      </c>
      <c r="C116" s="93">
        <v>1.0</v>
      </c>
      <c r="D116" s="93">
        <v>26.0</v>
      </c>
      <c r="E116" s="372">
        <v>2.0</v>
      </c>
      <c r="F116" s="372">
        <v>2.0</v>
      </c>
      <c r="G116" s="370">
        <v>6.0</v>
      </c>
      <c r="H116" s="360"/>
      <c r="I116" s="6">
        <f t="shared" si="2"/>
        <v>36.0</v>
      </c>
    </row>
    <row r="117" spans="8:8">
      <c r="A117" s="3" t="s">
        <v>126</v>
      </c>
      <c r="B117" s="4" t="s">
        <v>65</v>
      </c>
      <c r="C117" s="93">
        <v>1.0</v>
      </c>
      <c r="D117" s="93">
        <v>29.0</v>
      </c>
      <c r="E117" s="372">
        <v>2.0</v>
      </c>
      <c r="F117" s="372">
        <v>2.0</v>
      </c>
      <c r="G117" s="370">
        <v>6.0</v>
      </c>
      <c r="H117" s="360"/>
      <c r="I117" s="6">
        <f t="shared" si="2"/>
        <v>39.0</v>
      </c>
    </row>
    <row r="118" spans="8:8">
      <c r="A118" s="3" t="s">
        <v>127</v>
      </c>
      <c r="B118" s="4" t="s">
        <v>65</v>
      </c>
      <c r="C118" s="93">
        <v>1.0</v>
      </c>
      <c r="D118" s="93">
        <v>39.0</v>
      </c>
      <c r="E118" s="372">
        <v>2.0</v>
      </c>
      <c r="F118" s="372">
        <v>2.0</v>
      </c>
      <c r="G118" s="370">
        <v>6.0</v>
      </c>
      <c r="H118" s="360"/>
      <c r="I118" s="6">
        <f t="shared" si="2"/>
        <v>49.0</v>
      </c>
    </row>
    <row r="119" spans="8:8">
      <c r="A119" s="3" t="s">
        <v>128</v>
      </c>
      <c r="B119" s="4" t="s">
        <v>65</v>
      </c>
      <c r="C119" s="93">
        <v>1.0</v>
      </c>
      <c r="D119" s="93">
        <v>42.0</v>
      </c>
      <c r="E119" s="372">
        <v>2.0</v>
      </c>
      <c r="F119" s="372">
        <v>2.0</v>
      </c>
      <c r="G119" s="370">
        <v>6.0</v>
      </c>
      <c r="H119" s="360"/>
      <c r="I119" s="6">
        <f t="shared" si="2"/>
        <v>52.0</v>
      </c>
    </row>
    <row r="120" spans="8:8">
      <c r="A120" s="3" t="s">
        <v>129</v>
      </c>
      <c r="B120" s="4" t="s">
        <v>65</v>
      </c>
      <c r="C120" s="93">
        <v>1.0</v>
      </c>
      <c r="D120" s="93">
        <v>46.0</v>
      </c>
      <c r="E120" s="372">
        <v>2.0</v>
      </c>
      <c r="F120" s="372">
        <v>2.0</v>
      </c>
      <c r="G120" s="370">
        <v>6.0</v>
      </c>
      <c r="H120" s="360"/>
      <c r="I120" s="6">
        <f t="shared" si="2"/>
        <v>56.0</v>
      </c>
    </row>
    <row r="121" spans="8:8">
      <c r="A121" s="3" t="s">
        <v>130</v>
      </c>
      <c r="B121" s="4" t="s">
        <v>65</v>
      </c>
      <c r="C121" s="93">
        <v>1.0</v>
      </c>
      <c r="D121" s="93">
        <v>51.0</v>
      </c>
      <c r="E121" s="372">
        <v>2.0</v>
      </c>
      <c r="F121" s="372">
        <v>2.0</v>
      </c>
      <c r="G121" s="370">
        <v>6.0</v>
      </c>
      <c r="H121" s="360"/>
      <c r="I121" s="6">
        <f t="shared" si="2"/>
        <v>61.0</v>
      </c>
    </row>
    <row r="122" spans="8:8">
      <c r="A122" s="3" t="s">
        <v>131</v>
      </c>
      <c r="B122" s="4" t="s">
        <v>65</v>
      </c>
      <c r="C122" s="93">
        <v>1.0</v>
      </c>
      <c r="D122" s="93">
        <v>57.0</v>
      </c>
      <c r="E122" s="372">
        <v>2.0</v>
      </c>
      <c r="F122" s="372">
        <v>2.0</v>
      </c>
      <c r="G122" s="370">
        <v>6.0</v>
      </c>
      <c r="H122" s="360"/>
      <c r="I122" s="6">
        <f t="shared" si="2"/>
        <v>67.0</v>
      </c>
    </row>
    <row r="123" spans="8:8">
      <c r="A123" s="3" t="s">
        <v>132</v>
      </c>
      <c r="B123" s="4" t="s">
        <v>65</v>
      </c>
      <c r="C123" s="93">
        <v>1.0</v>
      </c>
      <c r="D123" s="93">
        <v>20.0</v>
      </c>
      <c r="E123" s="372">
        <v>2.0</v>
      </c>
      <c r="F123" s="372">
        <v>2.0</v>
      </c>
      <c r="G123" s="370">
        <v>6.0</v>
      </c>
      <c r="H123" s="360"/>
      <c r="I123" s="6">
        <f t="shared" si="2"/>
        <v>30.0</v>
      </c>
    </row>
    <row r="124" spans="8:8">
      <c r="A124" s="3" t="s">
        <v>133</v>
      </c>
      <c r="B124" s="4" t="s">
        <v>65</v>
      </c>
      <c r="C124" s="93">
        <v>1.0</v>
      </c>
      <c r="D124" s="93">
        <v>21.0</v>
      </c>
      <c r="E124" s="372">
        <v>2.0</v>
      </c>
      <c r="F124" s="372">
        <v>2.0</v>
      </c>
      <c r="G124" s="370">
        <v>6.0</v>
      </c>
      <c r="H124" s="360"/>
      <c r="I124" s="6">
        <f t="shared" si="2"/>
        <v>31.0</v>
      </c>
    </row>
    <row r="125" spans="8:8">
      <c r="A125" s="3" t="s">
        <v>134</v>
      </c>
      <c r="B125" s="4" t="s">
        <v>65</v>
      </c>
      <c r="C125" s="93">
        <v>1.0</v>
      </c>
      <c r="D125" s="93">
        <v>23.0</v>
      </c>
      <c r="E125" s="372">
        <v>2.0</v>
      </c>
      <c r="F125" s="372">
        <v>2.0</v>
      </c>
      <c r="G125" s="370">
        <v>6.0</v>
      </c>
      <c r="H125" s="360"/>
      <c r="I125" s="6">
        <f t="shared" si="2"/>
        <v>33.0</v>
      </c>
    </row>
    <row r="126" spans="8:8">
      <c r="A126" s="3" t="s">
        <v>135</v>
      </c>
      <c r="B126" s="4" t="s">
        <v>65</v>
      </c>
      <c r="C126" s="93">
        <v>1.0</v>
      </c>
      <c r="D126" s="93">
        <v>20.0</v>
      </c>
      <c r="E126" s="372">
        <v>2.0</v>
      </c>
      <c r="F126" s="372">
        <v>2.0</v>
      </c>
      <c r="G126" s="370">
        <v>6.0</v>
      </c>
      <c r="H126" s="360"/>
      <c r="I126" s="6">
        <f t="shared" si="2"/>
        <v>30.0</v>
      </c>
    </row>
    <row r="127" spans="8:8">
      <c r="A127" s="3" t="s">
        <v>136</v>
      </c>
      <c r="B127" s="4" t="s">
        <v>65</v>
      </c>
      <c r="C127" s="93">
        <v>1.0</v>
      </c>
      <c r="D127" s="93">
        <v>21.0</v>
      </c>
      <c r="E127" s="372">
        <v>2.0</v>
      </c>
      <c r="F127" s="372">
        <v>2.0</v>
      </c>
      <c r="G127" s="370">
        <v>6.0</v>
      </c>
      <c r="H127" s="360"/>
      <c r="I127" s="6">
        <f t="shared" si="2"/>
        <v>31.0</v>
      </c>
    </row>
    <row r="128" spans="8:8">
      <c r="A128" s="3" t="s">
        <v>137</v>
      </c>
      <c r="B128" s="4" t="s">
        <v>65</v>
      </c>
      <c r="C128" s="93">
        <v>1.0</v>
      </c>
      <c r="D128" s="93">
        <v>39.0</v>
      </c>
      <c r="E128" s="372">
        <v>2.0</v>
      </c>
      <c r="F128" s="372">
        <v>2.0</v>
      </c>
      <c r="G128" s="370">
        <v>6.0</v>
      </c>
      <c r="H128" s="360"/>
      <c r="I128" s="6">
        <f t="shared" si="2"/>
        <v>49.0</v>
      </c>
    </row>
    <row r="129" spans="8:8">
      <c r="A129" s="3" t="s">
        <v>138</v>
      </c>
      <c r="B129" s="4" t="s">
        <v>65</v>
      </c>
      <c r="C129" s="93">
        <v>1.0</v>
      </c>
      <c r="D129" s="93">
        <v>42.0</v>
      </c>
      <c r="E129" s="372">
        <v>2.0</v>
      </c>
      <c r="F129" s="372">
        <v>2.0</v>
      </c>
      <c r="G129" s="370">
        <v>6.0</v>
      </c>
      <c r="H129" s="360"/>
      <c r="I129" s="6">
        <f t="shared" si="2"/>
        <v>52.0</v>
      </c>
    </row>
    <row r="130" spans="8:8">
      <c r="A130" s="3" t="s">
        <v>139</v>
      </c>
      <c r="B130" s="4" t="s">
        <v>65</v>
      </c>
      <c r="C130" s="93">
        <v>1.0</v>
      </c>
      <c r="D130" s="93">
        <v>20.0</v>
      </c>
      <c r="E130" s="372">
        <v>2.0</v>
      </c>
      <c r="F130" s="372">
        <v>2.0</v>
      </c>
      <c r="G130" s="370">
        <v>6.0</v>
      </c>
      <c r="H130" s="360"/>
      <c r="I130" s="6">
        <f t="shared" si="2"/>
        <v>30.0</v>
      </c>
    </row>
    <row r="131" spans="8:8">
      <c r="A131" s="3" t="s">
        <v>140</v>
      </c>
      <c r="B131" s="4" t="s">
        <v>65</v>
      </c>
      <c r="C131" s="93">
        <v>1.0</v>
      </c>
      <c r="D131" s="93">
        <v>21.0</v>
      </c>
      <c r="E131" s="372">
        <v>2.0</v>
      </c>
      <c r="F131" s="372">
        <v>2.0</v>
      </c>
      <c r="G131" s="370">
        <v>6.0</v>
      </c>
      <c r="H131" s="360"/>
      <c r="I131" s="6">
        <f t="shared" si="2"/>
        <v>31.0</v>
      </c>
    </row>
    <row r="132" spans="8:8">
      <c r="A132" s="3" t="s">
        <v>141</v>
      </c>
      <c r="B132" s="4" t="s">
        <v>65</v>
      </c>
      <c r="C132" s="93">
        <v>1.0</v>
      </c>
      <c r="D132" s="93">
        <v>23.0</v>
      </c>
      <c r="E132" s="372">
        <v>2.0</v>
      </c>
      <c r="F132" s="372">
        <v>2.0</v>
      </c>
      <c r="G132" s="370">
        <v>6.0</v>
      </c>
      <c r="H132" s="360"/>
      <c r="I132" s="6">
        <f t="shared" si="2"/>
        <v>33.0</v>
      </c>
    </row>
    <row r="133" spans="8:8">
      <c r="A133" s="3" t="s">
        <v>142</v>
      </c>
      <c r="B133" s="4" t="s">
        <v>65</v>
      </c>
      <c r="C133" s="93">
        <v>1.0</v>
      </c>
      <c r="D133" s="93">
        <v>39.0</v>
      </c>
      <c r="E133" s="372">
        <v>2.0</v>
      </c>
      <c r="F133" s="372">
        <v>2.0</v>
      </c>
      <c r="G133" s="370">
        <v>6.0</v>
      </c>
      <c r="H133" s="360"/>
      <c r="I133" s="6">
        <f t="shared" si="2"/>
        <v>49.0</v>
      </c>
    </row>
    <row r="134" spans="8:8">
      <c r="A134" s="3" t="s">
        <v>143</v>
      </c>
      <c r="B134" s="4" t="s">
        <v>65</v>
      </c>
      <c r="C134" s="93">
        <v>1.0</v>
      </c>
      <c r="D134" s="93">
        <v>42.0</v>
      </c>
      <c r="E134" s="372">
        <v>2.0</v>
      </c>
      <c r="F134" s="372">
        <v>2.0</v>
      </c>
      <c r="G134" s="370">
        <v>6.0</v>
      </c>
      <c r="H134" s="360"/>
      <c r="I134" s="6">
        <f t="shared" si="2"/>
        <v>52.0</v>
      </c>
    </row>
    <row r="135" spans="8:8">
      <c r="A135" s="3" t="s">
        <v>144</v>
      </c>
      <c r="B135" s="4" t="s">
        <v>65</v>
      </c>
      <c r="C135" s="93">
        <v>1.0</v>
      </c>
      <c r="D135" s="93">
        <v>46.0</v>
      </c>
      <c r="E135" s="372">
        <v>2.0</v>
      </c>
      <c r="F135" s="372">
        <v>2.0</v>
      </c>
      <c r="G135" s="370">
        <v>6.0</v>
      </c>
      <c r="H135" s="360"/>
      <c r="I135" s="6">
        <f t="shared" si="2"/>
        <v>56.0</v>
      </c>
    </row>
    <row r="136" spans="8:8">
      <c r="A136" s="3" t="s">
        <v>145</v>
      </c>
      <c r="B136" s="4" t="s">
        <v>65</v>
      </c>
      <c r="C136" s="93">
        <v>1.0</v>
      </c>
      <c r="D136" s="93">
        <v>20.0</v>
      </c>
      <c r="E136" s="372">
        <v>2.0</v>
      </c>
      <c r="F136" s="372">
        <v>2.0</v>
      </c>
      <c r="G136" s="370">
        <v>6.0</v>
      </c>
      <c r="H136" s="360"/>
      <c r="I136" s="6">
        <f t="shared" si="2"/>
        <v>30.0</v>
      </c>
    </row>
    <row r="137" spans="8:8">
      <c r="A137" s="3" t="s">
        <v>146</v>
      </c>
      <c r="B137" s="4" t="s">
        <v>65</v>
      </c>
      <c r="C137" s="93">
        <v>1.0</v>
      </c>
      <c r="D137" s="93">
        <v>21.0</v>
      </c>
      <c r="E137" s="372">
        <v>2.0</v>
      </c>
      <c r="F137" s="372">
        <v>2.0</v>
      </c>
      <c r="G137" s="370">
        <v>6.0</v>
      </c>
      <c r="H137" s="360"/>
      <c r="I137" s="6">
        <f t="shared" si="2"/>
        <v>31.0</v>
      </c>
    </row>
    <row r="138" spans="8:8">
      <c r="A138" s="3" t="s">
        <v>147</v>
      </c>
      <c r="B138" s="4" t="s">
        <v>65</v>
      </c>
      <c r="C138" s="93">
        <v>1.0</v>
      </c>
      <c r="D138" s="93">
        <v>23.0</v>
      </c>
      <c r="E138" s="372">
        <v>2.0</v>
      </c>
      <c r="F138" s="372">
        <v>2.0</v>
      </c>
      <c r="G138" s="370">
        <v>6.0</v>
      </c>
      <c r="H138" s="360"/>
      <c r="I138" s="6">
        <f t="shared" si="2"/>
        <v>33.0</v>
      </c>
    </row>
    <row r="139" spans="8:8">
      <c r="A139" s="3" t="s">
        <v>148</v>
      </c>
      <c r="B139" s="4" t="s">
        <v>65</v>
      </c>
      <c r="C139" s="93">
        <v>1.0</v>
      </c>
      <c r="D139" s="93">
        <v>21.0</v>
      </c>
      <c r="E139" s="372">
        <v>2.0</v>
      </c>
      <c r="F139" s="372">
        <v>2.0</v>
      </c>
      <c r="G139" s="370">
        <v>6.0</v>
      </c>
      <c r="H139" s="360"/>
      <c r="I139" s="6">
        <f t="shared" si="2"/>
        <v>31.0</v>
      </c>
    </row>
    <row r="140" spans="8:8">
      <c r="A140" s="3" t="s">
        <v>149</v>
      </c>
      <c r="B140" s="4" t="s">
        <v>65</v>
      </c>
      <c r="C140" s="93">
        <v>1.0</v>
      </c>
      <c r="D140" s="93">
        <v>23.0</v>
      </c>
      <c r="E140" s="372">
        <v>2.0</v>
      </c>
      <c r="F140" s="372">
        <v>2.0</v>
      </c>
      <c r="G140" s="370">
        <v>6.0</v>
      </c>
      <c r="H140" s="360"/>
      <c r="I140" s="6">
        <f t="shared" si="2"/>
        <v>33.0</v>
      </c>
    </row>
    <row r="141" spans="8:8">
      <c r="A141" s="3" t="s">
        <v>150</v>
      </c>
      <c r="B141" s="4" t="s">
        <v>65</v>
      </c>
      <c r="C141" s="93">
        <v>1.0</v>
      </c>
      <c r="D141" s="93">
        <v>31.0</v>
      </c>
      <c r="E141" s="372">
        <v>2.0</v>
      </c>
      <c r="F141" s="372">
        <v>2.0</v>
      </c>
      <c r="G141" s="370">
        <v>6.0</v>
      </c>
      <c r="H141" s="360"/>
      <c r="I141" s="6">
        <f t="shared" si="2"/>
        <v>41.0</v>
      </c>
    </row>
    <row r="142" spans="8:8">
      <c r="A142" s="3" t="s">
        <v>151</v>
      </c>
      <c r="B142" s="4" t="s">
        <v>65</v>
      </c>
      <c r="C142" s="93">
        <v>1.0</v>
      </c>
      <c r="D142" s="93">
        <v>42.0</v>
      </c>
      <c r="E142" s="372">
        <v>2.0</v>
      </c>
      <c r="F142" s="372">
        <v>2.0</v>
      </c>
      <c r="G142" s="370">
        <v>6.0</v>
      </c>
      <c r="H142" s="360"/>
      <c r="I142" s="6">
        <f t="shared" si="2"/>
        <v>52.0</v>
      </c>
    </row>
    <row r="143" spans="8:8">
      <c r="A143" s="3" t="s">
        <v>152</v>
      </c>
      <c r="B143" s="4" t="s">
        <v>65</v>
      </c>
      <c r="C143" s="93">
        <v>1.0</v>
      </c>
      <c r="D143" s="93">
        <v>46.0</v>
      </c>
      <c r="E143" s="372">
        <v>2.0</v>
      </c>
      <c r="F143" s="372">
        <v>2.0</v>
      </c>
      <c r="G143" s="370">
        <v>6.0</v>
      </c>
      <c r="H143" s="360"/>
      <c r="I143" s="6">
        <f t="shared" si="2"/>
        <v>56.0</v>
      </c>
    </row>
    <row r="144" spans="8:8">
      <c r="A144" s="3" t="s">
        <v>153</v>
      </c>
      <c r="B144" s="4" t="s">
        <v>65</v>
      </c>
      <c r="C144" s="93">
        <v>1.0</v>
      </c>
      <c r="D144" s="93">
        <v>95.0</v>
      </c>
      <c r="E144" s="372">
        <v>2.0</v>
      </c>
      <c r="F144" s="372">
        <v>2.0</v>
      </c>
      <c r="G144" s="370">
        <v>6.0</v>
      </c>
      <c r="H144" s="360"/>
      <c r="I144" s="6">
        <f t="shared" si="2"/>
        <v>105.0</v>
      </c>
    </row>
    <row r="145" spans="8:8">
      <c r="A145" s="3" t="s">
        <v>154</v>
      </c>
      <c r="B145" s="4" t="s">
        <v>65</v>
      </c>
      <c r="C145" s="93">
        <v>1.0</v>
      </c>
      <c r="D145" s="93">
        <v>19.0</v>
      </c>
      <c r="E145" s="372">
        <v>2.0</v>
      </c>
      <c r="F145" s="372">
        <v>2.0</v>
      </c>
      <c r="G145" s="370">
        <v>6.0</v>
      </c>
      <c r="H145" s="360"/>
      <c r="I145" s="6">
        <f t="shared" si="2"/>
        <v>29.0</v>
      </c>
    </row>
    <row r="146" spans="8:8">
      <c r="A146" s="3" t="s">
        <v>155</v>
      </c>
      <c r="B146" s="4" t="s">
        <v>65</v>
      </c>
      <c r="C146" s="93">
        <v>1.0</v>
      </c>
      <c r="D146" s="93">
        <v>20.0</v>
      </c>
      <c r="E146" s="372">
        <v>2.0</v>
      </c>
      <c r="F146" s="372">
        <v>2.0</v>
      </c>
      <c r="G146" s="370">
        <v>6.0</v>
      </c>
      <c r="H146" s="360"/>
      <c r="I146" s="6">
        <f t="shared" si="2"/>
        <v>30.0</v>
      </c>
    </row>
    <row r="147" spans="8:8">
      <c r="A147" s="3" t="s">
        <v>156</v>
      </c>
      <c r="B147" s="4" t="s">
        <v>65</v>
      </c>
      <c r="C147" s="93">
        <v>1.0</v>
      </c>
      <c r="D147" s="93">
        <v>21.0</v>
      </c>
      <c r="E147" s="372">
        <v>2.0</v>
      </c>
      <c r="F147" s="372">
        <v>2.0</v>
      </c>
      <c r="G147" s="370">
        <v>6.0</v>
      </c>
      <c r="H147" s="360"/>
      <c r="I147" s="6">
        <f t="shared" si="2"/>
        <v>31.0</v>
      </c>
    </row>
    <row r="148" spans="8:8">
      <c r="A148" s="3" t="s">
        <v>157</v>
      </c>
      <c r="B148" s="4" t="s">
        <v>65</v>
      </c>
      <c r="C148" s="93">
        <v>1.0</v>
      </c>
      <c r="D148" s="93">
        <v>20.0</v>
      </c>
      <c r="E148" s="372">
        <v>2.0</v>
      </c>
      <c r="F148" s="372">
        <v>2.0</v>
      </c>
      <c r="G148" s="370">
        <v>6.0</v>
      </c>
      <c r="H148" s="360"/>
      <c r="I148" s="6">
        <f t="shared" si="2"/>
        <v>30.0</v>
      </c>
    </row>
    <row r="149" spans="8:8">
      <c r="A149" s="3" t="s">
        <v>158</v>
      </c>
      <c r="B149" s="4" t="s">
        <v>65</v>
      </c>
      <c r="C149" s="93">
        <v>1.0</v>
      </c>
      <c r="D149" s="93">
        <v>21.0</v>
      </c>
      <c r="E149" s="372">
        <v>2.0</v>
      </c>
      <c r="F149" s="372">
        <v>2.0</v>
      </c>
      <c r="G149" s="370">
        <v>6.0</v>
      </c>
      <c r="H149" s="360"/>
      <c r="I149" s="6">
        <f t="shared" si="2"/>
        <v>31.0</v>
      </c>
    </row>
    <row r="150" spans="8:8">
      <c r="A150" s="3" t="s">
        <v>159</v>
      </c>
      <c r="B150" s="4" t="s">
        <v>65</v>
      </c>
      <c r="C150" s="93">
        <v>1.0</v>
      </c>
      <c r="D150" s="93">
        <v>23.0</v>
      </c>
      <c r="E150" s="372">
        <v>2.0</v>
      </c>
      <c r="F150" s="372">
        <v>2.0</v>
      </c>
      <c r="G150" s="370">
        <v>6.0</v>
      </c>
      <c r="H150" s="360"/>
      <c r="I150" s="6">
        <f t="shared" si="2"/>
        <v>33.0</v>
      </c>
    </row>
    <row r="151" spans="8:8">
      <c r="A151" s="3" t="s">
        <v>160</v>
      </c>
      <c r="B151" s="4" t="s">
        <v>65</v>
      </c>
      <c r="C151" s="93">
        <v>1.0</v>
      </c>
      <c r="D151" s="93">
        <v>21.0</v>
      </c>
      <c r="E151" s="372">
        <v>2.0</v>
      </c>
      <c r="F151" s="372">
        <v>2.0</v>
      </c>
      <c r="G151" s="370">
        <v>6.0</v>
      </c>
      <c r="H151" s="360"/>
      <c r="I151" s="6">
        <f t="shared" si="2"/>
        <v>31.0</v>
      </c>
    </row>
    <row r="152" spans="8:8">
      <c r="A152" s="15" t="s">
        <v>161</v>
      </c>
      <c r="B152" s="16" t="s">
        <v>65</v>
      </c>
      <c r="C152" s="93">
        <v>1.0</v>
      </c>
      <c r="D152" s="93">
        <v>23.0</v>
      </c>
      <c r="E152" s="372">
        <v>2.0</v>
      </c>
      <c r="F152" s="372">
        <v>2.0</v>
      </c>
      <c r="G152" s="370">
        <v>6.0</v>
      </c>
      <c r="H152" s="360"/>
      <c r="I152" s="6">
        <f t="shared" si="2"/>
        <v>33.0</v>
      </c>
    </row>
    <row r="153" spans="8:8">
      <c r="A153" s="15" t="s">
        <v>162</v>
      </c>
      <c r="B153" s="16" t="s">
        <v>65</v>
      </c>
      <c r="C153" s="93">
        <v>1.0</v>
      </c>
      <c r="D153" s="93">
        <v>42.0</v>
      </c>
      <c r="E153" s="372">
        <v>2.0</v>
      </c>
      <c r="F153" s="372">
        <v>2.0</v>
      </c>
      <c r="G153" s="370">
        <v>6.0</v>
      </c>
      <c r="H153" s="360"/>
      <c r="I153" s="6">
        <f t="shared" si="2"/>
        <v>52.0</v>
      </c>
    </row>
    <row r="154" spans="8:8">
      <c r="A154" s="15" t="s">
        <v>163</v>
      </c>
      <c r="B154" s="16" t="s">
        <v>65</v>
      </c>
      <c r="C154" s="93">
        <v>1.0</v>
      </c>
      <c r="D154" s="93">
        <v>46.0</v>
      </c>
      <c r="E154" s="372">
        <v>2.0</v>
      </c>
      <c r="F154" s="372">
        <v>2.0</v>
      </c>
      <c r="G154" s="370">
        <v>6.0</v>
      </c>
      <c r="H154" s="360"/>
      <c r="I154" s="6">
        <f t="shared" si="2"/>
        <v>56.0</v>
      </c>
    </row>
    <row r="155" spans="8:8">
      <c r="A155" s="3" t="s">
        <v>164</v>
      </c>
      <c r="B155" s="4" t="s">
        <v>65</v>
      </c>
      <c r="C155" s="93">
        <v>1.0</v>
      </c>
      <c r="D155" s="93">
        <v>18.0</v>
      </c>
      <c r="E155" s="372">
        <v>2.0</v>
      </c>
      <c r="F155" s="372">
        <v>2.0</v>
      </c>
      <c r="G155" s="370">
        <v>6.0</v>
      </c>
      <c r="H155" s="360"/>
      <c r="I155" s="6">
        <f t="shared" si="2"/>
        <v>28.0</v>
      </c>
    </row>
    <row r="156" spans="8:8">
      <c r="A156" s="3" t="s">
        <v>165</v>
      </c>
      <c r="B156" s="4" t="s">
        <v>65</v>
      </c>
      <c r="C156" s="93">
        <v>1.0</v>
      </c>
      <c r="D156" s="93">
        <v>20.0</v>
      </c>
      <c r="E156" s="372">
        <v>2.0</v>
      </c>
      <c r="F156" s="372">
        <v>2.0</v>
      </c>
      <c r="G156" s="370">
        <v>6.0</v>
      </c>
      <c r="H156" s="360"/>
      <c r="I156" s="6">
        <f t="shared" si="2"/>
        <v>30.0</v>
      </c>
    </row>
    <row r="157" spans="8:8">
      <c r="A157" s="3" t="s">
        <v>166</v>
      </c>
      <c r="B157" s="4" t="s">
        <v>65</v>
      </c>
      <c r="C157" s="93">
        <v>1.0</v>
      </c>
      <c r="D157" s="93">
        <v>20.0</v>
      </c>
      <c r="E157" s="372">
        <v>2.0</v>
      </c>
      <c r="F157" s="372">
        <v>2.0</v>
      </c>
      <c r="G157" s="370">
        <v>6.0</v>
      </c>
      <c r="H157" s="360"/>
      <c r="I157" s="6">
        <f t="shared" si="2"/>
        <v>30.0</v>
      </c>
    </row>
    <row r="158" spans="8:8">
      <c r="A158" s="3" t="s">
        <v>167</v>
      </c>
      <c r="B158" s="4" t="s">
        <v>65</v>
      </c>
      <c r="C158" s="93">
        <v>1.0</v>
      </c>
      <c r="D158" s="93">
        <v>21.0</v>
      </c>
      <c r="E158" s="372">
        <v>2.0</v>
      </c>
      <c r="F158" s="372">
        <v>2.0</v>
      </c>
      <c r="G158" s="370">
        <v>6.0</v>
      </c>
      <c r="H158" s="360"/>
      <c r="I158" s="6">
        <f t="shared" si="2"/>
        <v>31.0</v>
      </c>
    </row>
    <row r="159" spans="8:8">
      <c r="A159" s="3" t="s">
        <v>168</v>
      </c>
      <c r="B159" s="4" t="s">
        <v>65</v>
      </c>
      <c r="C159" s="93">
        <v>1.0</v>
      </c>
      <c r="D159" s="93">
        <v>39.0</v>
      </c>
      <c r="E159" s="372">
        <v>2.0</v>
      </c>
      <c r="F159" s="372">
        <v>2.0</v>
      </c>
      <c r="G159" s="370">
        <v>6.0</v>
      </c>
      <c r="H159" s="360"/>
      <c r="I159" s="6">
        <f t="shared" si="2"/>
        <v>49.0</v>
      </c>
    </row>
    <row r="160" spans="8:8">
      <c r="A160" s="3" t="s">
        <v>169</v>
      </c>
      <c r="B160" s="4" t="s">
        <v>65</v>
      </c>
      <c r="C160" s="93">
        <v>1.0</v>
      </c>
      <c r="D160" s="93">
        <v>42.0</v>
      </c>
      <c r="E160" s="372">
        <v>2.0</v>
      </c>
      <c r="F160" s="372">
        <v>2.0</v>
      </c>
      <c r="G160" s="370">
        <v>6.0</v>
      </c>
      <c r="H160" s="360"/>
      <c r="I160" s="6">
        <f t="shared" si="2"/>
        <v>52.0</v>
      </c>
    </row>
    <row r="161" spans="8:8">
      <c r="A161" s="3" t="s">
        <v>170</v>
      </c>
      <c r="B161" s="4" t="s">
        <v>65</v>
      </c>
      <c r="C161" s="93">
        <v>1.0</v>
      </c>
      <c r="D161" s="93">
        <v>20.0</v>
      </c>
      <c r="E161" s="372">
        <v>2.0</v>
      </c>
      <c r="F161" s="372">
        <v>2.0</v>
      </c>
      <c r="G161" s="370">
        <v>6.0</v>
      </c>
      <c r="H161" s="360"/>
      <c r="I161" s="6">
        <f t="shared" si="2"/>
        <v>30.0</v>
      </c>
    </row>
    <row r="162" spans="8:8">
      <c r="A162" s="3" t="s">
        <v>171</v>
      </c>
      <c r="B162" s="4" t="s">
        <v>65</v>
      </c>
      <c r="C162" s="93">
        <v>1.0</v>
      </c>
      <c r="D162" s="93">
        <v>21.0</v>
      </c>
      <c r="E162" s="372">
        <v>2.0</v>
      </c>
      <c r="F162" s="372">
        <v>2.0</v>
      </c>
      <c r="G162" s="370">
        <v>6.0</v>
      </c>
      <c r="H162" s="360"/>
      <c r="I162" s="6">
        <f t="shared" si="2"/>
        <v>31.0</v>
      </c>
    </row>
    <row r="163" spans="8:8">
      <c r="A163" s="3" t="s">
        <v>172</v>
      </c>
      <c r="B163" s="4" t="s">
        <v>65</v>
      </c>
      <c r="C163" s="93">
        <v>1.0</v>
      </c>
      <c r="D163" s="93">
        <v>23.0</v>
      </c>
      <c r="E163" s="372">
        <v>2.0</v>
      </c>
      <c r="F163" s="372">
        <v>2.0</v>
      </c>
      <c r="G163" s="370">
        <v>6.0</v>
      </c>
      <c r="H163" s="360"/>
      <c r="I163" s="6">
        <f t="shared" si="2"/>
        <v>33.0</v>
      </c>
    </row>
    <row r="164" spans="8:8">
      <c r="A164" s="3" t="s">
        <v>173</v>
      </c>
      <c r="B164" s="4" t="s">
        <v>65</v>
      </c>
      <c r="C164" s="93">
        <v>1.0</v>
      </c>
      <c r="D164" s="93">
        <v>39.0</v>
      </c>
      <c r="E164" s="372">
        <v>2.0</v>
      </c>
      <c r="F164" s="372">
        <v>2.0</v>
      </c>
      <c r="G164" s="370">
        <v>6.0</v>
      </c>
      <c r="H164" s="360"/>
      <c r="I164" s="6">
        <f t="shared" si="2"/>
        <v>49.0</v>
      </c>
    </row>
    <row r="165" spans="8:8">
      <c r="A165" s="3" t="s">
        <v>174</v>
      </c>
      <c r="B165" s="4" t="s">
        <v>65</v>
      </c>
      <c r="C165" s="93">
        <v>1.0</v>
      </c>
      <c r="D165" s="93">
        <v>42.0</v>
      </c>
      <c r="E165" s="372">
        <v>2.0</v>
      </c>
      <c r="F165" s="372">
        <v>2.0</v>
      </c>
      <c r="G165" s="370">
        <v>6.0</v>
      </c>
      <c r="H165" s="360"/>
      <c r="I165" s="6">
        <f t="shared" si="3" ref="I165:I167">SUM(D165:H165)</f>
        <v>52.0</v>
      </c>
    </row>
    <row r="166" spans="8:8">
      <c r="A166" s="3" t="s">
        <v>175</v>
      </c>
      <c r="B166" s="4" t="s">
        <v>65</v>
      </c>
      <c r="C166" s="93">
        <v>1.0</v>
      </c>
      <c r="D166" s="93">
        <v>46.0</v>
      </c>
      <c r="E166" s="372">
        <v>2.0</v>
      </c>
      <c r="F166" s="372">
        <v>2.0</v>
      </c>
      <c r="G166" s="370">
        <v>6.0</v>
      </c>
      <c r="H166" s="360"/>
      <c r="I166" s="6">
        <f t="shared" si="3"/>
        <v>56.0</v>
      </c>
    </row>
    <row r="167" spans="8:8">
      <c r="A167" s="3" t="s">
        <v>176</v>
      </c>
      <c r="B167" s="4" t="s">
        <v>65</v>
      </c>
      <c r="C167" s="93">
        <v>1.0</v>
      </c>
      <c r="D167" s="93">
        <v>18.0</v>
      </c>
      <c r="E167" s="372">
        <v>2.0</v>
      </c>
      <c r="F167" s="372">
        <v>2.0</v>
      </c>
      <c r="G167" s="370">
        <v>6.0</v>
      </c>
      <c r="H167" s="360"/>
      <c r="I167" s="6">
        <f t="shared" si="3"/>
        <v>28.0</v>
      </c>
    </row>
    <row r="168" spans="8:8">
      <c r="A168" s="3" t="s">
        <v>177</v>
      </c>
      <c r="B168" s="4" t="s">
        <v>65</v>
      </c>
      <c r="C168" s="93">
        <v>60.0</v>
      </c>
      <c r="D168" s="93">
        <v>23.0</v>
      </c>
      <c r="E168" s="372">
        <v>2.0</v>
      </c>
      <c r="F168" s="372">
        <v>2.0</v>
      </c>
      <c r="G168" s="370">
        <v>6.0</v>
      </c>
      <c r="H168" s="360"/>
      <c r="I168" s="6">
        <f>SUM(C168:H168)</f>
        <v>93.0</v>
      </c>
    </row>
    <row r="169" spans="8:8">
      <c r="A169" s="3" t="s">
        <v>178</v>
      </c>
      <c r="B169" s="4" t="s">
        <v>65</v>
      </c>
      <c r="C169" s="93">
        <v>1.0</v>
      </c>
      <c r="D169" s="93">
        <v>342.0</v>
      </c>
      <c r="E169" s="372">
        <v>2.0</v>
      </c>
      <c r="F169" s="372">
        <v>2.0</v>
      </c>
      <c r="G169" s="370">
        <v>6.0</v>
      </c>
      <c r="H169" s="360"/>
      <c r="I169" s="6">
        <f t="shared" si="4" ref="I169:I232">SUM(D169:H169)</f>
        <v>352.0</v>
      </c>
    </row>
    <row r="170" spans="8:8">
      <c r="A170" s="3" t="s">
        <v>179</v>
      </c>
      <c r="B170" s="4" t="s">
        <v>65</v>
      </c>
      <c r="C170" s="93">
        <v>1.0</v>
      </c>
      <c r="D170" s="93">
        <v>44.0</v>
      </c>
      <c r="E170" s="372">
        <v>2.0</v>
      </c>
      <c r="F170" s="372">
        <v>2.0</v>
      </c>
      <c r="G170" s="370">
        <v>6.0</v>
      </c>
      <c r="H170" s="360"/>
      <c r="I170" s="6">
        <f t="shared" si="4"/>
        <v>54.0</v>
      </c>
    </row>
    <row r="171" spans="8:8">
      <c r="A171" s="3" t="s">
        <v>180</v>
      </c>
      <c r="B171" s="4" t="s">
        <v>65</v>
      </c>
      <c r="C171" s="93">
        <v>1.0</v>
      </c>
      <c r="D171" s="93">
        <v>21.0</v>
      </c>
      <c r="E171" s="372">
        <v>2.0</v>
      </c>
      <c r="F171" s="372">
        <v>2.0</v>
      </c>
      <c r="G171" s="370">
        <v>6.0</v>
      </c>
      <c r="H171" s="360"/>
      <c r="I171" s="6">
        <f t="shared" si="4"/>
        <v>31.0</v>
      </c>
    </row>
    <row r="172" spans="8:8">
      <c r="A172" s="3" t="s">
        <v>181</v>
      </c>
      <c r="B172" s="4" t="s">
        <v>65</v>
      </c>
      <c r="C172" s="93">
        <v>1.0</v>
      </c>
      <c r="D172" s="93">
        <v>42.0</v>
      </c>
      <c r="E172" s="372">
        <v>2.0</v>
      </c>
      <c r="F172" s="372">
        <v>2.0</v>
      </c>
      <c r="G172" s="370">
        <v>6.0</v>
      </c>
      <c r="H172" s="360"/>
      <c r="I172" s="6">
        <f t="shared" si="4"/>
        <v>52.0</v>
      </c>
    </row>
    <row r="173" spans="8:8">
      <c r="A173" s="3" t="s">
        <v>182</v>
      </c>
      <c r="B173" s="4" t="s">
        <v>65</v>
      </c>
      <c r="C173" s="93">
        <v>1.0</v>
      </c>
      <c r="D173" s="93">
        <v>20.0</v>
      </c>
      <c r="E173" s="372">
        <v>2.0</v>
      </c>
      <c r="F173" s="372">
        <v>2.0</v>
      </c>
      <c r="G173" s="370">
        <v>6.0</v>
      </c>
      <c r="H173" s="360"/>
      <c r="I173" s="6">
        <f t="shared" si="4"/>
        <v>30.0</v>
      </c>
    </row>
    <row r="174" spans="8:8">
      <c r="A174" s="3" t="s">
        <v>183</v>
      </c>
      <c r="B174" s="4" t="s">
        <v>65</v>
      </c>
      <c r="C174" s="93">
        <v>1.0</v>
      </c>
      <c r="D174" s="93">
        <v>21.0</v>
      </c>
      <c r="E174" s="372">
        <v>2.0</v>
      </c>
      <c r="F174" s="372">
        <v>2.0</v>
      </c>
      <c r="G174" s="370">
        <v>6.0</v>
      </c>
      <c r="H174" s="360"/>
      <c r="I174" s="6">
        <f t="shared" si="4"/>
        <v>31.0</v>
      </c>
    </row>
    <row r="175" spans="8:8">
      <c r="A175" s="3" t="s">
        <v>184</v>
      </c>
      <c r="B175" s="4" t="s">
        <v>65</v>
      </c>
      <c r="C175" s="93">
        <v>1.0</v>
      </c>
      <c r="D175" s="93">
        <v>23.0</v>
      </c>
      <c r="E175" s="372">
        <v>2.0</v>
      </c>
      <c r="F175" s="372">
        <v>2.0</v>
      </c>
      <c r="G175" s="370">
        <v>6.0</v>
      </c>
      <c r="H175" s="360"/>
      <c r="I175" s="6">
        <f t="shared" si="4"/>
        <v>33.0</v>
      </c>
    </row>
    <row r="176" spans="8:8">
      <c r="A176" s="3" t="s">
        <v>185</v>
      </c>
      <c r="B176" s="4" t="s">
        <v>65</v>
      </c>
      <c r="C176" s="93">
        <v>1.0</v>
      </c>
      <c r="D176" s="93">
        <v>39.0</v>
      </c>
      <c r="E176" s="372">
        <v>2.0</v>
      </c>
      <c r="F176" s="372">
        <v>2.0</v>
      </c>
      <c r="G176" s="370">
        <v>6.0</v>
      </c>
      <c r="H176" s="360"/>
      <c r="I176" s="6">
        <f t="shared" si="4"/>
        <v>49.0</v>
      </c>
    </row>
    <row r="177" spans="8:8">
      <c r="A177" s="3" t="s">
        <v>186</v>
      </c>
      <c r="B177" s="4" t="s">
        <v>65</v>
      </c>
      <c r="C177" s="93">
        <v>1.0</v>
      </c>
      <c r="D177" s="93">
        <v>42.0</v>
      </c>
      <c r="E177" s="372">
        <v>2.0</v>
      </c>
      <c r="F177" s="372">
        <v>2.0</v>
      </c>
      <c r="G177" s="370">
        <v>6.0</v>
      </c>
      <c r="H177" s="360"/>
      <c r="I177" s="6">
        <f t="shared" si="4"/>
        <v>52.0</v>
      </c>
    </row>
    <row r="178" spans="8:8">
      <c r="A178" s="3" t="s">
        <v>187</v>
      </c>
      <c r="B178" s="4" t="s">
        <v>65</v>
      </c>
      <c r="C178" s="93">
        <v>1.0</v>
      </c>
      <c r="D178" s="93">
        <v>46.0</v>
      </c>
      <c r="E178" s="372">
        <v>2.0</v>
      </c>
      <c r="F178" s="372">
        <v>2.0</v>
      </c>
      <c r="G178" s="370">
        <v>6.0</v>
      </c>
      <c r="H178" s="360"/>
      <c r="I178" s="6">
        <f t="shared" si="4"/>
        <v>56.0</v>
      </c>
    </row>
    <row r="179" spans="8:8" s="49" ht="15.0" customFormat="1">
      <c r="A179" s="15" t="s">
        <v>188</v>
      </c>
      <c r="B179" s="16" t="s">
        <v>65</v>
      </c>
      <c r="C179" s="93">
        <v>1.0</v>
      </c>
      <c r="D179" s="93">
        <v>5.0</v>
      </c>
      <c r="E179" s="372">
        <v>2.0</v>
      </c>
      <c r="F179" s="372">
        <v>2.0</v>
      </c>
      <c r="G179" s="370">
        <v>6.0</v>
      </c>
      <c r="H179" s="360"/>
      <c r="I179" s="17">
        <f>SUM(D179:H179)</f>
        <v>15.0</v>
      </c>
    </row>
    <row r="180" spans="8:8" s="49" ht="15.0" customFormat="1">
      <c r="A180" s="15" t="s">
        <v>189</v>
      </c>
      <c r="B180" s="16" t="s">
        <v>65</v>
      </c>
      <c r="C180" s="93">
        <v>1.0</v>
      </c>
      <c r="D180" s="93">
        <v>5.0</v>
      </c>
      <c r="E180" s="372">
        <v>2.0</v>
      </c>
      <c r="F180" s="372">
        <v>2.0</v>
      </c>
      <c r="G180" s="370">
        <v>6.0</v>
      </c>
      <c r="H180" s="360"/>
      <c r="I180" s="17">
        <f>SUM(D180:H180)</f>
        <v>15.0</v>
      </c>
    </row>
    <row r="181" spans="8:8">
      <c r="A181" s="3" t="s">
        <v>190</v>
      </c>
      <c r="B181" s="16" t="s">
        <v>65</v>
      </c>
      <c r="C181" s="93">
        <v>1.0</v>
      </c>
      <c r="D181" s="93">
        <v>20.0</v>
      </c>
      <c r="E181" s="372">
        <v>2.0</v>
      </c>
      <c r="F181" s="372">
        <v>2.0</v>
      </c>
      <c r="G181" s="370">
        <v>6.0</v>
      </c>
      <c r="H181" s="360"/>
      <c r="I181" s="6">
        <f t="shared" si="4"/>
        <v>30.0</v>
      </c>
    </row>
    <row r="182" spans="8:8" s="49" ht="15.0" customFormat="1">
      <c r="A182" s="3" t="s">
        <v>191</v>
      </c>
      <c r="B182" s="4" t="s">
        <v>65</v>
      </c>
      <c r="C182" s="93">
        <v>1.0</v>
      </c>
      <c r="D182" s="93">
        <v>21.0</v>
      </c>
      <c r="E182" s="372">
        <v>2.0</v>
      </c>
      <c r="F182" s="372">
        <v>2.0</v>
      </c>
      <c r="G182" s="370">
        <v>6.0</v>
      </c>
      <c r="H182" s="360"/>
      <c r="I182" s="17">
        <f t="shared" si="4"/>
        <v>31.0</v>
      </c>
    </row>
    <row r="183" spans="8:8">
      <c r="A183" s="3" t="s">
        <v>192</v>
      </c>
      <c r="B183" s="4" t="s">
        <v>65</v>
      </c>
      <c r="C183" s="93">
        <v>1.0</v>
      </c>
      <c r="D183" s="93">
        <v>23.0</v>
      </c>
      <c r="E183" s="372">
        <v>2.0</v>
      </c>
      <c r="F183" s="372">
        <v>2.0</v>
      </c>
      <c r="G183" s="370">
        <v>6.0</v>
      </c>
      <c r="H183" s="360"/>
      <c r="I183" s="6">
        <f t="shared" si="4"/>
        <v>33.0</v>
      </c>
    </row>
    <row r="184" spans="8:8">
      <c r="A184" s="3" t="s">
        <v>193</v>
      </c>
      <c r="B184" s="4" t="s">
        <v>65</v>
      </c>
      <c r="C184" s="93">
        <v>1.0</v>
      </c>
      <c r="D184" s="93">
        <v>20.0</v>
      </c>
      <c r="E184" s="372">
        <v>2.0</v>
      </c>
      <c r="F184" s="372">
        <v>2.0</v>
      </c>
      <c r="G184" s="370">
        <v>6.0</v>
      </c>
      <c r="H184" s="360"/>
      <c r="I184" s="6">
        <f t="shared" si="4"/>
        <v>30.0</v>
      </c>
    </row>
    <row r="185" spans="8:8" ht="15.75">
      <c r="A185" s="388" t="s">
        <v>194</v>
      </c>
      <c r="B185" s="389" t="s">
        <v>65</v>
      </c>
      <c r="C185" s="391">
        <v>1.0</v>
      </c>
      <c r="D185" s="391">
        <v>21.0</v>
      </c>
      <c r="E185" s="392">
        <v>2.0</v>
      </c>
      <c r="F185" s="392">
        <v>2.0</v>
      </c>
      <c r="G185" s="392">
        <v>6.0</v>
      </c>
      <c r="H185" s="397"/>
      <c r="I185" s="394">
        <f t="shared" si="4"/>
        <v>31.0</v>
      </c>
    </row>
    <row r="186" spans="8:8" ht="15.75">
      <c r="A186" s="10" t="s">
        <v>197</v>
      </c>
      <c r="B186" s="11" t="s">
        <v>196</v>
      </c>
      <c r="C186" s="118">
        <v>1.0</v>
      </c>
      <c r="D186" s="118">
        <v>48.0</v>
      </c>
      <c r="E186" s="370">
        <v>2.0</v>
      </c>
      <c r="F186" s="370">
        <v>2.0</v>
      </c>
      <c r="G186" s="395"/>
      <c r="H186" s="395"/>
      <c r="I186" s="13">
        <f t="shared" si="4"/>
        <v>52.0</v>
      </c>
    </row>
    <row r="187" spans="8:8">
      <c r="A187" s="3" t="s">
        <v>198</v>
      </c>
      <c r="B187" s="4" t="s">
        <v>196</v>
      </c>
      <c r="C187" s="93">
        <v>1.0</v>
      </c>
      <c r="D187" s="93">
        <v>358.0</v>
      </c>
      <c r="E187" s="372">
        <v>2.0</v>
      </c>
      <c r="F187" s="372">
        <v>2.0</v>
      </c>
      <c r="G187" s="360"/>
      <c r="H187" s="360"/>
      <c r="I187" s="6">
        <f t="shared" si="4"/>
        <v>362.0</v>
      </c>
    </row>
    <row r="188" spans="8:8">
      <c r="A188" s="3" t="s">
        <v>199</v>
      </c>
      <c r="B188" s="4" t="s">
        <v>196</v>
      </c>
      <c r="C188" s="93">
        <v>1.0</v>
      </c>
      <c r="D188" s="93">
        <v>103.0</v>
      </c>
      <c r="E188" s="372">
        <v>2.0</v>
      </c>
      <c r="F188" s="372">
        <v>2.0</v>
      </c>
      <c r="G188" s="360"/>
      <c r="H188" s="360"/>
      <c r="I188" s="6">
        <f t="shared" si="4"/>
        <v>107.0</v>
      </c>
    </row>
    <row r="189" spans="8:8">
      <c r="A189" s="3" t="s">
        <v>201</v>
      </c>
      <c r="B189" s="4" t="s">
        <v>196</v>
      </c>
      <c r="C189" s="93">
        <v>1.0</v>
      </c>
      <c r="D189" s="93">
        <v>103.0</v>
      </c>
      <c r="E189" s="372">
        <v>2.0</v>
      </c>
      <c r="F189" s="372">
        <v>2.0</v>
      </c>
      <c r="G189" s="360"/>
      <c r="H189" s="360"/>
      <c r="I189" s="6">
        <f t="shared" si="4"/>
        <v>107.0</v>
      </c>
    </row>
    <row r="190" spans="8:8">
      <c r="A190" s="3" t="s">
        <v>202</v>
      </c>
      <c r="B190" s="16" t="s">
        <v>196</v>
      </c>
      <c r="C190" s="93">
        <v>1.0</v>
      </c>
      <c r="D190" s="93">
        <v>103.0</v>
      </c>
      <c r="E190" s="372">
        <v>2.0</v>
      </c>
      <c r="F190" s="372">
        <v>2.0</v>
      </c>
      <c r="G190" s="360"/>
      <c r="H190" s="360"/>
      <c r="I190" s="6">
        <f t="shared" si="4"/>
        <v>107.0</v>
      </c>
    </row>
    <row r="191" spans="8:8">
      <c r="A191" s="3" t="s">
        <v>203</v>
      </c>
      <c r="B191" s="4" t="s">
        <v>196</v>
      </c>
      <c r="C191" s="93">
        <v>1.0</v>
      </c>
      <c r="D191" s="93">
        <v>103.0</v>
      </c>
      <c r="E191" s="372">
        <v>2.0</v>
      </c>
      <c r="F191" s="372">
        <v>2.0</v>
      </c>
      <c r="G191" s="360"/>
      <c r="H191" s="360"/>
      <c r="I191" s="6">
        <f t="shared" si="4"/>
        <v>107.0</v>
      </c>
    </row>
    <row r="192" spans="8:8">
      <c r="A192" s="3" t="s">
        <v>204</v>
      </c>
      <c r="B192" s="4" t="s">
        <v>196</v>
      </c>
      <c r="C192" s="93">
        <v>1.0</v>
      </c>
      <c r="D192" s="93">
        <v>103.0</v>
      </c>
      <c r="E192" s="372">
        <v>2.0</v>
      </c>
      <c r="F192" s="372">
        <v>2.0</v>
      </c>
      <c r="G192" s="360"/>
      <c r="H192" s="360"/>
      <c r="I192" s="6">
        <f t="shared" si="4"/>
        <v>107.0</v>
      </c>
    </row>
    <row r="193" spans="8:8">
      <c r="A193" s="3" t="s">
        <v>206</v>
      </c>
      <c r="B193" s="4" t="s">
        <v>196</v>
      </c>
      <c r="C193" s="93">
        <v>1.0</v>
      </c>
      <c r="D193" s="93">
        <v>103.0</v>
      </c>
      <c r="E193" s="372">
        <v>2.0</v>
      </c>
      <c r="F193" s="372">
        <v>2.0</v>
      </c>
      <c r="G193" s="360"/>
      <c r="H193" s="360"/>
      <c r="I193" s="6">
        <f t="shared" si="4"/>
        <v>107.0</v>
      </c>
    </row>
    <row r="194" spans="8:8">
      <c r="A194" s="3" t="s">
        <v>207</v>
      </c>
      <c r="B194" s="4" t="s">
        <v>196</v>
      </c>
      <c r="C194" s="93">
        <v>1.0</v>
      </c>
      <c r="D194" s="93">
        <v>103.0</v>
      </c>
      <c r="E194" s="372">
        <v>2.0</v>
      </c>
      <c r="F194" s="372">
        <v>2.0</v>
      </c>
      <c r="G194" s="360"/>
      <c r="H194" s="360"/>
      <c r="I194" s="6">
        <f t="shared" si="4"/>
        <v>107.0</v>
      </c>
    </row>
    <row r="195" spans="8:8">
      <c r="A195" s="3" t="s">
        <v>208</v>
      </c>
      <c r="B195" s="4" t="s">
        <v>196</v>
      </c>
      <c r="C195" s="93">
        <v>1.0</v>
      </c>
      <c r="D195" s="93">
        <v>103.0</v>
      </c>
      <c r="E195" s="372">
        <v>2.0</v>
      </c>
      <c r="F195" s="372">
        <v>2.0</v>
      </c>
      <c r="G195" s="360"/>
      <c r="H195" s="360"/>
      <c r="I195" s="6">
        <f t="shared" si="4"/>
        <v>107.0</v>
      </c>
    </row>
    <row r="196" spans="8:8">
      <c r="A196" s="3" t="s">
        <v>209</v>
      </c>
      <c r="B196" s="4" t="s">
        <v>196</v>
      </c>
      <c r="C196" s="93">
        <v>1.0</v>
      </c>
      <c r="D196" s="93">
        <v>103.0</v>
      </c>
      <c r="E196" s="372">
        <v>2.0</v>
      </c>
      <c r="F196" s="372">
        <v>2.0</v>
      </c>
      <c r="G196" s="360"/>
      <c r="H196" s="360"/>
      <c r="I196" s="6">
        <f t="shared" si="4"/>
        <v>107.0</v>
      </c>
    </row>
    <row r="197" spans="8:8">
      <c r="A197" s="3" t="s">
        <v>210</v>
      </c>
      <c r="B197" s="4" t="s">
        <v>196</v>
      </c>
      <c r="C197" s="93">
        <v>1.0</v>
      </c>
      <c r="D197" s="93">
        <v>103.0</v>
      </c>
      <c r="E197" s="372">
        <v>2.0</v>
      </c>
      <c r="F197" s="372">
        <v>2.0</v>
      </c>
      <c r="G197" s="360"/>
      <c r="H197" s="360"/>
      <c r="I197" s="6">
        <f t="shared" si="4"/>
        <v>107.0</v>
      </c>
    </row>
    <row r="198" spans="8:8">
      <c r="A198" s="3" t="s">
        <v>211</v>
      </c>
      <c r="B198" s="4" t="s">
        <v>196</v>
      </c>
      <c r="C198" s="93">
        <v>1.0</v>
      </c>
      <c r="D198" s="93">
        <v>103.0</v>
      </c>
      <c r="E198" s="372">
        <v>2.0</v>
      </c>
      <c r="F198" s="372">
        <v>2.0</v>
      </c>
      <c r="G198" s="360"/>
      <c r="H198" s="360"/>
      <c r="I198" s="6">
        <f t="shared" si="4"/>
        <v>107.0</v>
      </c>
    </row>
    <row r="199" spans="8:8">
      <c r="A199" s="3" t="s">
        <v>212</v>
      </c>
      <c r="B199" s="4" t="s">
        <v>196</v>
      </c>
      <c r="C199" s="93">
        <v>1.0</v>
      </c>
      <c r="D199" s="93">
        <v>103.0</v>
      </c>
      <c r="E199" s="372">
        <v>2.0</v>
      </c>
      <c r="F199" s="372">
        <v>2.0</v>
      </c>
      <c r="G199" s="360"/>
      <c r="H199" s="360"/>
      <c r="I199" s="6">
        <f t="shared" si="4"/>
        <v>107.0</v>
      </c>
    </row>
    <row r="200" spans="8:8">
      <c r="A200" s="3" t="s">
        <v>214</v>
      </c>
      <c r="B200" s="4" t="s">
        <v>196</v>
      </c>
      <c r="C200" s="93">
        <v>1.0</v>
      </c>
      <c r="D200" s="93">
        <v>103.0</v>
      </c>
      <c r="E200" s="372">
        <v>2.0</v>
      </c>
      <c r="F200" s="372">
        <v>2.0</v>
      </c>
      <c r="G200" s="360"/>
      <c r="H200" s="360"/>
      <c r="I200" s="6">
        <f t="shared" si="4"/>
        <v>107.0</v>
      </c>
    </row>
    <row r="201" spans="8:8">
      <c r="A201" s="3" t="s">
        <v>215</v>
      </c>
      <c r="B201" s="4" t="s">
        <v>196</v>
      </c>
      <c r="C201" s="93">
        <v>1.0</v>
      </c>
      <c r="D201" s="93">
        <v>103.0</v>
      </c>
      <c r="E201" s="372">
        <v>2.0</v>
      </c>
      <c r="F201" s="372">
        <v>2.0</v>
      </c>
      <c r="G201" s="360"/>
      <c r="H201" s="360"/>
      <c r="I201" s="6">
        <f t="shared" si="4"/>
        <v>107.0</v>
      </c>
    </row>
    <row r="202" spans="8:8">
      <c r="A202" s="3" t="s">
        <v>216</v>
      </c>
      <c r="B202" s="4" t="s">
        <v>196</v>
      </c>
      <c r="C202" s="93">
        <v>1.0</v>
      </c>
      <c r="D202" s="93">
        <v>103.0</v>
      </c>
      <c r="E202" s="372">
        <v>2.0</v>
      </c>
      <c r="F202" s="372">
        <v>2.0</v>
      </c>
      <c r="G202" s="360"/>
      <c r="H202" s="360"/>
      <c r="I202" s="6">
        <f t="shared" si="4"/>
        <v>107.0</v>
      </c>
    </row>
    <row r="203" spans="8:8">
      <c r="A203" s="3" t="s">
        <v>217</v>
      </c>
      <c r="B203" s="4" t="s">
        <v>196</v>
      </c>
      <c r="C203" s="93">
        <v>1.0</v>
      </c>
      <c r="D203" s="93">
        <v>103.0</v>
      </c>
      <c r="E203" s="372">
        <v>2.0</v>
      </c>
      <c r="F203" s="372">
        <v>2.0</v>
      </c>
      <c r="G203" s="360"/>
      <c r="H203" s="360"/>
      <c r="I203" s="6">
        <f t="shared" si="4"/>
        <v>107.0</v>
      </c>
    </row>
    <row r="204" spans="8:8">
      <c r="A204" s="3" t="s">
        <v>218</v>
      </c>
      <c r="B204" s="4" t="s">
        <v>196</v>
      </c>
      <c r="C204" s="93">
        <v>1.0</v>
      </c>
      <c r="D204" s="93">
        <v>103.0</v>
      </c>
      <c r="E204" s="372">
        <v>2.0</v>
      </c>
      <c r="F204" s="372">
        <v>2.0</v>
      </c>
      <c r="G204" s="360"/>
      <c r="H204" s="360"/>
      <c r="I204" s="6">
        <f t="shared" si="4"/>
        <v>107.0</v>
      </c>
    </row>
    <row r="205" spans="8:8">
      <c r="A205" s="3" t="s">
        <v>219</v>
      </c>
      <c r="B205" s="4" t="s">
        <v>196</v>
      </c>
      <c r="C205" s="93">
        <v>1.0</v>
      </c>
      <c r="D205" s="93">
        <v>103.0</v>
      </c>
      <c r="E205" s="372">
        <v>2.0</v>
      </c>
      <c r="F205" s="372">
        <v>2.0</v>
      </c>
      <c r="G205" s="360"/>
      <c r="H205" s="360"/>
      <c r="I205" s="6">
        <f t="shared" si="4"/>
        <v>107.0</v>
      </c>
    </row>
    <row r="206" spans="8:8">
      <c r="A206" s="3" t="s">
        <v>220</v>
      </c>
      <c r="B206" s="4" t="s">
        <v>196</v>
      </c>
      <c r="C206" s="93">
        <v>1.0</v>
      </c>
      <c r="D206" s="93">
        <v>103.0</v>
      </c>
      <c r="E206" s="372">
        <v>2.0</v>
      </c>
      <c r="F206" s="372">
        <v>2.0</v>
      </c>
      <c r="G206" s="360"/>
      <c r="H206" s="360"/>
      <c r="I206" s="6">
        <f t="shared" si="4"/>
        <v>107.0</v>
      </c>
    </row>
    <row r="207" spans="8:8">
      <c r="A207" s="15" t="s">
        <v>221</v>
      </c>
      <c r="B207" s="4" t="s">
        <v>196</v>
      </c>
      <c r="C207" s="93">
        <v>1.0</v>
      </c>
      <c r="D207" s="93">
        <v>103.0</v>
      </c>
      <c r="E207" s="372">
        <v>2.0</v>
      </c>
      <c r="F207" s="372">
        <v>2.0</v>
      </c>
      <c r="G207" s="360"/>
      <c r="H207" s="360"/>
      <c r="I207" s="6">
        <f t="shared" si="4"/>
        <v>107.0</v>
      </c>
    </row>
    <row r="208" spans="8:8">
      <c r="A208" s="3" t="s">
        <v>222</v>
      </c>
      <c r="B208" s="4" t="s">
        <v>196</v>
      </c>
      <c r="C208" s="93">
        <v>1.0</v>
      </c>
      <c r="D208" s="93">
        <v>205.0</v>
      </c>
      <c r="E208" s="372">
        <v>2.0</v>
      </c>
      <c r="F208" s="372">
        <v>2.0</v>
      </c>
      <c r="G208" s="360"/>
      <c r="H208" s="360"/>
      <c r="I208" s="6">
        <f t="shared" si="4"/>
        <v>209.0</v>
      </c>
    </row>
    <row r="209" spans="8:8">
      <c r="A209" s="3" t="s">
        <v>223</v>
      </c>
      <c r="B209" s="4" t="s">
        <v>196</v>
      </c>
      <c r="C209" s="93">
        <v>1.0</v>
      </c>
      <c r="D209" s="93">
        <v>103.0</v>
      </c>
      <c r="E209" s="372">
        <v>2.0</v>
      </c>
      <c r="F209" s="372">
        <v>2.0</v>
      </c>
      <c r="G209" s="360"/>
      <c r="H209" s="360"/>
      <c r="I209" s="6">
        <f t="shared" si="4"/>
        <v>107.0</v>
      </c>
    </row>
    <row r="210" spans="8:8">
      <c r="A210" s="3" t="s">
        <v>224</v>
      </c>
      <c r="B210" s="4" t="s">
        <v>196</v>
      </c>
      <c r="C210" s="93">
        <v>1.0</v>
      </c>
      <c r="D210" s="93">
        <v>103.0</v>
      </c>
      <c r="E210" s="372">
        <v>2.0</v>
      </c>
      <c r="F210" s="372">
        <v>2.0</v>
      </c>
      <c r="G210" s="360"/>
      <c r="H210" s="360"/>
      <c r="I210" s="6">
        <f t="shared" si="4"/>
        <v>107.0</v>
      </c>
    </row>
    <row r="211" spans="8:8">
      <c r="A211" s="3" t="s">
        <v>225</v>
      </c>
      <c r="B211" s="4" t="s">
        <v>196</v>
      </c>
      <c r="C211" s="93">
        <v>1.0</v>
      </c>
      <c r="D211" s="93">
        <v>103.0</v>
      </c>
      <c r="E211" s="372">
        <v>2.0</v>
      </c>
      <c r="F211" s="372">
        <v>2.0</v>
      </c>
      <c r="G211" s="360"/>
      <c r="H211" s="360"/>
      <c r="I211" s="6">
        <f t="shared" si="4"/>
        <v>107.0</v>
      </c>
    </row>
    <row r="212" spans="8:8">
      <c r="A212" s="3" t="s">
        <v>226</v>
      </c>
      <c r="B212" s="4" t="s">
        <v>196</v>
      </c>
      <c r="C212" s="93">
        <v>1.0</v>
      </c>
      <c r="D212" s="93">
        <v>103.0</v>
      </c>
      <c r="E212" s="372">
        <v>2.0</v>
      </c>
      <c r="F212" s="372">
        <v>2.0</v>
      </c>
      <c r="G212" s="360"/>
      <c r="H212" s="360"/>
      <c r="I212" s="6">
        <f t="shared" si="4"/>
        <v>107.0</v>
      </c>
    </row>
    <row r="213" spans="8:8">
      <c r="A213" s="3" t="s">
        <v>228</v>
      </c>
      <c r="B213" s="4" t="s">
        <v>196</v>
      </c>
      <c r="C213" s="93">
        <v>1.0</v>
      </c>
      <c r="D213" s="93">
        <v>103.0</v>
      </c>
      <c r="E213" s="372">
        <v>2.0</v>
      </c>
      <c r="F213" s="372">
        <v>2.0</v>
      </c>
      <c r="G213" s="360"/>
      <c r="H213" s="360"/>
      <c r="I213" s="6">
        <f t="shared" si="4"/>
        <v>107.0</v>
      </c>
    </row>
    <row r="214" spans="8:8">
      <c r="A214" s="3" t="s">
        <v>229</v>
      </c>
      <c r="B214" s="4" t="s">
        <v>196</v>
      </c>
      <c r="C214" s="93">
        <v>1.0</v>
      </c>
      <c r="D214" s="93">
        <v>103.0</v>
      </c>
      <c r="E214" s="372">
        <v>2.0</v>
      </c>
      <c r="F214" s="372">
        <v>2.0</v>
      </c>
      <c r="G214" s="360"/>
      <c r="H214" s="360"/>
      <c r="I214" s="6">
        <f t="shared" si="4"/>
        <v>107.0</v>
      </c>
    </row>
    <row r="215" spans="8:8">
      <c r="A215" s="3" t="s">
        <v>230</v>
      </c>
      <c r="B215" s="4" t="s">
        <v>196</v>
      </c>
      <c r="C215" s="93">
        <v>1.0</v>
      </c>
      <c r="D215" s="93">
        <v>103.0</v>
      </c>
      <c r="E215" s="372">
        <v>2.0</v>
      </c>
      <c r="F215" s="372">
        <v>2.0</v>
      </c>
      <c r="G215" s="360"/>
      <c r="H215" s="360"/>
      <c r="I215" s="6">
        <f t="shared" si="4"/>
        <v>107.0</v>
      </c>
    </row>
    <row r="216" spans="8:8">
      <c r="A216" s="3" t="s">
        <v>231</v>
      </c>
      <c r="B216" s="4" t="s">
        <v>196</v>
      </c>
      <c r="C216" s="93">
        <v>1.0</v>
      </c>
      <c r="D216" s="93">
        <v>103.0</v>
      </c>
      <c r="E216" s="372">
        <v>2.0</v>
      </c>
      <c r="F216" s="372">
        <v>2.0</v>
      </c>
      <c r="G216" s="360"/>
      <c r="H216" s="360"/>
      <c r="I216" s="6">
        <f t="shared" si="4"/>
        <v>107.0</v>
      </c>
    </row>
    <row r="217" spans="8:8">
      <c r="A217" s="3" t="s">
        <v>232</v>
      </c>
      <c r="B217" s="4" t="s">
        <v>196</v>
      </c>
      <c r="C217" s="93">
        <v>1.0</v>
      </c>
      <c r="D217" s="93">
        <v>103.0</v>
      </c>
      <c r="E217" s="372">
        <v>2.0</v>
      </c>
      <c r="F217" s="372">
        <v>2.0</v>
      </c>
      <c r="G217" s="360"/>
      <c r="H217" s="360"/>
      <c r="I217" s="6">
        <f t="shared" si="4"/>
        <v>107.0</v>
      </c>
    </row>
    <row r="218" spans="8:8">
      <c r="A218" s="3" t="s">
        <v>233</v>
      </c>
      <c r="B218" s="4" t="s">
        <v>196</v>
      </c>
      <c r="C218" s="93">
        <v>1.0</v>
      </c>
      <c r="D218" s="93">
        <v>103.0</v>
      </c>
      <c r="E218" s="372">
        <v>2.0</v>
      </c>
      <c r="F218" s="372">
        <v>2.0</v>
      </c>
      <c r="G218" s="360"/>
      <c r="H218" s="360"/>
      <c r="I218" s="6">
        <f t="shared" si="4"/>
        <v>107.0</v>
      </c>
    </row>
    <row r="219" spans="8:8">
      <c r="A219" s="3" t="s">
        <v>234</v>
      </c>
      <c r="B219" s="4" t="s">
        <v>196</v>
      </c>
      <c r="C219" s="93">
        <v>1.0</v>
      </c>
      <c r="D219" s="93">
        <v>103.0</v>
      </c>
      <c r="E219" s="372">
        <v>2.0</v>
      </c>
      <c r="F219" s="372">
        <v>2.0</v>
      </c>
      <c r="G219" s="360"/>
      <c r="H219" s="360"/>
      <c r="I219" s="6">
        <f t="shared" si="4"/>
        <v>107.0</v>
      </c>
    </row>
    <row r="220" spans="8:8">
      <c r="A220" s="3" t="s">
        <v>235</v>
      </c>
      <c r="B220" s="4" t="s">
        <v>196</v>
      </c>
      <c r="C220" s="93">
        <v>1.0</v>
      </c>
      <c r="D220" s="93">
        <v>103.0</v>
      </c>
      <c r="E220" s="372">
        <v>2.0</v>
      </c>
      <c r="F220" s="372">
        <v>2.0</v>
      </c>
      <c r="G220" s="360"/>
      <c r="H220" s="360"/>
      <c r="I220" s="6">
        <f t="shared" si="4"/>
        <v>107.0</v>
      </c>
    </row>
    <row r="221" spans="8:8">
      <c r="A221" s="3" t="s">
        <v>236</v>
      </c>
      <c r="B221" s="4" t="s">
        <v>196</v>
      </c>
      <c r="C221" s="93">
        <v>1.0</v>
      </c>
      <c r="D221" s="93">
        <v>103.0</v>
      </c>
      <c r="E221" s="372">
        <v>2.0</v>
      </c>
      <c r="F221" s="372">
        <v>2.0</v>
      </c>
      <c r="G221" s="360"/>
      <c r="H221" s="360"/>
      <c r="I221" s="6">
        <f t="shared" si="4"/>
        <v>107.0</v>
      </c>
    </row>
    <row r="222" spans="8:8">
      <c r="A222" s="3" t="s">
        <v>237</v>
      </c>
      <c r="B222" s="4" t="s">
        <v>196</v>
      </c>
      <c r="C222" s="93">
        <v>1.0</v>
      </c>
      <c r="D222" s="93">
        <v>103.0</v>
      </c>
      <c r="E222" s="372">
        <v>2.0</v>
      </c>
      <c r="F222" s="372">
        <v>2.0</v>
      </c>
      <c r="G222" s="360"/>
      <c r="H222" s="360"/>
      <c r="I222" s="6">
        <f t="shared" si="4"/>
        <v>107.0</v>
      </c>
    </row>
    <row r="223" spans="8:8">
      <c r="A223" s="3" t="s">
        <v>238</v>
      </c>
      <c r="B223" s="4" t="s">
        <v>196</v>
      </c>
      <c r="C223" s="93">
        <v>1.0</v>
      </c>
      <c r="D223" s="93">
        <v>103.0</v>
      </c>
      <c r="E223" s="372">
        <v>2.0</v>
      </c>
      <c r="F223" s="372">
        <v>2.0</v>
      </c>
      <c r="G223" s="360"/>
      <c r="H223" s="360"/>
      <c r="I223" s="6">
        <f t="shared" si="4"/>
        <v>107.0</v>
      </c>
    </row>
    <row r="224" spans="8:8">
      <c r="A224" s="3" t="s">
        <v>239</v>
      </c>
      <c r="B224" s="4" t="s">
        <v>196</v>
      </c>
      <c r="C224" s="93">
        <v>1.0</v>
      </c>
      <c r="D224" s="93">
        <v>103.0</v>
      </c>
      <c r="E224" s="372">
        <v>2.0</v>
      </c>
      <c r="F224" s="372">
        <v>2.0</v>
      </c>
      <c r="G224" s="360"/>
      <c r="H224" s="360"/>
      <c r="I224" s="6">
        <f t="shared" si="4"/>
        <v>107.0</v>
      </c>
    </row>
    <row r="225" spans="8:8">
      <c r="A225" s="3" t="s">
        <v>240</v>
      </c>
      <c r="B225" s="4" t="s">
        <v>196</v>
      </c>
      <c r="C225" s="93">
        <v>1.0</v>
      </c>
      <c r="D225" s="93">
        <v>103.0</v>
      </c>
      <c r="E225" s="372">
        <v>2.0</v>
      </c>
      <c r="F225" s="372">
        <v>2.0</v>
      </c>
      <c r="G225" s="360"/>
      <c r="H225" s="360"/>
      <c r="I225" s="6">
        <f t="shared" si="4"/>
        <v>107.0</v>
      </c>
    </row>
    <row r="226" spans="8:8">
      <c r="A226" s="3" t="s">
        <v>241</v>
      </c>
      <c r="B226" s="16" t="s">
        <v>196</v>
      </c>
      <c r="C226" s="93">
        <v>1.0</v>
      </c>
      <c r="D226" s="93">
        <v>103.0</v>
      </c>
      <c r="E226" s="372">
        <v>2.0</v>
      </c>
      <c r="F226" s="372">
        <v>2.0</v>
      </c>
      <c r="G226" s="360"/>
      <c r="H226" s="360"/>
      <c r="I226" s="6">
        <f t="shared" si="4"/>
        <v>107.0</v>
      </c>
    </row>
    <row r="227" spans="8:8">
      <c r="A227" s="3" t="s">
        <v>242</v>
      </c>
      <c r="B227" s="4" t="s">
        <v>196</v>
      </c>
      <c r="C227" s="93">
        <v>1.0</v>
      </c>
      <c r="D227" s="93">
        <v>103.0</v>
      </c>
      <c r="E227" s="372">
        <v>2.0</v>
      </c>
      <c r="F227" s="372">
        <v>2.0</v>
      </c>
      <c r="G227" s="360"/>
      <c r="H227" s="360"/>
      <c r="I227" s="6">
        <f t="shared" si="4"/>
        <v>107.0</v>
      </c>
    </row>
    <row r="228" spans="8:8">
      <c r="A228" s="3" t="s">
        <v>243</v>
      </c>
      <c r="B228" s="4" t="s">
        <v>196</v>
      </c>
      <c r="C228" s="93">
        <v>1.0</v>
      </c>
      <c r="D228" s="93">
        <v>103.0</v>
      </c>
      <c r="E228" s="372">
        <v>2.0</v>
      </c>
      <c r="F228" s="372">
        <v>2.0</v>
      </c>
      <c r="G228" s="360"/>
      <c r="H228" s="360"/>
      <c r="I228" s="6">
        <f t="shared" si="4"/>
        <v>107.0</v>
      </c>
    </row>
    <row r="229" spans="8:8" s="49" ht="15.0" customFormat="1">
      <c r="A229" s="3" t="s">
        <v>244</v>
      </c>
      <c r="B229" s="4" t="s">
        <v>196</v>
      </c>
      <c r="C229" s="93">
        <v>1.0</v>
      </c>
      <c r="D229" s="93">
        <v>103.0</v>
      </c>
      <c r="E229" s="372">
        <v>2.0</v>
      </c>
      <c r="F229" s="372">
        <v>2.0</v>
      </c>
      <c r="G229" s="360"/>
      <c r="H229" s="360"/>
      <c r="I229" s="17">
        <f t="shared" si="4"/>
        <v>107.0</v>
      </c>
    </row>
    <row r="230" spans="8:8">
      <c r="A230" s="3" t="s">
        <v>246</v>
      </c>
      <c r="B230" s="4" t="s">
        <v>196</v>
      </c>
      <c r="C230" s="93">
        <v>1.0</v>
      </c>
      <c r="D230" s="93">
        <v>103.0</v>
      </c>
      <c r="E230" s="372">
        <v>2.0</v>
      </c>
      <c r="F230" s="372">
        <v>2.0</v>
      </c>
      <c r="G230" s="360"/>
      <c r="H230" s="360"/>
      <c r="I230" s="6">
        <f t="shared" si="4"/>
        <v>107.0</v>
      </c>
    </row>
    <row r="231" spans="8:8">
      <c r="A231" s="3" t="s">
        <v>247</v>
      </c>
      <c r="B231" s="4" t="s">
        <v>196</v>
      </c>
      <c r="C231" s="93">
        <v>1.0</v>
      </c>
      <c r="D231" s="93">
        <v>103.0</v>
      </c>
      <c r="E231" s="372">
        <v>2.0</v>
      </c>
      <c r="F231" s="372">
        <v>2.0</v>
      </c>
      <c r="G231" s="360"/>
      <c r="H231" s="360"/>
      <c r="I231" s="6">
        <f t="shared" si="4"/>
        <v>107.0</v>
      </c>
    </row>
    <row r="232" spans="8:8">
      <c r="A232" s="3" t="s">
        <v>248</v>
      </c>
      <c r="B232" s="4" t="s">
        <v>196</v>
      </c>
      <c r="C232" s="93">
        <v>1.0</v>
      </c>
      <c r="D232" s="93">
        <v>103.0</v>
      </c>
      <c r="E232" s="372">
        <v>2.0</v>
      </c>
      <c r="F232" s="372">
        <v>2.0</v>
      </c>
      <c r="G232" s="360"/>
      <c r="H232" s="360"/>
      <c r="I232" s="6">
        <f t="shared" si="4"/>
        <v>107.0</v>
      </c>
    </row>
    <row r="233" spans="8:8">
      <c r="A233" s="3" t="s">
        <v>249</v>
      </c>
      <c r="B233" s="4" t="s">
        <v>196</v>
      </c>
      <c r="C233" s="93">
        <v>1.0</v>
      </c>
      <c r="D233" s="93">
        <v>103.0</v>
      </c>
      <c r="E233" s="372">
        <v>2.0</v>
      </c>
      <c r="F233" s="372">
        <v>2.0</v>
      </c>
      <c r="G233" s="360"/>
      <c r="H233" s="360"/>
      <c r="I233" s="6">
        <f t="shared" si="5" ref="I233:I242">SUM(D233:H233)</f>
        <v>107.0</v>
      </c>
    </row>
    <row r="234" spans="8:8">
      <c r="A234" s="3" t="s">
        <v>250</v>
      </c>
      <c r="B234" s="4" t="s">
        <v>196</v>
      </c>
      <c r="C234" s="93">
        <v>1.0</v>
      </c>
      <c r="D234" s="93">
        <v>103.0</v>
      </c>
      <c r="E234" s="372">
        <v>2.0</v>
      </c>
      <c r="F234" s="372">
        <v>2.0</v>
      </c>
      <c r="G234" s="360"/>
      <c r="H234" s="360"/>
      <c r="I234" s="6">
        <f t="shared" si="5"/>
        <v>107.0</v>
      </c>
    </row>
    <row r="235" spans="8:8">
      <c r="A235" s="3" t="s">
        <v>251</v>
      </c>
      <c r="B235" s="4" t="s">
        <v>196</v>
      </c>
      <c r="C235" s="93">
        <v>1.0</v>
      </c>
      <c r="D235" s="93">
        <v>103.0</v>
      </c>
      <c r="E235" s="372">
        <v>2.0</v>
      </c>
      <c r="F235" s="372">
        <v>2.0</v>
      </c>
      <c r="G235" s="360"/>
      <c r="H235" s="360"/>
      <c r="I235" s="6">
        <f t="shared" si="5"/>
        <v>107.0</v>
      </c>
    </row>
    <row r="236" spans="8:8">
      <c r="A236" s="3" t="s">
        <v>252</v>
      </c>
      <c r="B236" s="4" t="s">
        <v>196</v>
      </c>
      <c r="C236" s="93">
        <v>1.0</v>
      </c>
      <c r="D236" s="93">
        <v>103.0</v>
      </c>
      <c r="E236" s="372">
        <v>2.0</v>
      </c>
      <c r="F236" s="372">
        <v>2.0</v>
      </c>
      <c r="G236" s="360"/>
      <c r="H236" s="360"/>
      <c r="I236" s="6">
        <f t="shared" si="5"/>
        <v>107.0</v>
      </c>
    </row>
    <row r="237" spans="8:8">
      <c r="A237" s="3" t="s">
        <v>253</v>
      </c>
      <c r="B237" s="4" t="s">
        <v>196</v>
      </c>
      <c r="C237" s="93">
        <v>1.0</v>
      </c>
      <c r="D237" s="93">
        <v>103.0</v>
      </c>
      <c r="E237" s="372">
        <v>2.0</v>
      </c>
      <c r="F237" s="372">
        <v>2.0</v>
      </c>
      <c r="G237" s="360"/>
      <c r="H237" s="360"/>
      <c r="I237" s="6">
        <f t="shared" si="5"/>
        <v>107.0</v>
      </c>
    </row>
    <row r="238" spans="8:8">
      <c r="A238" s="3" t="s">
        <v>254</v>
      </c>
      <c r="B238" s="4" t="s">
        <v>196</v>
      </c>
      <c r="C238" s="93">
        <v>1.0</v>
      </c>
      <c r="D238" s="93">
        <v>103.0</v>
      </c>
      <c r="E238" s="372">
        <v>2.0</v>
      </c>
      <c r="F238" s="372">
        <v>2.0</v>
      </c>
      <c r="G238" s="360"/>
      <c r="H238" s="360"/>
      <c r="I238" s="6">
        <f t="shared" si="5"/>
        <v>107.0</v>
      </c>
    </row>
    <row r="239" spans="8:8">
      <c r="A239" s="3" t="s">
        <v>255</v>
      </c>
      <c r="B239" s="4" t="s">
        <v>196</v>
      </c>
      <c r="C239" s="93">
        <v>1.0</v>
      </c>
      <c r="D239" s="93">
        <v>103.0</v>
      </c>
      <c r="E239" s="372">
        <v>2.0</v>
      </c>
      <c r="F239" s="372">
        <v>2.0</v>
      </c>
      <c r="G239" s="360"/>
      <c r="H239" s="360"/>
      <c r="I239" s="6">
        <f t="shared" si="5"/>
        <v>107.0</v>
      </c>
    </row>
    <row r="240" spans="8:8">
      <c r="A240" s="3" t="s">
        <v>256</v>
      </c>
      <c r="B240" s="4" t="s">
        <v>196</v>
      </c>
      <c r="C240" s="93">
        <v>1.0</v>
      </c>
      <c r="D240" s="93">
        <v>103.0</v>
      </c>
      <c r="E240" s="372">
        <v>2.0</v>
      </c>
      <c r="F240" s="372">
        <v>2.0</v>
      </c>
      <c r="G240" s="360"/>
      <c r="H240" s="360"/>
      <c r="I240" s="6">
        <f t="shared" si="5"/>
        <v>107.0</v>
      </c>
    </row>
    <row r="241" spans="8:8">
      <c r="A241" s="3" t="s">
        <v>257</v>
      </c>
      <c r="B241" s="4" t="s">
        <v>196</v>
      </c>
      <c r="C241" s="93">
        <v>1.0</v>
      </c>
      <c r="D241" s="93">
        <v>103.0</v>
      </c>
      <c r="E241" s="372">
        <v>2.0</v>
      </c>
      <c r="F241" s="372">
        <v>2.0</v>
      </c>
      <c r="G241" s="360"/>
      <c r="H241" s="360"/>
      <c r="I241" s="6">
        <f t="shared" si="5"/>
        <v>107.0</v>
      </c>
    </row>
    <row r="242" spans="8:8">
      <c r="A242" s="3" t="s">
        <v>258</v>
      </c>
      <c r="B242" s="4" t="s">
        <v>196</v>
      </c>
      <c r="C242" s="93">
        <v>1.0</v>
      </c>
      <c r="D242" s="93">
        <v>103.0</v>
      </c>
      <c r="E242" s="372">
        <v>2.0</v>
      </c>
      <c r="F242" s="372">
        <v>2.0</v>
      </c>
      <c r="G242" s="360"/>
      <c r="H242" s="360"/>
      <c r="I242" s="6">
        <f t="shared" si="5"/>
        <v>107.0</v>
      </c>
    </row>
    <row r="243" spans="8:8">
      <c r="A243" s="3" t="s">
        <v>259</v>
      </c>
      <c r="B243" s="4" t="s">
        <v>196</v>
      </c>
      <c r="C243" s="93">
        <v>38.0</v>
      </c>
      <c r="D243" s="93">
        <v>103.0</v>
      </c>
      <c r="E243" s="372">
        <v>2.0</v>
      </c>
      <c r="F243" s="372">
        <v>2.0</v>
      </c>
      <c r="G243" s="360"/>
      <c r="H243" s="360"/>
      <c r="I243" s="6">
        <f>SUM(C243:H243)</f>
        <v>145.0</v>
      </c>
    </row>
    <row r="244" spans="8:8">
      <c r="A244" s="3" t="s">
        <v>260</v>
      </c>
      <c r="B244" s="4" t="s">
        <v>196</v>
      </c>
      <c r="C244" s="93">
        <v>1.0</v>
      </c>
      <c r="D244" s="93">
        <v>123.0</v>
      </c>
      <c r="E244" s="372">
        <v>2.0</v>
      </c>
      <c r="F244" s="372">
        <v>2.0</v>
      </c>
      <c r="G244" s="360"/>
      <c r="H244" s="360"/>
      <c r="I244" s="6">
        <f t="shared" si="6" ref="I244:I260">SUM(D244:H244)</f>
        <v>127.0</v>
      </c>
    </row>
    <row r="245" spans="8:8">
      <c r="A245" s="3" t="s">
        <v>262</v>
      </c>
      <c r="B245" s="4" t="s">
        <v>196</v>
      </c>
      <c r="C245" s="93">
        <v>1.0</v>
      </c>
      <c r="D245" s="93">
        <v>123.0</v>
      </c>
      <c r="E245" s="372">
        <v>2.0</v>
      </c>
      <c r="F245" s="372">
        <v>2.0</v>
      </c>
      <c r="G245" s="360"/>
      <c r="H245" s="360"/>
      <c r="I245" s="6">
        <f t="shared" si="6"/>
        <v>127.0</v>
      </c>
    </row>
    <row r="246" spans="8:8">
      <c r="A246" s="3" t="s">
        <v>265</v>
      </c>
      <c r="B246" s="4" t="s">
        <v>196</v>
      </c>
      <c r="C246" s="93">
        <v>1.0</v>
      </c>
      <c r="D246" s="93">
        <v>103.0</v>
      </c>
      <c r="E246" s="372">
        <v>2.0</v>
      </c>
      <c r="F246" s="372">
        <v>2.0</v>
      </c>
      <c r="G246" s="360"/>
      <c r="H246" s="360"/>
      <c r="I246" s="6">
        <f t="shared" si="6"/>
        <v>107.0</v>
      </c>
    </row>
    <row r="247" spans="8:8">
      <c r="A247" s="3" t="s">
        <v>266</v>
      </c>
      <c r="B247" s="4" t="s">
        <v>196</v>
      </c>
      <c r="C247" s="93">
        <v>1.0</v>
      </c>
      <c r="D247" s="93">
        <v>103.0</v>
      </c>
      <c r="E247" s="372">
        <v>2.0</v>
      </c>
      <c r="F247" s="372">
        <v>2.0</v>
      </c>
      <c r="G247" s="360"/>
      <c r="H247" s="360"/>
      <c r="I247" s="6">
        <f t="shared" si="6"/>
        <v>107.0</v>
      </c>
    </row>
    <row r="248" spans="8:8">
      <c r="A248" s="3" t="s">
        <v>267</v>
      </c>
      <c r="B248" s="4" t="s">
        <v>196</v>
      </c>
      <c r="C248" s="93">
        <v>1.0</v>
      </c>
      <c r="D248" s="93">
        <v>103.0</v>
      </c>
      <c r="E248" s="372">
        <v>2.0</v>
      </c>
      <c r="F248" s="372">
        <v>2.0</v>
      </c>
      <c r="G248" s="360"/>
      <c r="H248" s="360"/>
      <c r="I248" s="6">
        <f t="shared" si="6"/>
        <v>107.0</v>
      </c>
    </row>
    <row r="249" spans="8:8">
      <c r="A249" s="3" t="s">
        <v>268</v>
      </c>
      <c r="B249" s="4" t="s">
        <v>196</v>
      </c>
      <c r="C249" s="93">
        <v>1.0</v>
      </c>
      <c r="D249" s="93">
        <v>103.0</v>
      </c>
      <c r="E249" s="372">
        <v>2.0</v>
      </c>
      <c r="F249" s="372">
        <v>2.0</v>
      </c>
      <c r="G249" s="360"/>
      <c r="H249" s="360"/>
      <c r="I249" s="6">
        <f t="shared" si="6"/>
        <v>107.0</v>
      </c>
    </row>
    <row r="250" spans="8:8">
      <c r="A250" s="3" t="s">
        <v>269</v>
      </c>
      <c r="B250" s="4" t="s">
        <v>196</v>
      </c>
      <c r="C250" s="93">
        <v>1.0</v>
      </c>
      <c r="D250" s="93">
        <v>103.0</v>
      </c>
      <c r="E250" s="372">
        <v>2.0</v>
      </c>
      <c r="F250" s="372">
        <v>2.0</v>
      </c>
      <c r="G250" s="360"/>
      <c r="H250" s="360"/>
      <c r="I250" s="6">
        <f t="shared" si="6"/>
        <v>107.0</v>
      </c>
    </row>
    <row r="251" spans="8:8">
      <c r="A251" s="3" t="s">
        <v>270</v>
      </c>
      <c r="B251" s="4" t="s">
        <v>196</v>
      </c>
      <c r="C251" s="93">
        <v>1.0</v>
      </c>
      <c r="D251" s="93">
        <v>103.0</v>
      </c>
      <c r="E251" s="372">
        <v>2.0</v>
      </c>
      <c r="F251" s="372">
        <v>2.0</v>
      </c>
      <c r="G251" s="360"/>
      <c r="H251" s="360"/>
      <c r="I251" s="6">
        <f t="shared" si="6"/>
        <v>107.0</v>
      </c>
    </row>
    <row r="252" spans="8:8">
      <c r="A252" s="3" t="s">
        <v>271</v>
      </c>
      <c r="B252" s="4" t="s">
        <v>196</v>
      </c>
      <c r="C252" s="93">
        <v>1.0</v>
      </c>
      <c r="D252" s="93">
        <v>103.0</v>
      </c>
      <c r="E252" s="372">
        <v>2.0</v>
      </c>
      <c r="F252" s="372">
        <v>2.0</v>
      </c>
      <c r="G252" s="360"/>
      <c r="H252" s="360"/>
      <c r="I252" s="6">
        <f t="shared" si="6"/>
        <v>107.0</v>
      </c>
    </row>
    <row r="253" spans="8:8">
      <c r="A253" s="3" t="s">
        <v>272</v>
      </c>
      <c r="B253" s="4" t="s">
        <v>196</v>
      </c>
      <c r="C253" s="93">
        <v>1.0</v>
      </c>
      <c r="D253" s="93">
        <v>103.0</v>
      </c>
      <c r="E253" s="372">
        <v>2.0</v>
      </c>
      <c r="F253" s="372">
        <v>2.0</v>
      </c>
      <c r="G253" s="360"/>
      <c r="H253" s="360"/>
      <c r="I253" s="6">
        <f t="shared" si="6"/>
        <v>107.0</v>
      </c>
    </row>
    <row r="254" spans="8:8">
      <c r="A254" s="3" t="s">
        <v>273</v>
      </c>
      <c r="B254" s="4" t="s">
        <v>196</v>
      </c>
      <c r="C254" s="93">
        <v>1.0</v>
      </c>
      <c r="D254" s="93">
        <v>103.0</v>
      </c>
      <c r="E254" s="372">
        <v>2.0</v>
      </c>
      <c r="F254" s="372">
        <v>2.0</v>
      </c>
      <c r="G254" s="360"/>
      <c r="H254" s="360"/>
      <c r="I254" s="6">
        <f t="shared" si="6"/>
        <v>107.0</v>
      </c>
    </row>
    <row r="255" spans="8:8">
      <c r="A255" s="3" t="s">
        <v>274</v>
      </c>
      <c r="B255" s="4" t="s">
        <v>196</v>
      </c>
      <c r="C255" s="93">
        <v>1.0</v>
      </c>
      <c r="D255" s="93">
        <v>103.0</v>
      </c>
      <c r="E255" s="372">
        <v>2.0</v>
      </c>
      <c r="F255" s="372">
        <v>2.0</v>
      </c>
      <c r="G255" s="360"/>
      <c r="H255" s="360"/>
      <c r="I255" s="6">
        <f t="shared" si="6"/>
        <v>107.0</v>
      </c>
    </row>
    <row r="256" spans="8:8">
      <c r="A256" s="3" t="s">
        <v>275</v>
      </c>
      <c r="B256" s="4" t="s">
        <v>196</v>
      </c>
      <c r="C256" s="93">
        <v>1.0</v>
      </c>
      <c r="D256" s="93">
        <v>103.0</v>
      </c>
      <c r="E256" s="372">
        <v>2.0</v>
      </c>
      <c r="F256" s="372">
        <v>2.0</v>
      </c>
      <c r="G256" s="360"/>
      <c r="H256" s="360"/>
      <c r="I256" s="6">
        <f t="shared" si="6"/>
        <v>107.0</v>
      </c>
    </row>
    <row r="257" spans="8:8">
      <c r="A257" s="3" t="s">
        <v>276</v>
      </c>
      <c r="B257" s="4" t="s">
        <v>196</v>
      </c>
      <c r="C257" s="93">
        <v>1.0</v>
      </c>
      <c r="D257" s="93">
        <v>103.0</v>
      </c>
      <c r="E257" s="372">
        <v>2.0</v>
      </c>
      <c r="F257" s="372">
        <v>2.0</v>
      </c>
      <c r="G257" s="360"/>
      <c r="H257" s="360"/>
      <c r="I257" s="6">
        <f t="shared" si="6"/>
        <v>107.0</v>
      </c>
    </row>
    <row r="258" spans="8:8">
      <c r="A258" s="382" t="s">
        <v>407</v>
      </c>
      <c r="B258" s="4" t="s">
        <v>196</v>
      </c>
      <c r="C258" s="93">
        <v>1.0</v>
      </c>
      <c r="D258" s="93">
        <v>205.0</v>
      </c>
      <c r="E258" s="372">
        <v>2.0</v>
      </c>
      <c r="F258" s="372">
        <v>2.0</v>
      </c>
      <c r="G258" s="360"/>
      <c r="H258" s="360"/>
      <c r="I258" s="6">
        <f t="shared" si="6"/>
        <v>209.0</v>
      </c>
    </row>
    <row r="259" spans="8:8">
      <c r="A259" s="382" t="s">
        <v>408</v>
      </c>
      <c r="B259" s="4" t="s">
        <v>196</v>
      </c>
      <c r="C259" s="93">
        <v>1.0</v>
      </c>
      <c r="D259" s="93">
        <v>205.0</v>
      </c>
      <c r="E259" s="372">
        <v>2.0</v>
      </c>
      <c r="F259" s="372">
        <v>2.0</v>
      </c>
      <c r="G259" s="360"/>
      <c r="H259" s="360"/>
      <c r="I259" s="6">
        <f t="shared" si="6"/>
        <v>209.0</v>
      </c>
    </row>
    <row r="260" spans="8:8">
      <c r="A260" s="15" t="s">
        <v>277</v>
      </c>
      <c r="B260" s="4" t="s">
        <v>196</v>
      </c>
      <c r="C260" s="93">
        <v>1.0</v>
      </c>
      <c r="D260" s="93">
        <v>103.0</v>
      </c>
      <c r="E260" s="372">
        <v>2.0</v>
      </c>
      <c r="F260" s="372">
        <v>2.0</v>
      </c>
      <c r="G260" s="360"/>
      <c r="H260" s="360"/>
      <c r="I260" s="6">
        <f t="shared" si="6"/>
        <v>107.0</v>
      </c>
    </row>
    <row r="261" spans="8:8" ht="15.75">
      <c r="A261" s="388" t="s">
        <v>280</v>
      </c>
      <c r="B261" s="389" t="s">
        <v>196</v>
      </c>
      <c r="C261" s="391">
        <v>38.0</v>
      </c>
      <c r="D261" s="391">
        <v>123.0</v>
      </c>
      <c r="E261" s="392">
        <v>2.0</v>
      </c>
      <c r="F261" s="392">
        <v>2.0</v>
      </c>
      <c r="G261" s="397"/>
      <c r="H261" s="397"/>
      <c r="I261" s="394">
        <f>SUM(C261:H261)</f>
        <v>165.0</v>
      </c>
    </row>
    <row r="262" spans="8:8" ht="15.75">
      <c r="A262" s="336" t="s">
        <v>281</v>
      </c>
      <c r="B262" s="399" t="s">
        <v>282</v>
      </c>
      <c r="C262" s="440">
        <v>150.0</v>
      </c>
      <c r="D262" s="440"/>
      <c r="E262" s="370"/>
      <c r="F262" s="370"/>
      <c r="G262" s="395"/>
      <c r="H262" s="395"/>
      <c r="I262" s="225">
        <f t="shared" si="7" ref="I262:I272">SUM(C262:H262)</f>
        <v>150.0</v>
      </c>
    </row>
    <row r="263" spans="8:8" ht="15.75">
      <c r="A263" s="400" t="s">
        <v>283</v>
      </c>
      <c r="B263" s="401" t="s">
        <v>282</v>
      </c>
      <c r="C263" s="441">
        <v>150.0</v>
      </c>
      <c r="D263" s="441"/>
      <c r="E263" s="392"/>
      <c r="F263" s="392"/>
      <c r="G263" s="397"/>
      <c r="H263" s="397"/>
      <c r="I263" s="403">
        <f t="shared" si="7"/>
        <v>150.0</v>
      </c>
    </row>
    <row r="264" spans="8:8" ht="15.75">
      <c r="A264" s="336" t="s">
        <v>284</v>
      </c>
      <c r="B264" s="399" t="s">
        <v>285</v>
      </c>
      <c r="C264" s="440">
        <v>1.0</v>
      </c>
      <c r="D264" s="440"/>
      <c r="E264" s="370"/>
      <c r="F264" s="370"/>
      <c r="G264" s="395"/>
      <c r="H264" s="395"/>
      <c r="I264" s="225">
        <f t="shared" si="7"/>
        <v>1.0</v>
      </c>
    </row>
    <row r="265" spans="8:8">
      <c r="A265" s="207" t="s">
        <v>286</v>
      </c>
      <c r="B265" s="208" t="s">
        <v>285</v>
      </c>
      <c r="C265" s="442">
        <v>1.0</v>
      </c>
      <c r="D265" s="442"/>
      <c r="E265" s="372"/>
      <c r="F265" s="372"/>
      <c r="G265" s="360"/>
      <c r="H265" s="360"/>
      <c r="I265" s="210">
        <f t="shared" si="7"/>
        <v>1.0</v>
      </c>
    </row>
    <row r="266" spans="8:8">
      <c r="A266" s="15" t="s">
        <v>4</v>
      </c>
      <c r="B266" s="16" t="s">
        <v>285</v>
      </c>
      <c r="C266" s="442">
        <v>2.0</v>
      </c>
      <c r="D266" s="442"/>
      <c r="E266" s="372"/>
      <c r="F266" s="372"/>
      <c r="G266" s="360"/>
      <c r="H266" s="360"/>
      <c r="I266" s="210">
        <f t="shared" si="7"/>
        <v>2.0</v>
      </c>
    </row>
    <row r="267" spans="8:8">
      <c r="A267" s="15" t="s">
        <v>406</v>
      </c>
      <c r="B267" s="16" t="s">
        <v>285</v>
      </c>
      <c r="C267" s="442">
        <v>5.0</v>
      </c>
      <c r="D267" s="442"/>
      <c r="E267" s="372"/>
      <c r="F267" s="372"/>
      <c r="G267" s="360"/>
      <c r="H267" s="360"/>
      <c r="I267" s="210">
        <f t="shared" si="7"/>
        <v>5.0</v>
      </c>
    </row>
    <row r="268" spans="8:8">
      <c r="A268" s="207" t="s">
        <v>287</v>
      </c>
      <c r="B268" s="16" t="s">
        <v>285</v>
      </c>
      <c r="C268" s="442">
        <v>4.0</v>
      </c>
      <c r="D268" s="442"/>
      <c r="E268" s="372"/>
      <c r="F268" s="372"/>
      <c r="G268" s="360"/>
      <c r="H268" s="360"/>
      <c r="I268" s="210">
        <f t="shared" si="7"/>
        <v>4.0</v>
      </c>
    </row>
    <row r="269" spans="8:8">
      <c r="A269" s="15" t="s">
        <v>319</v>
      </c>
      <c r="B269" s="16" t="s">
        <v>285</v>
      </c>
      <c r="C269" s="442">
        <v>3.0</v>
      </c>
      <c r="D269" s="442"/>
      <c r="E269" s="372"/>
      <c r="F269" s="372"/>
      <c r="G269" s="360"/>
      <c r="H269" s="360"/>
      <c r="I269" s="210">
        <f t="shared" si="7"/>
        <v>3.0</v>
      </c>
    </row>
    <row r="270" spans="8:8">
      <c r="A270" s="15" t="s">
        <v>5</v>
      </c>
      <c r="B270" s="16" t="s">
        <v>285</v>
      </c>
      <c r="C270" s="442">
        <v>2.0</v>
      </c>
      <c r="D270" s="442"/>
      <c r="E270" s="372"/>
      <c r="F270" s="372"/>
      <c r="G270" s="360"/>
      <c r="H270" s="360"/>
      <c r="I270" s="210">
        <f t="shared" si="7"/>
        <v>2.0</v>
      </c>
    </row>
    <row r="271" spans="8:8" ht="15.75">
      <c r="A271" s="404" t="s">
        <v>288</v>
      </c>
      <c r="B271" s="396" t="s">
        <v>285</v>
      </c>
      <c r="C271" s="441">
        <v>6.0</v>
      </c>
      <c r="D271" s="441"/>
      <c r="E271" s="392"/>
      <c r="F271" s="392"/>
      <c r="G271" s="397"/>
      <c r="H271" s="397"/>
      <c r="I271" s="403">
        <f t="shared" si="7"/>
        <v>6.0</v>
      </c>
    </row>
    <row r="272" spans="8:8" ht="15.75">
      <c r="A272" s="336" t="s">
        <v>291</v>
      </c>
      <c r="B272" s="399" t="s">
        <v>290</v>
      </c>
      <c r="C272" s="440">
        <v>20.0</v>
      </c>
      <c r="D272" s="440">
        <v>34.0</v>
      </c>
      <c r="E272" s="370">
        <v>2.0</v>
      </c>
      <c r="F272" s="370">
        <v>2.0</v>
      </c>
      <c r="G272" s="395"/>
      <c r="H272" s="395"/>
      <c r="I272" s="225">
        <f t="shared" si="7"/>
        <v>58.0</v>
      </c>
    </row>
    <row r="273" spans="8:8">
      <c r="A273" s="39"/>
      <c r="C273" s="161"/>
    </row>
    <row r="274" spans="8:8">
      <c r="A274" s="39"/>
      <c r="C274" s="161"/>
    </row>
    <row r="275" spans="8:8">
      <c r="A275" s="39"/>
    </row>
    <row r="276" spans="8:8">
      <c r="A276" s="39"/>
    </row>
    <row r="278" spans="8:8">
      <c r="A278" s="38" t="s">
        <v>351</v>
      </c>
    </row>
    <row r="287" spans="8:8">
      <c r="H287" s="351"/>
    </row>
    <row r="288" spans="8:8" s="49" ht="15.0" customFormat="1">
      <c r="A288" s="38"/>
      <c r="B288" s="39"/>
      <c r="C288" s="40"/>
      <c r="D288" s="163"/>
      <c r="E288" s="163"/>
      <c r="F288" s="163"/>
      <c r="G288" s="314"/>
      <c r="H288" s="351"/>
    </row>
    <row r="296" spans="8:8" s="49" ht="15.0" customFormat="1">
      <c r="A296" s="38"/>
      <c r="B296" s="39"/>
      <c r="C296" s="40"/>
      <c r="D296" s="163"/>
      <c r="E296" s="163"/>
      <c r="F296" s="163"/>
      <c r="G296" s="314"/>
      <c r="H296" s="351"/>
    </row>
    <row r="299" spans="8:8" s="49" ht="15.0" customFormat="1">
      <c r="A299" s="38"/>
      <c r="B299" s="39"/>
      <c r="C299" s="40"/>
      <c r="D299" s="163"/>
      <c r="E299" s="163"/>
      <c r="F299" s="163"/>
      <c r="G299" s="314"/>
      <c r="H299" s="351"/>
    </row>
    <row r="300" spans="8:8" s="49" ht="15.0" customFormat="1">
      <c r="A300" s="38"/>
      <c r="B300" s="39"/>
      <c r="C300" s="40"/>
      <c r="D300" s="163"/>
      <c r="E300" s="163"/>
      <c r="F300" s="163"/>
      <c r="G300" s="314"/>
      <c r="H300" s="351"/>
    </row>
    <row r="301" spans="8:8">
      <c r="H301" s="248"/>
    </row>
    <row r="302" spans="8:8">
      <c r="H302" s="248"/>
    </row>
  </sheetData>
  <pageMargins left="0.9055118110236221" right="0.0" top="0.35433070866141736" bottom="0.0" header="0.31496062992125984" footer="0.31496062992125984"/>
</worksheet>
</file>

<file path=xl/worksheets/sheet35.xml><?xml version="1.0" encoding="utf-8"?>
<worksheet xmlns:r="http://schemas.openxmlformats.org/officeDocument/2006/relationships" xmlns="http://schemas.openxmlformats.org/spreadsheetml/2006/main">
  <dimension ref="A1:P303"/>
  <sheetViews>
    <sheetView workbookViewId="0">
      <pane ySplit="1" topLeftCell="A2" state="frozen" activePane="bottomLeft"/>
      <selection pane="bottomLeft" activeCell="A6" sqref="A6:XFD7"/>
    </sheetView>
  </sheetViews>
  <sheetFormatPr defaultRowHeight="15.0" defaultColWidth="10"/>
  <cols>
    <col min="1" max="1" customWidth="1" width="66.140625" style="443"/>
    <col min="2" max="2" customWidth="1" width="13.5703125" style="192"/>
    <col min="3" max="3" customWidth="1" width="12.285156" style="40"/>
    <col min="4" max="4" customWidth="1" width="15.5703125" style="163"/>
    <col min="5" max="5" customWidth="1" width="12.855469" style="163"/>
    <col min="6" max="6" customWidth="1" width="18.140625" style="163"/>
    <col min="7" max="7" customWidth="1" width="8.855469" style="314"/>
    <col min="8" max="8" customWidth="1" width="0.5703125" style="244"/>
    <col min="9" max="9" customWidth="1" bestFit="1" width="11.285156" style="39"/>
    <col min="10" max="12" customWidth="1" bestFit="1" width="16.0" style="39"/>
    <col min="13" max="13" customWidth="1" bestFit="1" width="17.285156" style="39"/>
    <col min="14" max="14" customWidth="0" width="11.425781" style="39"/>
    <col min="15" max="15" customWidth="1" bestFit="1" width="14.140625" style="39"/>
    <col min="16" max="16384" customWidth="0" width="11.425781" style="39"/>
  </cols>
  <sheetData>
    <row r="1" spans="8:8" s="304" ht="15.75" customFormat="1">
      <c r="A1" s="383" t="s">
        <v>0</v>
      </c>
      <c r="B1" s="444" t="s">
        <v>1</v>
      </c>
      <c r="C1" s="385" t="s">
        <v>416</v>
      </c>
      <c r="D1" s="385" t="s">
        <v>3</v>
      </c>
      <c r="E1" s="386" t="s">
        <v>4</v>
      </c>
      <c r="F1" s="386" t="s">
        <v>5</v>
      </c>
      <c r="G1" s="386" t="s">
        <v>406</v>
      </c>
      <c r="H1" s="386" t="s">
        <v>319</v>
      </c>
      <c r="I1" s="387" t="s">
        <v>434</v>
      </c>
    </row>
    <row r="2" spans="8:8" s="445" ht="17.25" customFormat="1" customHeight="1">
      <c r="A2" s="446" t="s">
        <v>7</v>
      </c>
      <c r="B2" s="447" t="s">
        <v>8</v>
      </c>
      <c r="C2" s="448">
        <v>1.0</v>
      </c>
      <c r="D2" s="449">
        <v>20.0</v>
      </c>
      <c r="E2" s="450">
        <f>C267</f>
        <v>2.0</v>
      </c>
      <c r="F2" s="450">
        <f>C271</f>
        <v>2.0</v>
      </c>
      <c r="G2" s="451"/>
      <c r="H2" s="452"/>
      <c r="I2" s="453">
        <f>SUM(C2:H2)</f>
        <v>25.0</v>
      </c>
    </row>
    <row r="3" spans="8:8" s="445" ht="17.25" customFormat="1" customHeight="1">
      <c r="A3" s="454" t="s">
        <v>9</v>
      </c>
      <c r="B3" s="455" t="s">
        <v>8</v>
      </c>
      <c r="C3" s="456">
        <v>1.0</v>
      </c>
      <c r="D3" s="456">
        <v>20.0</v>
      </c>
      <c r="E3" s="457">
        <v>2.0</v>
      </c>
      <c r="F3" s="457">
        <v>2.0</v>
      </c>
      <c r="G3" s="458"/>
      <c r="H3" s="458"/>
      <c r="I3" s="459">
        <f t="shared" si="0" ref="I3:I5">SUM(C3:H3)</f>
        <v>25.0</v>
      </c>
    </row>
    <row r="4" spans="8:8" s="445" ht="17.25" customFormat="1" customHeight="1">
      <c r="A4" s="454" t="s">
        <v>10</v>
      </c>
      <c r="B4" s="455" t="s">
        <v>8</v>
      </c>
      <c r="C4" s="456">
        <v>1.0</v>
      </c>
      <c r="D4" s="456">
        <v>20.0</v>
      </c>
      <c r="E4" s="457">
        <v>2.0</v>
      </c>
      <c r="F4" s="457">
        <v>2.0</v>
      </c>
      <c r="G4" s="458"/>
      <c r="H4" s="458"/>
      <c r="I4" s="459">
        <f t="shared" si="0"/>
        <v>25.0</v>
      </c>
    </row>
    <row r="5" spans="8:8" s="445" ht="17.25" customFormat="1" customHeight="1">
      <c r="A5" s="454" t="s">
        <v>11</v>
      </c>
      <c r="B5" s="455" t="s">
        <v>8</v>
      </c>
      <c r="C5" s="456">
        <v>1.0</v>
      </c>
      <c r="D5" s="456">
        <v>20.0</v>
      </c>
      <c r="E5" s="457">
        <v>2.0</v>
      </c>
      <c r="F5" s="457">
        <v>2.0</v>
      </c>
      <c r="G5" s="458"/>
      <c r="H5" s="458"/>
      <c r="I5" s="459">
        <f t="shared" si="0"/>
        <v>25.0</v>
      </c>
    </row>
    <row r="6" spans="8:8" ht="31.5" customHeight="1">
      <c r="A6" s="454" t="s">
        <v>441</v>
      </c>
      <c r="B6" s="460" t="s">
        <v>435</v>
      </c>
      <c r="C6" s="93"/>
      <c r="D6" s="93">
        <v>35.0</v>
      </c>
      <c r="E6" s="372">
        <v>6.0</v>
      </c>
      <c r="F6" s="372">
        <v>6.0</v>
      </c>
      <c r="G6" s="329"/>
      <c r="H6" s="329">
        <v>3.0</v>
      </c>
      <c r="I6" s="6">
        <v>50.0</v>
      </c>
      <c r="J6" s="48">
        <f>SUM(D6:H6)</f>
        <v>50.0</v>
      </c>
      <c r="K6" s="212">
        <f>SUM(D6:I6)</f>
        <v>100.0</v>
      </c>
    </row>
    <row r="7" spans="8:8" ht="37.5" customHeight="1">
      <c r="A7" s="461" t="s">
        <v>442</v>
      </c>
      <c r="B7" s="462" t="s">
        <v>435</v>
      </c>
      <c r="C7" s="109"/>
      <c r="D7" s="109">
        <v>45.0</v>
      </c>
      <c r="E7" s="463">
        <v>6.0</v>
      </c>
      <c r="F7" s="463">
        <v>6.0</v>
      </c>
      <c r="G7" s="464"/>
      <c r="H7" s="464">
        <v>3.0</v>
      </c>
      <c r="I7" s="465">
        <v>60.0</v>
      </c>
      <c r="J7" s="48">
        <f>SUM(D7:H7)</f>
        <v>60.0</v>
      </c>
      <c r="K7" s="212">
        <f>SUM(D7:I7)</f>
        <v>120.0</v>
      </c>
    </row>
    <row r="8" spans="8:8" s="445" ht="17.25" customFormat="1" customHeight="1">
      <c r="A8" s="466" t="s">
        <v>426</v>
      </c>
      <c r="B8" s="467" t="s">
        <v>13</v>
      </c>
      <c r="C8" s="468">
        <v>18.0</v>
      </c>
      <c r="D8" s="468">
        <v>15.0</v>
      </c>
      <c r="E8" s="469">
        <v>2.0</v>
      </c>
      <c r="F8" s="469">
        <v>2.0</v>
      </c>
      <c r="G8" s="470"/>
      <c r="H8" s="469">
        <f>C270</f>
        <v>3.0</v>
      </c>
      <c r="I8" s="471">
        <f>SUM(C8:H8)</f>
        <v>40.0</v>
      </c>
    </row>
    <row r="9" spans="8:8" s="472" ht="17.25" customFormat="1" customHeight="1">
      <c r="A9" s="473" t="s">
        <v>433</v>
      </c>
      <c r="B9" s="474" t="s">
        <v>13</v>
      </c>
      <c r="C9" s="456"/>
      <c r="D9" s="456"/>
      <c r="E9" s="469"/>
      <c r="F9" s="457"/>
      <c r="G9" s="475"/>
      <c r="H9" s="457"/>
      <c r="I9" s="459">
        <f>I8*2</f>
        <v>80.0</v>
      </c>
    </row>
    <row r="10" spans="8:8" s="445" ht="17.25" customFormat="1" customHeight="1">
      <c r="A10" s="454" t="s">
        <v>15</v>
      </c>
      <c r="B10" s="455" t="s">
        <v>13</v>
      </c>
      <c r="C10" s="456">
        <v>18.0</v>
      </c>
      <c r="D10" s="456">
        <v>15.0</v>
      </c>
      <c r="E10" s="469">
        <v>2.0</v>
      </c>
      <c r="F10" s="457">
        <v>2.0</v>
      </c>
      <c r="G10" s="475"/>
      <c r="H10" s="457">
        <v>3.0</v>
      </c>
      <c r="I10" s="459">
        <f>SUM(C10:H10)</f>
        <v>40.0</v>
      </c>
    </row>
    <row r="11" spans="8:8" s="445" ht="17.25" customFormat="1" customHeight="1">
      <c r="A11" s="454" t="s">
        <v>16</v>
      </c>
      <c r="B11" s="455" t="s">
        <v>13</v>
      </c>
      <c r="C11" s="456">
        <v>18.0</v>
      </c>
      <c r="D11" s="456">
        <v>15.0</v>
      </c>
      <c r="E11" s="469">
        <v>2.0</v>
      </c>
      <c r="F11" s="457">
        <v>2.0</v>
      </c>
      <c r="G11" s="475"/>
      <c r="H11" s="457">
        <v>3.0</v>
      </c>
      <c r="I11" s="459">
        <f t="shared" si="1" ref="I11:I51">SUM(C11:H11)</f>
        <v>40.0</v>
      </c>
    </row>
    <row r="12" spans="8:8" s="445" ht="17.25" customFormat="1" customHeight="1">
      <c r="A12" s="454" t="s">
        <v>17</v>
      </c>
      <c r="B12" s="455" t="s">
        <v>13</v>
      </c>
      <c r="C12" s="456">
        <v>25.0</v>
      </c>
      <c r="D12" s="456">
        <v>33.0</v>
      </c>
      <c r="E12" s="469">
        <v>2.0</v>
      </c>
      <c r="F12" s="457">
        <v>2.0</v>
      </c>
      <c r="G12" s="475"/>
      <c r="H12" s="457">
        <v>3.0</v>
      </c>
      <c r="I12" s="459">
        <f t="shared" si="1"/>
        <v>65.0</v>
      </c>
    </row>
    <row r="13" spans="8:8" s="445" ht="17.25" customFormat="1" customHeight="1">
      <c r="A13" s="454" t="s">
        <v>18</v>
      </c>
      <c r="B13" s="455" t="s">
        <v>13</v>
      </c>
      <c r="C13" s="456">
        <v>22.0</v>
      </c>
      <c r="D13" s="456">
        <v>21.0</v>
      </c>
      <c r="E13" s="469">
        <v>2.0</v>
      </c>
      <c r="F13" s="457">
        <v>2.0</v>
      </c>
      <c r="G13" s="475"/>
      <c r="H13" s="457">
        <v>3.0</v>
      </c>
      <c r="I13" s="459">
        <f t="shared" si="1"/>
        <v>50.0</v>
      </c>
    </row>
    <row r="14" spans="8:8" s="445" ht="17.25" customFormat="1" customHeight="1">
      <c r="A14" s="454" t="s">
        <v>19</v>
      </c>
      <c r="B14" s="455" t="s">
        <v>13</v>
      </c>
      <c r="C14" s="456">
        <v>22.0</v>
      </c>
      <c r="D14" s="456">
        <v>21.0</v>
      </c>
      <c r="E14" s="469">
        <v>2.0</v>
      </c>
      <c r="F14" s="457">
        <v>2.0</v>
      </c>
      <c r="G14" s="475"/>
      <c r="H14" s="457">
        <v>3.0</v>
      </c>
      <c r="I14" s="459">
        <f t="shared" si="1"/>
        <v>50.0</v>
      </c>
    </row>
    <row r="15" spans="8:8" s="445" ht="17.25" customFormat="1" customHeight="1">
      <c r="A15" s="454" t="s">
        <v>20</v>
      </c>
      <c r="B15" s="455" t="s">
        <v>13</v>
      </c>
      <c r="C15" s="456">
        <v>22.0</v>
      </c>
      <c r="D15" s="456">
        <v>21.0</v>
      </c>
      <c r="E15" s="469">
        <v>2.0</v>
      </c>
      <c r="F15" s="457">
        <v>2.0</v>
      </c>
      <c r="G15" s="475"/>
      <c r="H15" s="457">
        <v>3.0</v>
      </c>
      <c r="I15" s="459">
        <f t="shared" si="1"/>
        <v>50.0</v>
      </c>
    </row>
    <row r="16" spans="8:8" s="445" ht="17.25" customFormat="1" customHeight="1">
      <c r="A16" s="473" t="s">
        <v>21</v>
      </c>
      <c r="B16" s="455" t="s">
        <v>13</v>
      </c>
      <c r="C16" s="476">
        <v>55.0</v>
      </c>
      <c r="D16" s="476">
        <v>38.0</v>
      </c>
      <c r="E16" s="477">
        <v>2.0</v>
      </c>
      <c r="F16" s="458">
        <v>2.0</v>
      </c>
      <c r="G16" s="478"/>
      <c r="H16" s="458">
        <v>3.0</v>
      </c>
      <c r="I16" s="459">
        <f t="shared" si="1"/>
        <v>100.0</v>
      </c>
    </row>
    <row r="17" spans="8:8" s="445" ht="17.25" customFormat="1" customHeight="1">
      <c r="A17" s="479" t="s">
        <v>22</v>
      </c>
      <c r="B17" s="474" t="s">
        <v>13</v>
      </c>
      <c r="C17" s="456">
        <v>22.0</v>
      </c>
      <c r="D17" s="456">
        <v>21.0</v>
      </c>
      <c r="E17" s="469">
        <v>2.0</v>
      </c>
      <c r="F17" s="457">
        <v>2.0</v>
      </c>
      <c r="G17" s="475"/>
      <c r="H17" s="457">
        <v>3.0</v>
      </c>
      <c r="I17" s="459">
        <f t="shared" si="1"/>
        <v>50.0</v>
      </c>
    </row>
    <row r="18" spans="8:8" s="445" ht="17.25" customFormat="1" customHeight="1">
      <c r="A18" s="473" t="s">
        <v>23</v>
      </c>
      <c r="B18" s="474" t="s">
        <v>13</v>
      </c>
      <c r="C18" s="476">
        <v>55.0</v>
      </c>
      <c r="D18" s="476">
        <v>38.0</v>
      </c>
      <c r="E18" s="477">
        <v>2.0</v>
      </c>
      <c r="F18" s="458">
        <v>2.0</v>
      </c>
      <c r="G18" s="478"/>
      <c r="H18" s="458">
        <v>3.0</v>
      </c>
      <c r="I18" s="459">
        <f t="shared" si="1"/>
        <v>100.0</v>
      </c>
    </row>
    <row r="19" spans="8:8" s="445" ht="17.25" customFormat="1" customHeight="1">
      <c r="A19" s="454" t="s">
        <v>24</v>
      </c>
      <c r="B19" s="474" t="s">
        <v>13</v>
      </c>
      <c r="C19" s="456">
        <v>22.0</v>
      </c>
      <c r="D19" s="456">
        <v>21.0</v>
      </c>
      <c r="E19" s="469">
        <v>2.0</v>
      </c>
      <c r="F19" s="457">
        <v>2.0</v>
      </c>
      <c r="G19" s="475"/>
      <c r="H19" s="457">
        <v>3.0</v>
      </c>
      <c r="I19" s="459">
        <f t="shared" si="1"/>
        <v>50.0</v>
      </c>
    </row>
    <row r="20" spans="8:8" s="445" ht="17.25" customFormat="1" customHeight="1">
      <c r="A20" s="454" t="s">
        <v>25</v>
      </c>
      <c r="B20" s="455" t="s">
        <v>13</v>
      </c>
      <c r="C20" s="456">
        <v>22.0</v>
      </c>
      <c r="D20" s="456">
        <v>21.0</v>
      </c>
      <c r="E20" s="469">
        <v>2.0</v>
      </c>
      <c r="F20" s="457">
        <v>2.0</v>
      </c>
      <c r="G20" s="475"/>
      <c r="H20" s="457">
        <v>3.0</v>
      </c>
      <c r="I20" s="459">
        <f t="shared" si="1"/>
        <v>50.0</v>
      </c>
    </row>
    <row r="21" spans="8:8" s="445" ht="17.25" customFormat="1" customHeight="1">
      <c r="A21" s="454" t="s">
        <v>26</v>
      </c>
      <c r="B21" s="455" t="s">
        <v>13</v>
      </c>
      <c r="C21" s="456">
        <v>22.0</v>
      </c>
      <c r="D21" s="456">
        <v>21.0</v>
      </c>
      <c r="E21" s="469">
        <v>2.0</v>
      </c>
      <c r="F21" s="457">
        <v>2.0</v>
      </c>
      <c r="G21" s="475"/>
      <c r="H21" s="457">
        <v>3.0</v>
      </c>
      <c r="I21" s="459">
        <f t="shared" si="1"/>
        <v>50.0</v>
      </c>
    </row>
    <row r="22" spans="8:8" s="445" ht="17.25" customFormat="1" customHeight="1">
      <c r="A22" s="454" t="s">
        <v>27</v>
      </c>
      <c r="B22" s="455" t="s">
        <v>13</v>
      </c>
      <c r="C22" s="456">
        <v>22.0</v>
      </c>
      <c r="D22" s="456">
        <v>21.0</v>
      </c>
      <c r="E22" s="469">
        <v>2.0</v>
      </c>
      <c r="F22" s="457">
        <v>2.0</v>
      </c>
      <c r="G22" s="475"/>
      <c r="H22" s="457">
        <v>3.0</v>
      </c>
      <c r="I22" s="459">
        <f t="shared" si="1"/>
        <v>50.0</v>
      </c>
    </row>
    <row r="23" spans="8:8" s="445" ht="17.25" customFormat="1" customHeight="1">
      <c r="A23" s="454" t="s">
        <v>28</v>
      </c>
      <c r="B23" s="455" t="s">
        <v>13</v>
      </c>
      <c r="C23" s="456">
        <v>22.0</v>
      </c>
      <c r="D23" s="456">
        <v>21.0</v>
      </c>
      <c r="E23" s="469">
        <v>2.0</v>
      </c>
      <c r="F23" s="457">
        <v>2.0</v>
      </c>
      <c r="G23" s="475"/>
      <c r="H23" s="457">
        <v>3.0</v>
      </c>
      <c r="I23" s="459">
        <f t="shared" si="1"/>
        <v>50.0</v>
      </c>
    </row>
    <row r="24" spans="8:8" s="445" ht="17.25" customFormat="1" customHeight="1">
      <c r="A24" s="454" t="s">
        <v>29</v>
      </c>
      <c r="B24" s="455" t="s">
        <v>13</v>
      </c>
      <c r="C24" s="456">
        <v>22.0</v>
      </c>
      <c r="D24" s="456">
        <v>21.0</v>
      </c>
      <c r="E24" s="469">
        <v>2.0</v>
      </c>
      <c r="F24" s="457">
        <v>2.0</v>
      </c>
      <c r="G24" s="475"/>
      <c r="H24" s="457">
        <v>3.0</v>
      </c>
      <c r="I24" s="459">
        <f t="shared" si="1"/>
        <v>50.0</v>
      </c>
    </row>
    <row r="25" spans="8:8" s="445" ht="17.25" customFormat="1" customHeight="1">
      <c r="A25" s="480" t="s">
        <v>427</v>
      </c>
      <c r="B25" s="455" t="s">
        <v>13</v>
      </c>
      <c r="C25" s="456">
        <v>22.0</v>
      </c>
      <c r="D25" s="456">
        <v>21.0</v>
      </c>
      <c r="E25" s="469">
        <v>2.0</v>
      </c>
      <c r="F25" s="457">
        <v>2.0</v>
      </c>
      <c r="G25" s="475"/>
      <c r="H25" s="457">
        <v>3.0</v>
      </c>
      <c r="I25" s="459">
        <f t="shared" si="1"/>
        <v>50.0</v>
      </c>
    </row>
    <row r="26" spans="8:8" s="445" ht="17.25" customFormat="1" customHeight="1">
      <c r="A26" s="454" t="s">
        <v>31</v>
      </c>
      <c r="B26" s="455" t="s">
        <v>13</v>
      </c>
      <c r="C26" s="456">
        <v>22.0</v>
      </c>
      <c r="D26" s="456">
        <v>21.0</v>
      </c>
      <c r="E26" s="469">
        <v>2.0</v>
      </c>
      <c r="F26" s="457">
        <v>2.0</v>
      </c>
      <c r="G26" s="475"/>
      <c r="H26" s="457">
        <v>3.0</v>
      </c>
      <c r="I26" s="459">
        <f t="shared" si="1"/>
        <v>50.0</v>
      </c>
    </row>
    <row r="27" spans="8:8" s="445" ht="17.25" customFormat="1" customHeight="1">
      <c r="A27" s="454" t="s">
        <v>32</v>
      </c>
      <c r="B27" s="455" t="s">
        <v>13</v>
      </c>
      <c r="C27" s="456">
        <v>28.0</v>
      </c>
      <c r="D27" s="456">
        <v>25.0</v>
      </c>
      <c r="E27" s="469">
        <v>2.0</v>
      </c>
      <c r="F27" s="457">
        <v>2.0</v>
      </c>
      <c r="G27" s="475"/>
      <c r="H27" s="457">
        <v>3.0</v>
      </c>
      <c r="I27" s="459">
        <f t="shared" si="1"/>
        <v>60.0</v>
      </c>
    </row>
    <row r="28" spans="8:8" s="445" ht="17.25" customFormat="1" customHeight="1">
      <c r="A28" s="454" t="s">
        <v>33</v>
      </c>
      <c r="B28" s="455" t="s">
        <v>13</v>
      </c>
      <c r="C28" s="456">
        <v>15.0</v>
      </c>
      <c r="D28" s="456">
        <v>18.0</v>
      </c>
      <c r="E28" s="469">
        <v>2.0</v>
      </c>
      <c r="F28" s="457">
        <v>2.0</v>
      </c>
      <c r="G28" s="475"/>
      <c r="H28" s="457">
        <v>3.0</v>
      </c>
      <c r="I28" s="459">
        <f t="shared" si="1"/>
        <v>40.0</v>
      </c>
    </row>
    <row r="29" spans="8:8" s="445" ht="17.25" customFormat="1" customHeight="1">
      <c r="A29" s="454" t="s">
        <v>34</v>
      </c>
      <c r="B29" s="455" t="s">
        <v>13</v>
      </c>
      <c r="C29" s="456">
        <v>18.0</v>
      </c>
      <c r="D29" s="456">
        <v>15.0</v>
      </c>
      <c r="E29" s="469">
        <v>2.0</v>
      </c>
      <c r="F29" s="457">
        <v>2.0</v>
      </c>
      <c r="G29" s="475"/>
      <c r="H29" s="457">
        <v>3.0</v>
      </c>
      <c r="I29" s="459">
        <f t="shared" si="1"/>
        <v>40.0</v>
      </c>
    </row>
    <row r="30" spans="8:8" s="445" ht="17.25" customFormat="1" customHeight="1">
      <c r="A30" s="454" t="s">
        <v>35</v>
      </c>
      <c r="B30" s="455" t="s">
        <v>13</v>
      </c>
      <c r="C30" s="456">
        <v>18.0</v>
      </c>
      <c r="D30" s="456">
        <v>15.0</v>
      </c>
      <c r="E30" s="469">
        <v>2.0</v>
      </c>
      <c r="F30" s="457">
        <v>2.0</v>
      </c>
      <c r="G30" s="475"/>
      <c r="H30" s="457">
        <v>3.0</v>
      </c>
      <c r="I30" s="459">
        <f t="shared" si="1"/>
        <v>40.0</v>
      </c>
    </row>
    <row r="31" spans="8:8" s="445" ht="17.25" customFormat="1" customHeight="1">
      <c r="A31" s="454" t="s">
        <v>36</v>
      </c>
      <c r="B31" s="455" t="s">
        <v>13</v>
      </c>
      <c r="C31" s="456">
        <v>18.0</v>
      </c>
      <c r="D31" s="456">
        <v>15.0</v>
      </c>
      <c r="E31" s="469">
        <v>2.0</v>
      </c>
      <c r="F31" s="457">
        <v>2.0</v>
      </c>
      <c r="G31" s="475"/>
      <c r="H31" s="457">
        <v>3.0</v>
      </c>
      <c r="I31" s="459">
        <f t="shared" si="1"/>
        <v>40.0</v>
      </c>
    </row>
    <row r="32" spans="8:8" s="445" ht="30.75" customFormat="1" customHeight="1">
      <c r="A32" s="480" t="s">
        <v>428</v>
      </c>
      <c r="B32" s="455" t="s">
        <v>13</v>
      </c>
      <c r="C32" s="456">
        <v>11.0</v>
      </c>
      <c r="D32" s="456">
        <v>12.0</v>
      </c>
      <c r="E32" s="469">
        <v>2.0</v>
      </c>
      <c r="F32" s="457">
        <v>2.0</v>
      </c>
      <c r="G32" s="475"/>
      <c r="H32" s="457">
        <v>3.0</v>
      </c>
      <c r="I32" s="459">
        <f t="shared" si="1"/>
        <v>30.0</v>
      </c>
    </row>
    <row r="33" spans="8:8" s="445" ht="17.25" customFormat="1" customHeight="1">
      <c r="A33" s="454" t="s">
        <v>38</v>
      </c>
      <c r="B33" s="455" t="s">
        <v>13</v>
      </c>
      <c r="C33" s="456">
        <v>18.0</v>
      </c>
      <c r="D33" s="456">
        <v>10.0</v>
      </c>
      <c r="E33" s="469">
        <v>2.0</v>
      </c>
      <c r="F33" s="457">
        <v>2.0</v>
      </c>
      <c r="G33" s="475"/>
      <c r="H33" s="457">
        <v>3.0</v>
      </c>
      <c r="I33" s="459">
        <f t="shared" si="1"/>
        <v>35.0</v>
      </c>
    </row>
    <row r="34" spans="8:8" s="445" ht="17.25" customFormat="1" customHeight="1">
      <c r="A34" s="479" t="s">
        <v>39</v>
      </c>
      <c r="B34" s="455" t="s">
        <v>13</v>
      </c>
      <c r="C34" s="456">
        <v>18.0</v>
      </c>
      <c r="D34" s="456">
        <v>15.0</v>
      </c>
      <c r="E34" s="469">
        <v>2.0</v>
      </c>
      <c r="F34" s="457">
        <v>2.0</v>
      </c>
      <c r="G34" s="475"/>
      <c r="H34" s="457">
        <v>3.0</v>
      </c>
      <c r="I34" s="459">
        <f t="shared" si="1"/>
        <v>40.0</v>
      </c>
    </row>
    <row r="35" spans="8:8" s="472" ht="17.25" customFormat="1" customHeight="1">
      <c r="A35" s="454" t="s">
        <v>40</v>
      </c>
      <c r="B35" s="474" t="s">
        <v>13</v>
      </c>
      <c r="C35" s="456">
        <v>18.0</v>
      </c>
      <c r="D35" s="456">
        <v>15.0</v>
      </c>
      <c r="E35" s="469">
        <v>2.0</v>
      </c>
      <c r="F35" s="457">
        <v>2.0</v>
      </c>
      <c r="G35" s="475"/>
      <c r="H35" s="457">
        <v>3.0</v>
      </c>
      <c r="I35" s="459">
        <f t="shared" si="1"/>
        <v>40.0</v>
      </c>
    </row>
    <row r="36" spans="8:8" s="445" ht="17.25" customFormat="1" customHeight="1">
      <c r="A36" s="479" t="s">
        <v>41</v>
      </c>
      <c r="B36" s="474" t="s">
        <v>13</v>
      </c>
      <c r="C36" s="456">
        <v>18.0</v>
      </c>
      <c r="D36" s="456">
        <v>15.0</v>
      </c>
      <c r="E36" s="469">
        <v>2.0</v>
      </c>
      <c r="F36" s="457">
        <v>2.0</v>
      </c>
      <c r="G36" s="475"/>
      <c r="H36" s="457">
        <v>3.0</v>
      </c>
      <c r="I36" s="459">
        <f t="shared" si="1"/>
        <v>40.0</v>
      </c>
    </row>
    <row r="37" spans="8:8" s="472" ht="17.25" customFormat="1" customHeight="1">
      <c r="A37" s="480" t="s">
        <v>429</v>
      </c>
      <c r="B37" s="474" t="s">
        <v>13</v>
      </c>
      <c r="C37" s="456">
        <v>18.0</v>
      </c>
      <c r="D37" s="456">
        <v>15.0</v>
      </c>
      <c r="E37" s="469">
        <v>2.0</v>
      </c>
      <c r="F37" s="457">
        <v>2.0</v>
      </c>
      <c r="G37" s="475"/>
      <c r="H37" s="457">
        <v>3.0</v>
      </c>
      <c r="I37" s="459">
        <f t="shared" si="1"/>
        <v>40.0</v>
      </c>
    </row>
    <row r="38" spans="8:8" s="445" ht="17.25" customFormat="1" customHeight="1">
      <c r="A38" s="454" t="s">
        <v>43</v>
      </c>
      <c r="B38" s="455" t="s">
        <v>13</v>
      </c>
      <c r="C38" s="456">
        <v>18.0</v>
      </c>
      <c r="D38" s="456">
        <v>15.0</v>
      </c>
      <c r="E38" s="469">
        <v>2.0</v>
      </c>
      <c r="F38" s="457">
        <v>2.0</v>
      </c>
      <c r="G38" s="475"/>
      <c r="H38" s="457">
        <v>3.0</v>
      </c>
      <c r="I38" s="459">
        <f t="shared" si="1"/>
        <v>40.0</v>
      </c>
    </row>
    <row r="39" spans="8:8" s="445" ht="17.25" customFormat="1" customHeight="1">
      <c r="A39" s="480" t="s">
        <v>430</v>
      </c>
      <c r="B39" s="455" t="s">
        <v>13</v>
      </c>
      <c r="C39" s="456">
        <v>18.0</v>
      </c>
      <c r="D39" s="456">
        <v>15.0</v>
      </c>
      <c r="E39" s="469">
        <v>2.0</v>
      </c>
      <c r="F39" s="457">
        <v>2.0</v>
      </c>
      <c r="G39" s="475"/>
      <c r="H39" s="457">
        <v>3.0</v>
      </c>
      <c r="I39" s="459">
        <f t="shared" si="1"/>
        <v>40.0</v>
      </c>
    </row>
    <row r="40" spans="8:8" s="445" ht="17.25" customFormat="1" customHeight="1">
      <c r="A40" s="454" t="s">
        <v>45</v>
      </c>
      <c r="B40" s="455" t="s">
        <v>13</v>
      </c>
      <c r="C40" s="456">
        <v>40.0</v>
      </c>
      <c r="D40" s="456">
        <v>33.0</v>
      </c>
      <c r="E40" s="469">
        <v>2.0</v>
      </c>
      <c r="F40" s="457">
        <v>2.0</v>
      </c>
      <c r="G40" s="475"/>
      <c r="H40" s="457">
        <v>3.0</v>
      </c>
      <c r="I40" s="459">
        <f t="shared" si="1"/>
        <v>80.0</v>
      </c>
    </row>
    <row r="41" spans="8:8" s="445" ht="17.25" customFormat="1" customHeight="1">
      <c r="A41" s="454" t="s">
        <v>46</v>
      </c>
      <c r="B41" s="455" t="s">
        <v>13</v>
      </c>
      <c r="C41" s="456">
        <v>59.0</v>
      </c>
      <c r="D41" s="456">
        <v>14.0</v>
      </c>
      <c r="E41" s="469">
        <v>2.0</v>
      </c>
      <c r="F41" s="457">
        <v>2.0</v>
      </c>
      <c r="G41" s="475"/>
      <c r="H41" s="457">
        <v>3.0</v>
      </c>
      <c r="I41" s="459">
        <f t="shared" si="1"/>
        <v>80.0</v>
      </c>
    </row>
    <row r="42" spans="8:8" s="445" ht="17.25" customFormat="1" customHeight="1">
      <c r="A42" s="454" t="s">
        <v>47</v>
      </c>
      <c r="B42" s="455" t="s">
        <v>13</v>
      </c>
      <c r="C42" s="456">
        <v>59.0</v>
      </c>
      <c r="D42" s="456">
        <v>34.0</v>
      </c>
      <c r="E42" s="469">
        <v>2.0</v>
      </c>
      <c r="F42" s="457">
        <v>2.0</v>
      </c>
      <c r="G42" s="475"/>
      <c r="H42" s="457">
        <v>3.0</v>
      </c>
      <c r="I42" s="459">
        <f t="shared" si="1"/>
        <v>100.0</v>
      </c>
    </row>
    <row r="43" spans="8:8" s="445" ht="17.25" customFormat="1" customHeight="1">
      <c r="A43" s="454" t="s">
        <v>48</v>
      </c>
      <c r="B43" s="455" t="s">
        <v>13</v>
      </c>
      <c r="C43" s="456">
        <v>20.0</v>
      </c>
      <c r="D43" s="456">
        <v>33.0</v>
      </c>
      <c r="E43" s="469">
        <v>2.0</v>
      </c>
      <c r="F43" s="457">
        <v>2.0</v>
      </c>
      <c r="G43" s="475"/>
      <c r="H43" s="457">
        <v>3.0</v>
      </c>
      <c r="I43" s="459">
        <f t="shared" si="1"/>
        <v>60.0</v>
      </c>
    </row>
    <row r="44" spans="8:8" s="445" ht="17.25" customFormat="1" customHeight="1">
      <c r="A44" s="454" t="s">
        <v>49</v>
      </c>
      <c r="B44" s="455" t="s">
        <v>13</v>
      </c>
      <c r="C44" s="456">
        <v>18.0</v>
      </c>
      <c r="D44" s="456">
        <v>15.0</v>
      </c>
      <c r="E44" s="469">
        <v>2.0</v>
      </c>
      <c r="F44" s="457">
        <v>2.0</v>
      </c>
      <c r="G44" s="475"/>
      <c r="H44" s="457">
        <v>3.0</v>
      </c>
      <c r="I44" s="459">
        <f t="shared" si="1"/>
        <v>40.0</v>
      </c>
    </row>
    <row r="45" spans="8:8" s="445" ht="17.25" customFormat="1" customHeight="1">
      <c r="A45" s="481" t="s">
        <v>431</v>
      </c>
      <c r="B45" s="455" t="s">
        <v>13</v>
      </c>
      <c r="C45" s="456">
        <v>18.0</v>
      </c>
      <c r="D45" s="456">
        <v>15.0</v>
      </c>
      <c r="E45" s="469">
        <v>2.0</v>
      </c>
      <c r="F45" s="457">
        <v>2.0</v>
      </c>
      <c r="G45" s="475"/>
      <c r="H45" s="457">
        <v>3.0</v>
      </c>
      <c r="I45" s="459">
        <f t="shared" si="1"/>
        <v>40.0</v>
      </c>
    </row>
    <row r="46" spans="8:8" s="472" ht="17.25" customFormat="1" customHeight="1">
      <c r="A46" s="454" t="s">
        <v>51</v>
      </c>
      <c r="B46" s="474" t="s">
        <v>13</v>
      </c>
      <c r="C46" s="456">
        <v>18.0</v>
      </c>
      <c r="D46" s="456">
        <v>15.0</v>
      </c>
      <c r="E46" s="469">
        <v>2.0</v>
      </c>
      <c r="F46" s="457">
        <v>2.0</v>
      </c>
      <c r="G46" s="475"/>
      <c r="H46" s="457">
        <v>3.0</v>
      </c>
      <c r="I46" s="459">
        <f t="shared" si="1"/>
        <v>40.0</v>
      </c>
    </row>
    <row r="47" spans="8:8" s="445" ht="17.25" customFormat="1" customHeight="1">
      <c r="A47" s="454" t="s">
        <v>52</v>
      </c>
      <c r="B47" s="455" t="s">
        <v>13</v>
      </c>
      <c r="C47" s="456">
        <v>18.0</v>
      </c>
      <c r="D47" s="456">
        <v>15.0</v>
      </c>
      <c r="E47" s="469">
        <v>2.0</v>
      </c>
      <c r="F47" s="457">
        <v>2.0</v>
      </c>
      <c r="G47" s="475"/>
      <c r="H47" s="457">
        <v>3.0</v>
      </c>
      <c r="I47" s="459">
        <f t="shared" si="1"/>
        <v>40.0</v>
      </c>
    </row>
    <row r="48" spans="8:8" s="445" ht="17.25" customFormat="1" customHeight="1">
      <c r="A48" s="454" t="s">
        <v>53</v>
      </c>
      <c r="B48" s="455" t="s">
        <v>13</v>
      </c>
      <c r="C48" s="456">
        <v>18.0</v>
      </c>
      <c r="D48" s="456">
        <v>15.0</v>
      </c>
      <c r="E48" s="469">
        <v>2.0</v>
      </c>
      <c r="F48" s="457">
        <v>2.0</v>
      </c>
      <c r="G48" s="475"/>
      <c r="H48" s="457">
        <v>3.0</v>
      </c>
      <c r="I48" s="459">
        <f t="shared" si="1"/>
        <v>40.0</v>
      </c>
    </row>
    <row r="49" spans="8:8" s="445" ht="17.25" customFormat="1" customHeight="1">
      <c r="A49" s="454" t="s">
        <v>54</v>
      </c>
      <c r="B49" s="455" t="s">
        <v>13</v>
      </c>
      <c r="C49" s="456">
        <v>18.0</v>
      </c>
      <c r="D49" s="456">
        <v>15.0</v>
      </c>
      <c r="E49" s="469">
        <v>2.0</v>
      </c>
      <c r="F49" s="457">
        <v>2.0</v>
      </c>
      <c r="G49" s="475"/>
      <c r="H49" s="457">
        <v>3.0</v>
      </c>
      <c r="I49" s="459">
        <f t="shared" si="1"/>
        <v>40.0</v>
      </c>
    </row>
    <row r="50" spans="8:8" s="445" ht="17.25" customFormat="1" customHeight="1">
      <c r="A50" s="479" t="s">
        <v>55</v>
      </c>
      <c r="B50" s="455" t="s">
        <v>13</v>
      </c>
      <c r="C50" s="456">
        <v>18.0</v>
      </c>
      <c r="D50" s="456">
        <v>15.0</v>
      </c>
      <c r="E50" s="469">
        <v>2.0</v>
      </c>
      <c r="F50" s="457">
        <v>2.0</v>
      </c>
      <c r="G50" s="475"/>
      <c r="H50" s="457">
        <v>3.0</v>
      </c>
      <c r="I50" s="459">
        <f t="shared" si="1"/>
        <v>40.0</v>
      </c>
    </row>
    <row r="51" spans="8:8" s="472" ht="17.25" customFormat="1" customHeight="1">
      <c r="A51" s="482" t="s">
        <v>56</v>
      </c>
      <c r="B51" s="483" t="s">
        <v>13</v>
      </c>
      <c r="C51" s="484">
        <v>18.0</v>
      </c>
      <c r="D51" s="484">
        <v>15.0</v>
      </c>
      <c r="E51" s="485">
        <v>2.0</v>
      </c>
      <c r="F51" s="485">
        <v>2.0</v>
      </c>
      <c r="G51" s="486"/>
      <c r="H51" s="485">
        <v>3.0</v>
      </c>
      <c r="I51" s="487">
        <f t="shared" si="1"/>
        <v>40.0</v>
      </c>
    </row>
    <row r="52" spans="8:8" s="445" ht="17.25" customFormat="1" customHeight="1">
      <c r="A52" s="488" t="s">
        <v>57</v>
      </c>
      <c r="B52" s="489" t="s">
        <v>60</v>
      </c>
      <c r="C52" s="468">
        <v>1.0</v>
      </c>
      <c r="D52" s="468">
        <v>25.0</v>
      </c>
      <c r="E52" s="469">
        <v>2.0</v>
      </c>
      <c r="F52" s="469">
        <v>2.0</v>
      </c>
      <c r="G52" s="470"/>
      <c r="H52" s="470"/>
      <c r="I52" s="471">
        <f>SUM(C52:H52)</f>
        <v>30.0</v>
      </c>
    </row>
    <row r="53" spans="8:8" s="445" ht="17.25" customFormat="1" customHeight="1">
      <c r="A53" s="454" t="s">
        <v>58</v>
      </c>
      <c r="B53" s="455" t="s">
        <v>60</v>
      </c>
      <c r="C53" s="456">
        <v>1.0</v>
      </c>
      <c r="D53" s="456">
        <v>25.0</v>
      </c>
      <c r="E53" s="469">
        <v>2.0</v>
      </c>
      <c r="F53" s="457">
        <v>2.0</v>
      </c>
      <c r="G53" s="475"/>
      <c r="H53" s="475"/>
      <c r="I53" s="471">
        <f t="shared" si="2" ref="I53:I57">SUM(C53:H53)</f>
        <v>30.0</v>
      </c>
    </row>
    <row r="54" spans="8:8" s="445" ht="17.25" customFormat="1" customHeight="1">
      <c r="A54" s="454" t="s">
        <v>59</v>
      </c>
      <c r="B54" s="455" t="s">
        <v>60</v>
      </c>
      <c r="C54" s="456">
        <v>1.0</v>
      </c>
      <c r="D54" s="456">
        <v>25.0</v>
      </c>
      <c r="E54" s="469">
        <v>2.0</v>
      </c>
      <c r="F54" s="457">
        <v>2.0</v>
      </c>
      <c r="G54" s="475"/>
      <c r="H54" s="475"/>
      <c r="I54" s="471">
        <f t="shared" si="2"/>
        <v>30.0</v>
      </c>
    </row>
    <row r="55" spans="8:8" s="445" ht="17.25" customFormat="1" customHeight="1">
      <c r="A55" s="454" t="s">
        <v>61</v>
      </c>
      <c r="B55" s="455" t="s">
        <v>60</v>
      </c>
      <c r="C55" s="456">
        <v>1.0</v>
      </c>
      <c r="D55" s="456">
        <v>25.0</v>
      </c>
      <c r="E55" s="469">
        <v>2.0</v>
      </c>
      <c r="F55" s="457">
        <v>2.0</v>
      </c>
      <c r="G55" s="475"/>
      <c r="H55" s="475"/>
      <c r="I55" s="471">
        <f t="shared" si="2"/>
        <v>30.0</v>
      </c>
    </row>
    <row r="56" spans="8:8" s="445" ht="17.25" customFormat="1" customHeight="1">
      <c r="A56" s="454" t="s">
        <v>62</v>
      </c>
      <c r="B56" s="455" t="s">
        <v>60</v>
      </c>
      <c r="C56" s="456">
        <v>1.0</v>
      </c>
      <c r="D56" s="456">
        <v>25.0</v>
      </c>
      <c r="E56" s="469">
        <v>2.0</v>
      </c>
      <c r="F56" s="457">
        <v>2.0</v>
      </c>
      <c r="G56" s="475"/>
      <c r="H56" s="475"/>
      <c r="I56" s="471">
        <f t="shared" si="2"/>
        <v>30.0</v>
      </c>
    </row>
    <row r="57" spans="8:8" s="445" ht="17.25" customFormat="1" customHeight="1">
      <c r="A57" s="482" t="s">
        <v>63</v>
      </c>
      <c r="B57" s="490" t="s">
        <v>60</v>
      </c>
      <c r="C57" s="484">
        <v>1.0</v>
      </c>
      <c r="D57" s="484">
        <v>15.0</v>
      </c>
      <c r="E57" s="485">
        <v>2.0</v>
      </c>
      <c r="F57" s="485">
        <v>2.0</v>
      </c>
      <c r="G57" s="486"/>
      <c r="H57" s="486"/>
      <c r="I57" s="487">
        <f t="shared" si="2"/>
        <v>20.0</v>
      </c>
      <c r="J57" s="491"/>
      <c r="K57" s="472"/>
      <c r="L57" s="472"/>
      <c r="M57" s="472"/>
      <c r="N57" s="472"/>
    </row>
    <row r="58" spans="8:8" s="472" ht="17.25" customFormat="1" customHeight="1">
      <c r="A58" s="492" t="s">
        <v>64</v>
      </c>
      <c r="B58" s="467" t="s">
        <v>65</v>
      </c>
      <c r="C58" s="468">
        <v>1.0</v>
      </c>
      <c r="D58" s="468">
        <v>19.0</v>
      </c>
      <c r="E58" s="469">
        <v>2.0</v>
      </c>
      <c r="F58" s="469">
        <v>2.0</v>
      </c>
      <c r="G58" s="469">
        <f>C268</f>
        <v>6.0</v>
      </c>
      <c r="H58" s="470"/>
      <c r="I58" s="471">
        <f>SUM(C58:H58)</f>
        <v>30.0</v>
      </c>
      <c r="J58" s="493"/>
      <c r="K58" s="494"/>
      <c r="L58" s="494"/>
      <c r="M58" s="494"/>
      <c r="O58" s="495">
        <f>SUM(J58:N58)</f>
        <v>0.0</v>
      </c>
    </row>
    <row r="59" spans="8:8" s="445" ht="17.25" customFormat="1" customHeight="1">
      <c r="A59" s="480" t="s">
        <v>440</v>
      </c>
      <c r="B59" s="455" t="s">
        <v>65</v>
      </c>
      <c r="C59" s="456">
        <v>1.0</v>
      </c>
      <c r="D59" s="456">
        <v>24.0</v>
      </c>
      <c r="E59" s="469">
        <v>2.0</v>
      </c>
      <c r="F59" s="457">
        <v>2.0</v>
      </c>
      <c r="G59" s="469">
        <v>6.0</v>
      </c>
      <c r="H59" s="475"/>
      <c r="I59" s="471">
        <f t="shared" si="3" ref="I59">SUM(C59:H59)</f>
        <v>35.0</v>
      </c>
    </row>
    <row r="60" spans="8:8" s="445" ht="17.25" customFormat="1" customHeight="1">
      <c r="A60" s="454" t="s">
        <v>67</v>
      </c>
      <c r="B60" s="467" t="s">
        <v>65</v>
      </c>
      <c r="C60" s="468">
        <v>1.0</v>
      </c>
      <c r="D60" s="468">
        <v>19.0</v>
      </c>
      <c r="E60" s="469">
        <v>2.0</v>
      </c>
      <c r="F60" s="469">
        <v>2.0</v>
      </c>
      <c r="G60" s="469">
        <v>6.0</v>
      </c>
      <c r="H60" s="470"/>
      <c r="I60" s="471">
        <f>SUM(C60:H60)</f>
        <v>30.0</v>
      </c>
    </row>
    <row r="61" spans="8:8" s="445" ht="17.25" customFormat="1" customHeight="1">
      <c r="A61" s="454" t="s">
        <v>68</v>
      </c>
      <c r="B61" s="455" t="s">
        <v>65</v>
      </c>
      <c r="C61" s="456">
        <v>1.0</v>
      </c>
      <c r="D61" s="456">
        <v>24.0</v>
      </c>
      <c r="E61" s="469">
        <v>2.0</v>
      </c>
      <c r="F61" s="457">
        <v>2.0</v>
      </c>
      <c r="G61" s="469">
        <v>6.0</v>
      </c>
      <c r="H61" s="475"/>
      <c r="I61" s="471">
        <f t="shared" si="4" ref="I61:I122">SUM(C61:H61)</f>
        <v>35.0</v>
      </c>
    </row>
    <row r="62" spans="8:8" s="445" ht="17.25" customFormat="1" customHeight="1">
      <c r="A62" s="454" t="s">
        <v>69</v>
      </c>
      <c r="B62" s="455" t="s">
        <v>65</v>
      </c>
      <c r="C62" s="456">
        <v>1.0</v>
      </c>
      <c r="D62" s="456">
        <v>39.0</v>
      </c>
      <c r="E62" s="469">
        <v>2.0</v>
      </c>
      <c r="F62" s="457">
        <v>2.0</v>
      </c>
      <c r="G62" s="469">
        <v>6.0</v>
      </c>
      <c r="H62" s="475"/>
      <c r="I62" s="471">
        <f t="shared" si="4"/>
        <v>50.0</v>
      </c>
      <c r="K62" s="472"/>
      <c r="L62" s="472"/>
      <c r="M62" s="472"/>
      <c r="N62" s="472"/>
    </row>
    <row r="63" spans="8:8" s="445" ht="17.25" customFormat="1" customHeight="1">
      <c r="A63" s="454" t="s">
        <v>70</v>
      </c>
      <c r="B63" s="455" t="s">
        <v>65</v>
      </c>
      <c r="C63" s="468">
        <v>1.0</v>
      </c>
      <c r="D63" s="468">
        <v>19.0</v>
      </c>
      <c r="E63" s="469">
        <v>2.0</v>
      </c>
      <c r="F63" s="469">
        <v>2.0</v>
      </c>
      <c r="G63" s="469">
        <v>6.0</v>
      </c>
      <c r="H63" s="470"/>
      <c r="I63" s="471">
        <f>SUM(C63:H63)</f>
        <v>30.0</v>
      </c>
      <c r="J63" s="472"/>
    </row>
    <row r="64" spans="8:8" s="445" ht="17.25" customFormat="1" customHeight="1">
      <c r="A64" s="479" t="s">
        <v>72</v>
      </c>
      <c r="B64" s="474" t="s">
        <v>65</v>
      </c>
      <c r="C64" s="456">
        <v>1.0</v>
      </c>
      <c r="D64" s="456">
        <v>24.0</v>
      </c>
      <c r="E64" s="469">
        <v>2.0</v>
      </c>
      <c r="F64" s="457">
        <v>2.0</v>
      </c>
      <c r="G64" s="469">
        <v>6.0</v>
      </c>
      <c r="H64" s="475"/>
      <c r="I64" s="471">
        <f t="shared" si="4"/>
        <v>35.0</v>
      </c>
      <c r="J64" s="472"/>
    </row>
    <row r="65" spans="8:8" s="445" ht="17.25" customFormat="1" customHeight="1">
      <c r="A65" s="479" t="s">
        <v>71</v>
      </c>
      <c r="B65" s="474" t="s">
        <v>65</v>
      </c>
      <c r="C65" s="456">
        <v>1.0</v>
      </c>
      <c r="D65" s="456">
        <v>29.0</v>
      </c>
      <c r="E65" s="469">
        <v>2.0</v>
      </c>
      <c r="F65" s="457">
        <v>2.0</v>
      </c>
      <c r="G65" s="469">
        <v>6.0</v>
      </c>
      <c r="H65" s="475"/>
      <c r="I65" s="471">
        <f t="shared" si="4"/>
        <v>40.0</v>
      </c>
      <c r="J65" s="496"/>
    </row>
    <row r="66" spans="8:8" s="445" ht="17.25" customFormat="1" customHeight="1">
      <c r="A66" s="454" t="s">
        <v>73</v>
      </c>
      <c r="B66" s="455" t="s">
        <v>65</v>
      </c>
      <c r="C66" s="468">
        <v>1.0</v>
      </c>
      <c r="D66" s="468">
        <v>19.0</v>
      </c>
      <c r="E66" s="469">
        <v>2.0</v>
      </c>
      <c r="F66" s="469">
        <v>2.0</v>
      </c>
      <c r="G66" s="469">
        <v>6.0</v>
      </c>
      <c r="H66" s="470"/>
      <c r="I66" s="471">
        <f>SUM(C66:H66)</f>
        <v>30.0</v>
      </c>
    </row>
    <row r="67" spans="8:8" s="445" ht="17.25" customFormat="1" customHeight="1">
      <c r="A67" s="454" t="s">
        <v>74</v>
      </c>
      <c r="B67" s="455" t="s">
        <v>65</v>
      </c>
      <c r="C67" s="456">
        <v>1.0</v>
      </c>
      <c r="D67" s="456">
        <v>24.0</v>
      </c>
      <c r="E67" s="469">
        <v>2.0</v>
      </c>
      <c r="F67" s="457">
        <v>2.0</v>
      </c>
      <c r="G67" s="469">
        <v>6.0</v>
      </c>
      <c r="H67" s="475"/>
      <c r="I67" s="471">
        <f t="shared" si="4"/>
        <v>35.0</v>
      </c>
    </row>
    <row r="68" spans="8:8" s="445" ht="17.25" customFormat="1" customHeight="1">
      <c r="A68" s="454" t="s">
        <v>75</v>
      </c>
      <c r="B68" s="455" t="s">
        <v>65</v>
      </c>
      <c r="C68" s="456">
        <v>1.0</v>
      </c>
      <c r="D68" s="456">
        <v>49.0</v>
      </c>
      <c r="E68" s="469">
        <v>2.0</v>
      </c>
      <c r="F68" s="457">
        <v>2.0</v>
      </c>
      <c r="G68" s="469">
        <v>6.0</v>
      </c>
      <c r="H68" s="475"/>
      <c r="I68" s="471">
        <f t="shared" si="4"/>
        <v>60.0</v>
      </c>
    </row>
    <row r="69" spans="8:8" s="445" ht="17.25" customFormat="1" customHeight="1">
      <c r="A69" s="454" t="s">
        <v>76</v>
      </c>
      <c r="B69" s="455" t="s">
        <v>65</v>
      </c>
      <c r="C69" s="468">
        <v>1.0</v>
      </c>
      <c r="D69" s="468">
        <v>9.0</v>
      </c>
      <c r="E69" s="469">
        <v>2.0</v>
      </c>
      <c r="F69" s="469">
        <v>2.0</v>
      </c>
      <c r="G69" s="469">
        <v>6.0</v>
      </c>
      <c r="H69" s="470"/>
      <c r="I69" s="471">
        <f>SUM(C69:H69)</f>
        <v>20.0</v>
      </c>
    </row>
    <row r="70" spans="8:8" s="445" ht="17.25" customFormat="1" customHeight="1">
      <c r="A70" s="454" t="s">
        <v>77</v>
      </c>
      <c r="B70" s="455" t="s">
        <v>65</v>
      </c>
      <c r="C70" s="456">
        <v>1.0</v>
      </c>
      <c r="D70" s="456">
        <v>24.0</v>
      </c>
      <c r="E70" s="469">
        <v>2.0</v>
      </c>
      <c r="F70" s="457">
        <v>2.0</v>
      </c>
      <c r="G70" s="469">
        <v>6.0</v>
      </c>
      <c r="H70" s="475"/>
      <c r="I70" s="471">
        <f t="shared" si="4"/>
        <v>35.0</v>
      </c>
    </row>
    <row r="71" spans="8:8" s="445" ht="17.25" customFormat="1" customHeight="1">
      <c r="A71" s="454" t="s">
        <v>78</v>
      </c>
      <c r="B71" s="455" t="s">
        <v>65</v>
      </c>
      <c r="C71" s="456">
        <v>1.0</v>
      </c>
      <c r="D71" s="456">
        <v>34.0</v>
      </c>
      <c r="E71" s="469">
        <v>2.0</v>
      </c>
      <c r="F71" s="457">
        <v>2.0</v>
      </c>
      <c r="G71" s="469">
        <v>6.0</v>
      </c>
      <c r="H71" s="475"/>
      <c r="I71" s="471">
        <f t="shared" si="4"/>
        <v>45.0</v>
      </c>
    </row>
    <row r="72" spans="8:8" s="445" ht="17.25" customFormat="1" customHeight="1">
      <c r="A72" s="454" t="s">
        <v>79</v>
      </c>
      <c r="B72" s="455" t="s">
        <v>65</v>
      </c>
      <c r="C72" s="456">
        <v>1.0</v>
      </c>
      <c r="D72" s="456">
        <v>39.0</v>
      </c>
      <c r="E72" s="469">
        <v>2.0</v>
      </c>
      <c r="F72" s="457">
        <v>2.0</v>
      </c>
      <c r="G72" s="469">
        <v>6.0</v>
      </c>
      <c r="H72" s="475"/>
      <c r="I72" s="471">
        <f t="shared" si="4"/>
        <v>50.0</v>
      </c>
    </row>
    <row r="73" spans="8:8" s="445" ht="17.25" customFormat="1" customHeight="1">
      <c r="A73" s="454" t="s">
        <v>80</v>
      </c>
      <c r="B73" s="455" t="s">
        <v>65</v>
      </c>
      <c r="C73" s="468">
        <v>1.0</v>
      </c>
      <c r="D73" s="468">
        <v>9.0</v>
      </c>
      <c r="E73" s="469">
        <v>2.0</v>
      </c>
      <c r="F73" s="469">
        <v>2.0</v>
      </c>
      <c r="G73" s="469">
        <v>6.0</v>
      </c>
      <c r="H73" s="470"/>
      <c r="I73" s="471">
        <f>SUM(C73:H73)</f>
        <v>20.0</v>
      </c>
    </row>
    <row r="74" spans="8:8" s="445" ht="17.25" customFormat="1" customHeight="1">
      <c r="A74" s="454" t="s">
        <v>81</v>
      </c>
      <c r="B74" s="455" t="s">
        <v>65</v>
      </c>
      <c r="C74" s="456">
        <v>1.0</v>
      </c>
      <c r="D74" s="456">
        <v>24.0</v>
      </c>
      <c r="E74" s="469">
        <v>2.0</v>
      </c>
      <c r="F74" s="457">
        <v>2.0</v>
      </c>
      <c r="G74" s="469">
        <v>6.0</v>
      </c>
      <c r="H74" s="475"/>
      <c r="I74" s="471">
        <f t="shared" si="4"/>
        <v>35.0</v>
      </c>
    </row>
    <row r="75" spans="8:8" s="445" ht="17.25" customFormat="1" customHeight="1">
      <c r="A75" s="454" t="s">
        <v>82</v>
      </c>
      <c r="B75" s="455" t="s">
        <v>65</v>
      </c>
      <c r="C75" s="456">
        <v>1.0</v>
      </c>
      <c r="D75" s="456">
        <v>39.0</v>
      </c>
      <c r="E75" s="469">
        <v>2.0</v>
      </c>
      <c r="F75" s="457">
        <v>2.0</v>
      </c>
      <c r="G75" s="469">
        <v>6.0</v>
      </c>
      <c r="H75" s="475"/>
      <c r="I75" s="471">
        <f t="shared" si="4"/>
        <v>50.0</v>
      </c>
    </row>
    <row r="76" spans="8:8" s="445" ht="17.25" customFormat="1" customHeight="1">
      <c r="A76" s="454" t="s">
        <v>83</v>
      </c>
      <c r="B76" s="455" t="s">
        <v>65</v>
      </c>
      <c r="C76" s="456">
        <v>1.0</v>
      </c>
      <c r="D76" s="456">
        <v>49.0</v>
      </c>
      <c r="E76" s="469">
        <v>2.0</v>
      </c>
      <c r="F76" s="457">
        <v>2.0</v>
      </c>
      <c r="G76" s="469">
        <v>6.0</v>
      </c>
      <c r="H76" s="475"/>
      <c r="I76" s="471">
        <f t="shared" si="4"/>
        <v>60.0</v>
      </c>
    </row>
    <row r="77" spans="8:8" s="445" ht="17.25" customFormat="1" customHeight="1">
      <c r="A77" s="454" t="s">
        <v>84</v>
      </c>
      <c r="B77" s="455" t="s">
        <v>65</v>
      </c>
      <c r="C77" s="456">
        <v>1.0</v>
      </c>
      <c r="D77" s="456">
        <v>24.0</v>
      </c>
      <c r="E77" s="469">
        <v>2.0</v>
      </c>
      <c r="F77" s="457">
        <v>2.0</v>
      </c>
      <c r="G77" s="469">
        <v>6.0</v>
      </c>
      <c r="H77" s="475"/>
      <c r="I77" s="471">
        <f t="shared" si="4"/>
        <v>35.0</v>
      </c>
    </row>
    <row r="78" spans="8:8" s="445" ht="17.25" customFormat="1" customHeight="1">
      <c r="A78" s="454" t="s">
        <v>85</v>
      </c>
      <c r="B78" s="455" t="s">
        <v>65</v>
      </c>
      <c r="C78" s="456">
        <v>1.0</v>
      </c>
      <c r="D78" s="456">
        <v>49.0</v>
      </c>
      <c r="E78" s="469">
        <v>2.0</v>
      </c>
      <c r="F78" s="457">
        <v>2.0</v>
      </c>
      <c r="G78" s="469">
        <v>6.0</v>
      </c>
      <c r="H78" s="475"/>
      <c r="I78" s="471">
        <f t="shared" si="4"/>
        <v>60.0</v>
      </c>
    </row>
    <row r="79" spans="8:8" s="445" ht="17.25" customFormat="1" customHeight="1">
      <c r="A79" s="479" t="s">
        <v>86</v>
      </c>
      <c r="B79" s="474" t="s">
        <v>65</v>
      </c>
      <c r="C79" s="456">
        <v>1.0</v>
      </c>
      <c r="D79" s="456">
        <v>24.0</v>
      </c>
      <c r="E79" s="469">
        <v>2.0</v>
      </c>
      <c r="F79" s="457">
        <v>2.0</v>
      </c>
      <c r="G79" s="469">
        <v>6.0</v>
      </c>
      <c r="H79" s="475"/>
      <c r="I79" s="471">
        <f t="shared" si="4"/>
        <v>35.0</v>
      </c>
    </row>
    <row r="80" spans="8:8" s="472" ht="17.25" customFormat="1" customHeight="1">
      <c r="A80" s="479" t="s">
        <v>87</v>
      </c>
      <c r="B80" s="474" t="s">
        <v>65</v>
      </c>
      <c r="C80" s="456">
        <v>1.0</v>
      </c>
      <c r="D80" s="456">
        <v>29.0</v>
      </c>
      <c r="E80" s="469">
        <v>2.0</v>
      </c>
      <c r="F80" s="457">
        <v>2.0</v>
      </c>
      <c r="G80" s="469">
        <v>6.0</v>
      </c>
      <c r="H80" s="475"/>
      <c r="I80" s="471">
        <f t="shared" si="4"/>
        <v>40.0</v>
      </c>
    </row>
    <row r="81" spans="8:8" s="445" ht="17.25" customFormat="1" customHeight="1">
      <c r="A81" s="479" t="s">
        <v>88</v>
      </c>
      <c r="B81" s="474" t="s">
        <v>65</v>
      </c>
      <c r="C81" s="456">
        <v>1.0</v>
      </c>
      <c r="D81" s="456">
        <v>34.0</v>
      </c>
      <c r="E81" s="469">
        <v>2.0</v>
      </c>
      <c r="F81" s="457">
        <v>2.0</v>
      </c>
      <c r="G81" s="469">
        <v>6.0</v>
      </c>
      <c r="H81" s="475"/>
      <c r="I81" s="471">
        <f t="shared" si="4"/>
        <v>45.0</v>
      </c>
    </row>
    <row r="82" spans="8:8" s="445" ht="17.25" customFormat="1" customHeight="1">
      <c r="A82" s="479" t="s">
        <v>89</v>
      </c>
      <c r="B82" s="474" t="s">
        <v>65</v>
      </c>
      <c r="C82" s="456">
        <v>1.0</v>
      </c>
      <c r="D82" s="456">
        <v>39.0</v>
      </c>
      <c r="E82" s="469">
        <v>2.0</v>
      </c>
      <c r="F82" s="457">
        <v>2.0</v>
      </c>
      <c r="G82" s="469">
        <v>6.0</v>
      </c>
      <c r="H82" s="475"/>
      <c r="I82" s="471">
        <f t="shared" si="4"/>
        <v>50.0</v>
      </c>
    </row>
    <row r="83" spans="8:8" s="445" ht="17.25" customFormat="1" customHeight="1">
      <c r="A83" s="479" t="s">
        <v>90</v>
      </c>
      <c r="B83" s="474" t="s">
        <v>65</v>
      </c>
      <c r="C83" s="456">
        <v>1.0</v>
      </c>
      <c r="D83" s="456">
        <v>44.0</v>
      </c>
      <c r="E83" s="469">
        <v>2.0</v>
      </c>
      <c r="F83" s="457">
        <v>2.0</v>
      </c>
      <c r="G83" s="469">
        <v>6.0</v>
      </c>
      <c r="H83" s="475"/>
      <c r="I83" s="471">
        <f t="shared" si="4"/>
        <v>55.0</v>
      </c>
    </row>
    <row r="84" spans="8:8" s="445" ht="17.25" customFormat="1" customHeight="1">
      <c r="A84" s="479" t="s">
        <v>91</v>
      </c>
      <c r="B84" s="474" t="s">
        <v>65</v>
      </c>
      <c r="C84" s="456">
        <v>1.0</v>
      </c>
      <c r="D84" s="456">
        <v>49.0</v>
      </c>
      <c r="E84" s="469">
        <v>2.0</v>
      </c>
      <c r="F84" s="457">
        <v>2.0</v>
      </c>
      <c r="G84" s="469">
        <v>6.0</v>
      </c>
      <c r="H84" s="475"/>
      <c r="I84" s="471">
        <f t="shared" si="4"/>
        <v>60.0</v>
      </c>
    </row>
    <row r="85" spans="8:8" s="445" ht="17.25" customFormat="1" customHeight="1">
      <c r="A85" s="479" t="s">
        <v>92</v>
      </c>
      <c r="B85" s="474" t="s">
        <v>65</v>
      </c>
      <c r="C85" s="468">
        <v>1.0</v>
      </c>
      <c r="D85" s="468">
        <v>9.0</v>
      </c>
      <c r="E85" s="469">
        <v>2.0</v>
      </c>
      <c r="F85" s="469">
        <v>2.0</v>
      </c>
      <c r="G85" s="469">
        <v>6.0</v>
      </c>
      <c r="H85" s="470"/>
      <c r="I85" s="471">
        <f>SUM(C85:H85)</f>
        <v>20.0</v>
      </c>
    </row>
    <row r="86" spans="8:8" s="445" ht="17.25" customFormat="1" customHeight="1">
      <c r="A86" s="479" t="s">
        <v>93</v>
      </c>
      <c r="B86" s="474" t="s">
        <v>65</v>
      </c>
      <c r="C86" s="456">
        <v>1.0</v>
      </c>
      <c r="D86" s="456">
        <v>24.0</v>
      </c>
      <c r="E86" s="469">
        <v>2.0</v>
      </c>
      <c r="F86" s="457">
        <v>2.0</v>
      </c>
      <c r="G86" s="469">
        <v>6.0</v>
      </c>
      <c r="H86" s="475"/>
      <c r="I86" s="471">
        <f t="shared" si="5" ref="I86:I87">SUM(C86:H86)</f>
        <v>35.0</v>
      </c>
    </row>
    <row r="87" spans="8:8" s="445" ht="17.25" customFormat="1" customHeight="1">
      <c r="A87" s="479" t="s">
        <v>94</v>
      </c>
      <c r="B87" s="474" t="s">
        <v>65</v>
      </c>
      <c r="C87" s="456">
        <v>1.0</v>
      </c>
      <c r="D87" s="456">
        <v>34.0</v>
      </c>
      <c r="E87" s="469">
        <v>2.0</v>
      </c>
      <c r="F87" s="457">
        <v>2.0</v>
      </c>
      <c r="G87" s="469">
        <v>6.0</v>
      </c>
      <c r="H87" s="475"/>
      <c r="I87" s="471">
        <f t="shared" si="5"/>
        <v>45.0</v>
      </c>
    </row>
    <row r="88" spans="8:8" s="445" ht="17.25" customFormat="1" customHeight="1">
      <c r="A88" s="479" t="s">
        <v>95</v>
      </c>
      <c r="B88" s="474" t="s">
        <v>65</v>
      </c>
      <c r="C88" s="456">
        <v>1.0</v>
      </c>
      <c r="D88" s="456">
        <v>24.0</v>
      </c>
      <c r="E88" s="469">
        <v>2.0</v>
      </c>
      <c r="F88" s="457">
        <v>2.0</v>
      </c>
      <c r="G88" s="469">
        <v>6.0</v>
      </c>
      <c r="H88" s="475"/>
      <c r="I88" s="471">
        <f t="shared" si="4"/>
        <v>35.0</v>
      </c>
    </row>
    <row r="89" spans="8:8" s="445" ht="17.25" customFormat="1" customHeight="1">
      <c r="A89" s="479" t="s">
        <v>96</v>
      </c>
      <c r="B89" s="474" t="s">
        <v>65</v>
      </c>
      <c r="C89" s="456">
        <v>1.0</v>
      </c>
      <c r="D89" s="456">
        <v>34.0</v>
      </c>
      <c r="E89" s="469">
        <v>2.0</v>
      </c>
      <c r="F89" s="457">
        <v>2.0</v>
      </c>
      <c r="G89" s="469">
        <v>6.0</v>
      </c>
      <c r="H89" s="475"/>
      <c r="I89" s="471">
        <f t="shared" si="4"/>
        <v>45.0</v>
      </c>
    </row>
    <row r="90" spans="8:8" s="445" ht="17.25" customFormat="1" customHeight="1">
      <c r="A90" s="479" t="s">
        <v>97</v>
      </c>
      <c r="B90" s="474" t="s">
        <v>65</v>
      </c>
      <c r="C90" s="468">
        <v>1.0</v>
      </c>
      <c r="D90" s="468">
        <v>9.0</v>
      </c>
      <c r="E90" s="469">
        <v>2.0</v>
      </c>
      <c r="F90" s="469">
        <v>2.0</v>
      </c>
      <c r="G90" s="469">
        <v>6.0</v>
      </c>
      <c r="H90" s="470"/>
      <c r="I90" s="471">
        <f>SUM(C90:H90)</f>
        <v>20.0</v>
      </c>
    </row>
    <row r="91" spans="8:8" s="445" ht="17.25" customFormat="1" customHeight="1">
      <c r="A91" s="479" t="s">
        <v>98</v>
      </c>
      <c r="B91" s="474" t="s">
        <v>65</v>
      </c>
      <c r="C91" s="456">
        <v>1.0</v>
      </c>
      <c r="D91" s="456">
        <v>24.0</v>
      </c>
      <c r="E91" s="469">
        <v>2.0</v>
      </c>
      <c r="F91" s="457">
        <v>2.0</v>
      </c>
      <c r="G91" s="469">
        <v>6.0</v>
      </c>
      <c r="H91" s="475"/>
      <c r="I91" s="471">
        <f t="shared" si="6" ref="I91:I92">SUM(C91:H91)</f>
        <v>35.0</v>
      </c>
    </row>
    <row r="92" spans="8:8" s="472" ht="17.25" customFormat="1" customHeight="1">
      <c r="A92" s="479" t="s">
        <v>99</v>
      </c>
      <c r="B92" s="474" t="s">
        <v>65</v>
      </c>
      <c r="C92" s="456">
        <v>1.0</v>
      </c>
      <c r="D92" s="456">
        <v>34.0</v>
      </c>
      <c r="E92" s="469">
        <v>2.0</v>
      </c>
      <c r="F92" s="457">
        <v>2.0</v>
      </c>
      <c r="G92" s="469">
        <v>6.0</v>
      </c>
      <c r="H92" s="475"/>
      <c r="I92" s="471">
        <f t="shared" si="6"/>
        <v>45.0</v>
      </c>
    </row>
    <row r="93" spans="8:8" s="445" ht="17.25" customFormat="1" customHeight="1">
      <c r="A93" s="479" t="s">
        <v>100</v>
      </c>
      <c r="B93" s="474" t="s">
        <v>65</v>
      </c>
      <c r="C93" s="456">
        <v>1.0</v>
      </c>
      <c r="D93" s="456">
        <v>44.0</v>
      </c>
      <c r="E93" s="469">
        <v>2.0</v>
      </c>
      <c r="F93" s="457">
        <v>2.0</v>
      </c>
      <c r="G93" s="469">
        <v>6.0</v>
      </c>
      <c r="H93" s="475"/>
      <c r="I93" s="471">
        <f t="shared" si="4"/>
        <v>55.0</v>
      </c>
    </row>
    <row r="94" spans="8:8" s="445" ht="17.25" customFormat="1" customHeight="1">
      <c r="A94" s="479" t="s">
        <v>101</v>
      </c>
      <c r="B94" s="474" t="s">
        <v>65</v>
      </c>
      <c r="C94" s="456">
        <v>1.0</v>
      </c>
      <c r="D94" s="456">
        <v>49.0</v>
      </c>
      <c r="E94" s="469">
        <v>2.0</v>
      </c>
      <c r="F94" s="457">
        <v>2.0</v>
      </c>
      <c r="G94" s="469">
        <v>6.0</v>
      </c>
      <c r="H94" s="475"/>
      <c r="I94" s="471">
        <f t="shared" si="4"/>
        <v>60.0</v>
      </c>
    </row>
    <row r="95" spans="8:8" s="445" ht="17.25" customFormat="1" customHeight="1">
      <c r="A95" s="479" t="s">
        <v>102</v>
      </c>
      <c r="B95" s="474" t="s">
        <v>65</v>
      </c>
      <c r="C95" s="456">
        <v>1.0</v>
      </c>
      <c r="D95" s="456">
        <v>24.0</v>
      </c>
      <c r="E95" s="469">
        <v>2.0</v>
      </c>
      <c r="F95" s="457">
        <v>2.0</v>
      </c>
      <c r="G95" s="469">
        <v>6.0</v>
      </c>
      <c r="H95" s="475"/>
      <c r="I95" s="471">
        <f t="shared" si="4"/>
        <v>35.0</v>
      </c>
    </row>
    <row r="96" spans="8:8" s="445" ht="17.25" customFormat="1" customHeight="1">
      <c r="A96" s="479" t="s">
        <v>103</v>
      </c>
      <c r="B96" s="474" t="s">
        <v>65</v>
      </c>
      <c r="C96" s="468">
        <v>1.0</v>
      </c>
      <c r="D96" s="468">
        <v>19.0</v>
      </c>
      <c r="E96" s="469">
        <v>2.0</v>
      </c>
      <c r="F96" s="469">
        <v>2.0</v>
      </c>
      <c r="G96" s="469">
        <v>6.0</v>
      </c>
      <c r="H96" s="470"/>
      <c r="I96" s="471">
        <f>SUM(C96:H96)</f>
        <v>30.0</v>
      </c>
    </row>
    <row r="97" spans="8:8" s="445" ht="17.25" customFormat="1" customHeight="1">
      <c r="A97" s="479" t="s">
        <v>104</v>
      </c>
      <c r="B97" s="474" t="s">
        <v>65</v>
      </c>
      <c r="C97" s="456">
        <v>1.0</v>
      </c>
      <c r="D97" s="456">
        <v>24.0</v>
      </c>
      <c r="E97" s="469">
        <v>2.0</v>
      </c>
      <c r="F97" s="457">
        <v>2.0</v>
      </c>
      <c r="G97" s="469">
        <v>6.0</v>
      </c>
      <c r="H97" s="475"/>
      <c r="I97" s="471">
        <f t="shared" si="7" ref="I97:I98">SUM(C97:H97)</f>
        <v>35.0</v>
      </c>
    </row>
    <row r="98" spans="8:8" s="472" ht="17.25" customFormat="1" customHeight="1">
      <c r="A98" s="454" t="s">
        <v>105</v>
      </c>
      <c r="B98" s="455" t="s">
        <v>65</v>
      </c>
      <c r="C98" s="456">
        <v>1.0</v>
      </c>
      <c r="D98" s="456">
        <v>29.0</v>
      </c>
      <c r="E98" s="469">
        <v>2.0</v>
      </c>
      <c r="F98" s="457">
        <v>2.0</v>
      </c>
      <c r="G98" s="469">
        <v>6.0</v>
      </c>
      <c r="H98" s="475"/>
      <c r="I98" s="471">
        <f t="shared" si="7"/>
        <v>40.0</v>
      </c>
    </row>
    <row r="99" spans="8:8" s="445" ht="17.25" customFormat="1" customHeight="1">
      <c r="A99" s="454" t="s">
        <v>108</v>
      </c>
      <c r="B99" s="455" t="s">
        <v>65</v>
      </c>
      <c r="C99" s="456">
        <v>1.0</v>
      </c>
      <c r="D99" s="456">
        <v>24.0</v>
      </c>
      <c r="E99" s="469">
        <v>2.0</v>
      </c>
      <c r="F99" s="457">
        <v>2.0</v>
      </c>
      <c r="G99" s="469">
        <v>6.0</v>
      </c>
      <c r="H99" s="475"/>
      <c r="I99" s="471">
        <f t="shared" si="4"/>
        <v>35.0</v>
      </c>
    </row>
    <row r="100" spans="8:8" s="445" ht="17.25" customFormat="1" customHeight="1">
      <c r="A100" s="454" t="s">
        <v>109</v>
      </c>
      <c r="B100" s="455" t="s">
        <v>65</v>
      </c>
      <c r="C100" s="456">
        <v>1.0</v>
      </c>
      <c r="D100" s="456">
        <v>29.0</v>
      </c>
      <c r="E100" s="469">
        <v>2.0</v>
      </c>
      <c r="F100" s="457">
        <v>2.0</v>
      </c>
      <c r="G100" s="469">
        <v>6.0</v>
      </c>
      <c r="H100" s="475"/>
      <c r="I100" s="471">
        <f t="shared" si="4"/>
        <v>40.0</v>
      </c>
    </row>
    <row r="101" spans="8:8" s="445" ht="17.25" customFormat="1" customHeight="1">
      <c r="A101" s="454" t="s">
        <v>110</v>
      </c>
      <c r="B101" s="455" t="s">
        <v>65</v>
      </c>
      <c r="C101" s="456">
        <v>1.0</v>
      </c>
      <c r="D101" s="456">
        <v>9.0</v>
      </c>
      <c r="E101" s="469">
        <v>2.0</v>
      </c>
      <c r="F101" s="457">
        <v>2.0</v>
      </c>
      <c r="G101" s="469">
        <v>6.0</v>
      </c>
      <c r="H101" s="475"/>
      <c r="I101" s="471">
        <f t="shared" si="4"/>
        <v>20.0</v>
      </c>
    </row>
    <row r="102" spans="8:8" s="445" ht="17.25" customFormat="1" customHeight="1">
      <c r="A102" s="454" t="s">
        <v>111</v>
      </c>
      <c r="B102" s="455" t="s">
        <v>65</v>
      </c>
      <c r="C102" s="468">
        <v>1.0</v>
      </c>
      <c r="D102" s="468">
        <v>9.0</v>
      </c>
      <c r="E102" s="469">
        <v>2.0</v>
      </c>
      <c r="F102" s="469">
        <v>2.0</v>
      </c>
      <c r="G102" s="469">
        <v>6.0</v>
      </c>
      <c r="H102" s="470"/>
      <c r="I102" s="471">
        <f>SUM(C102:H102)</f>
        <v>20.0</v>
      </c>
    </row>
    <row r="103" spans="8:8" s="445" ht="17.25" customFormat="1" customHeight="1">
      <c r="A103" s="454" t="s">
        <v>112</v>
      </c>
      <c r="B103" s="455" t="s">
        <v>65</v>
      </c>
      <c r="C103" s="456">
        <v>1.0</v>
      </c>
      <c r="D103" s="456">
        <v>24.0</v>
      </c>
      <c r="E103" s="469">
        <v>2.0</v>
      </c>
      <c r="F103" s="457">
        <v>2.0</v>
      </c>
      <c r="G103" s="469">
        <v>6.0</v>
      </c>
      <c r="H103" s="475"/>
      <c r="I103" s="471">
        <f t="shared" si="8" ref="I103:I104">SUM(C103:H103)</f>
        <v>35.0</v>
      </c>
    </row>
    <row r="104" spans="8:8" s="445" ht="17.25" customFormat="1" customHeight="1">
      <c r="A104" s="454" t="s">
        <v>113</v>
      </c>
      <c r="B104" s="455" t="s">
        <v>65</v>
      </c>
      <c r="C104" s="456">
        <v>1.0</v>
      </c>
      <c r="D104" s="456">
        <v>29.0</v>
      </c>
      <c r="E104" s="469">
        <v>2.0</v>
      </c>
      <c r="F104" s="457">
        <v>2.0</v>
      </c>
      <c r="G104" s="469">
        <v>6.0</v>
      </c>
      <c r="H104" s="475"/>
      <c r="I104" s="471">
        <f t="shared" si="8"/>
        <v>40.0</v>
      </c>
    </row>
    <row r="105" spans="8:8" s="445" ht="17.25" customFormat="1" customHeight="1">
      <c r="A105" s="454" t="s">
        <v>114</v>
      </c>
      <c r="B105" s="455" t="s">
        <v>65</v>
      </c>
      <c r="C105" s="468">
        <v>1.0</v>
      </c>
      <c r="D105" s="468">
        <v>9.0</v>
      </c>
      <c r="E105" s="469">
        <v>2.0</v>
      </c>
      <c r="F105" s="469">
        <v>2.0</v>
      </c>
      <c r="G105" s="469">
        <v>6.0</v>
      </c>
      <c r="H105" s="470"/>
      <c r="I105" s="471">
        <f>SUM(C105:H105)</f>
        <v>20.0</v>
      </c>
    </row>
    <row r="106" spans="8:8" s="445" ht="17.25" customFormat="1" customHeight="1">
      <c r="A106" s="454" t="s">
        <v>115</v>
      </c>
      <c r="B106" s="455" t="s">
        <v>65</v>
      </c>
      <c r="C106" s="456">
        <v>1.0</v>
      </c>
      <c r="D106" s="456">
        <v>24.0</v>
      </c>
      <c r="E106" s="469">
        <v>2.0</v>
      </c>
      <c r="F106" s="457">
        <v>2.0</v>
      </c>
      <c r="G106" s="469">
        <v>6.0</v>
      </c>
      <c r="H106" s="475"/>
      <c r="I106" s="471">
        <f t="shared" si="9" ref="I106:I107">SUM(C106:H106)</f>
        <v>35.0</v>
      </c>
    </row>
    <row r="107" spans="8:8" s="445" ht="17.25" customFormat="1" customHeight="1">
      <c r="A107" s="454" t="s">
        <v>116</v>
      </c>
      <c r="B107" s="455" t="s">
        <v>65</v>
      </c>
      <c r="C107" s="456">
        <v>1.0</v>
      </c>
      <c r="D107" s="456">
        <v>29.0</v>
      </c>
      <c r="E107" s="469">
        <v>2.0</v>
      </c>
      <c r="F107" s="457">
        <v>2.0</v>
      </c>
      <c r="G107" s="469">
        <v>6.0</v>
      </c>
      <c r="H107" s="475"/>
      <c r="I107" s="471">
        <f t="shared" si="9"/>
        <v>40.0</v>
      </c>
    </row>
    <row r="108" spans="8:8" s="445" ht="17.25" customFormat="1" customHeight="1">
      <c r="A108" s="454" t="s">
        <v>117</v>
      </c>
      <c r="B108" s="455" t="s">
        <v>65</v>
      </c>
      <c r="C108" s="456">
        <v>1.0</v>
      </c>
      <c r="D108" s="456">
        <v>24.0</v>
      </c>
      <c r="E108" s="469">
        <v>2.0</v>
      </c>
      <c r="F108" s="457">
        <v>2.0</v>
      </c>
      <c r="G108" s="469">
        <v>6.0</v>
      </c>
      <c r="H108" s="475"/>
      <c r="I108" s="471">
        <f t="shared" si="4"/>
        <v>35.0</v>
      </c>
    </row>
    <row r="109" spans="8:8" s="445" ht="17.25" customFormat="1" customHeight="1">
      <c r="A109" s="454" t="s">
        <v>118</v>
      </c>
      <c r="B109" s="455" t="s">
        <v>65</v>
      </c>
      <c r="C109" s="468">
        <v>1.0</v>
      </c>
      <c r="D109" s="468">
        <v>9.0</v>
      </c>
      <c r="E109" s="469">
        <v>2.0</v>
      </c>
      <c r="F109" s="469">
        <v>2.0</v>
      </c>
      <c r="G109" s="469">
        <v>6.0</v>
      </c>
      <c r="H109" s="470"/>
      <c r="I109" s="471">
        <f>SUM(C109:H109)</f>
        <v>20.0</v>
      </c>
    </row>
    <row r="110" spans="8:8" s="445" ht="17.25" customFormat="1" customHeight="1">
      <c r="A110" s="454" t="s">
        <v>119</v>
      </c>
      <c r="B110" s="455" t="s">
        <v>65</v>
      </c>
      <c r="C110" s="456">
        <v>1.0</v>
      </c>
      <c r="D110" s="456">
        <v>24.0</v>
      </c>
      <c r="E110" s="469">
        <v>2.0</v>
      </c>
      <c r="F110" s="457">
        <v>2.0</v>
      </c>
      <c r="G110" s="469">
        <v>6.0</v>
      </c>
      <c r="H110" s="475"/>
      <c r="I110" s="471">
        <f t="shared" si="10" ref="I110">SUM(C110:H110)</f>
        <v>35.0</v>
      </c>
    </row>
    <row r="111" spans="8:8" s="445" ht="17.25" customFormat="1" customHeight="1">
      <c r="A111" s="454" t="s">
        <v>120</v>
      </c>
      <c r="B111" s="455" t="s">
        <v>65</v>
      </c>
      <c r="C111" s="456">
        <v>1.0</v>
      </c>
      <c r="D111" s="456">
        <v>29.0</v>
      </c>
      <c r="E111" s="469">
        <v>2.0</v>
      </c>
      <c r="F111" s="457">
        <v>2.0</v>
      </c>
      <c r="G111" s="469">
        <v>6.0</v>
      </c>
      <c r="H111" s="475"/>
      <c r="I111" s="471">
        <f t="shared" si="4"/>
        <v>40.0</v>
      </c>
    </row>
    <row r="112" spans="8:8" s="445" ht="17.25" customFormat="1" customHeight="1">
      <c r="A112" s="454" t="s">
        <v>121</v>
      </c>
      <c r="B112" s="455" t="s">
        <v>65</v>
      </c>
      <c r="C112" s="456">
        <v>1.0</v>
      </c>
      <c r="D112" s="456">
        <v>49.0</v>
      </c>
      <c r="E112" s="469">
        <v>2.0</v>
      </c>
      <c r="F112" s="457">
        <v>2.0</v>
      </c>
      <c r="G112" s="469">
        <v>6.0</v>
      </c>
      <c r="H112" s="475"/>
      <c r="I112" s="471">
        <f t="shared" si="4"/>
        <v>60.0</v>
      </c>
    </row>
    <row r="113" spans="8:8" s="445" ht="17.25" customFormat="1" customHeight="1">
      <c r="A113" s="454" t="s">
        <v>122</v>
      </c>
      <c r="B113" s="455" t="s">
        <v>65</v>
      </c>
      <c r="C113" s="468">
        <v>1.0</v>
      </c>
      <c r="D113" s="468">
        <v>19.0</v>
      </c>
      <c r="E113" s="469">
        <v>2.0</v>
      </c>
      <c r="F113" s="469">
        <v>2.0</v>
      </c>
      <c r="G113" s="469">
        <v>6.0</v>
      </c>
      <c r="H113" s="470"/>
      <c r="I113" s="471">
        <f>SUM(C113:H113)</f>
        <v>30.0</v>
      </c>
    </row>
    <row r="114" spans="8:8" s="445" ht="17.25" customFormat="1" customHeight="1">
      <c r="A114" s="454" t="s">
        <v>123</v>
      </c>
      <c r="B114" s="455" t="s">
        <v>65</v>
      </c>
      <c r="C114" s="456">
        <v>1.0</v>
      </c>
      <c r="D114" s="456">
        <v>24.0</v>
      </c>
      <c r="E114" s="469">
        <v>2.0</v>
      </c>
      <c r="F114" s="457">
        <v>2.0</v>
      </c>
      <c r="G114" s="469">
        <v>6.0</v>
      </c>
      <c r="H114" s="475"/>
      <c r="I114" s="471">
        <f t="shared" si="11" ref="I114:I115">SUM(C114:H114)</f>
        <v>35.0</v>
      </c>
    </row>
    <row r="115" spans="8:8" s="445" ht="17.25" customFormat="1" customHeight="1">
      <c r="A115" s="454" t="s">
        <v>124</v>
      </c>
      <c r="B115" s="455" t="s">
        <v>65</v>
      </c>
      <c r="C115" s="456">
        <v>1.0</v>
      </c>
      <c r="D115" s="456">
        <v>29.0</v>
      </c>
      <c r="E115" s="469">
        <v>2.0</v>
      </c>
      <c r="F115" s="457">
        <v>2.0</v>
      </c>
      <c r="G115" s="469">
        <v>6.0</v>
      </c>
      <c r="H115" s="475"/>
      <c r="I115" s="471">
        <f t="shared" si="11"/>
        <v>40.0</v>
      </c>
    </row>
    <row r="116" spans="8:8" s="445" ht="17.25" customFormat="1" customHeight="1">
      <c r="A116" s="454" t="s">
        <v>125</v>
      </c>
      <c r="B116" s="455" t="s">
        <v>65</v>
      </c>
      <c r="C116" s="456">
        <v>1.0</v>
      </c>
      <c r="D116" s="456">
        <v>34.0</v>
      </c>
      <c r="E116" s="469">
        <v>2.0</v>
      </c>
      <c r="F116" s="457">
        <v>2.0</v>
      </c>
      <c r="G116" s="469">
        <v>6.0</v>
      </c>
      <c r="H116" s="475"/>
      <c r="I116" s="471">
        <f t="shared" si="4"/>
        <v>45.0</v>
      </c>
    </row>
    <row r="117" spans="8:8" s="445" ht="17.25" customFormat="1" customHeight="1">
      <c r="A117" s="454" t="s">
        <v>126</v>
      </c>
      <c r="B117" s="455" t="s">
        <v>65</v>
      </c>
      <c r="C117" s="456">
        <v>1.0</v>
      </c>
      <c r="D117" s="456">
        <v>39.0</v>
      </c>
      <c r="E117" s="469">
        <v>2.0</v>
      </c>
      <c r="F117" s="457">
        <v>2.0</v>
      </c>
      <c r="G117" s="469">
        <v>6.0</v>
      </c>
      <c r="H117" s="475"/>
      <c r="I117" s="471">
        <f t="shared" si="4"/>
        <v>50.0</v>
      </c>
    </row>
    <row r="118" spans="8:8" s="445" ht="17.25" customFormat="1" customHeight="1">
      <c r="A118" s="454" t="s">
        <v>127</v>
      </c>
      <c r="B118" s="455" t="s">
        <v>65</v>
      </c>
      <c r="C118" s="456">
        <v>1.0</v>
      </c>
      <c r="D118" s="456">
        <v>39.0</v>
      </c>
      <c r="E118" s="469">
        <v>2.0</v>
      </c>
      <c r="F118" s="457">
        <v>2.0</v>
      </c>
      <c r="G118" s="469">
        <v>6.0</v>
      </c>
      <c r="H118" s="475"/>
      <c r="I118" s="471">
        <f t="shared" si="4"/>
        <v>50.0</v>
      </c>
    </row>
    <row r="119" spans="8:8" s="445" ht="17.25" customFormat="1" customHeight="1">
      <c r="A119" s="454" t="s">
        <v>128</v>
      </c>
      <c r="B119" s="455" t="s">
        <v>65</v>
      </c>
      <c r="C119" s="456">
        <v>1.0</v>
      </c>
      <c r="D119" s="456">
        <v>49.0</v>
      </c>
      <c r="E119" s="469">
        <v>2.0</v>
      </c>
      <c r="F119" s="457">
        <v>2.0</v>
      </c>
      <c r="G119" s="469">
        <v>6.0</v>
      </c>
      <c r="H119" s="475"/>
      <c r="I119" s="471">
        <f t="shared" si="4"/>
        <v>60.0</v>
      </c>
    </row>
    <row r="120" spans="8:8" s="445" ht="17.25" customFormat="1" customHeight="1">
      <c r="A120" s="454" t="s">
        <v>129</v>
      </c>
      <c r="B120" s="455" t="s">
        <v>65</v>
      </c>
      <c r="C120" s="456">
        <v>1.0</v>
      </c>
      <c r="D120" s="456">
        <v>59.0</v>
      </c>
      <c r="E120" s="469">
        <v>2.0</v>
      </c>
      <c r="F120" s="457">
        <v>2.0</v>
      </c>
      <c r="G120" s="469">
        <v>6.0</v>
      </c>
      <c r="H120" s="475"/>
      <c r="I120" s="471">
        <f t="shared" si="4"/>
        <v>70.0</v>
      </c>
    </row>
    <row r="121" spans="8:8" s="445" ht="17.25" customFormat="1" customHeight="1">
      <c r="A121" s="454" t="s">
        <v>130</v>
      </c>
      <c r="B121" s="455" t="s">
        <v>65</v>
      </c>
      <c r="C121" s="456">
        <v>1.0</v>
      </c>
      <c r="D121" s="456">
        <v>69.0</v>
      </c>
      <c r="E121" s="469">
        <v>2.0</v>
      </c>
      <c r="F121" s="457">
        <v>2.0</v>
      </c>
      <c r="G121" s="469">
        <v>6.0</v>
      </c>
      <c r="H121" s="475"/>
      <c r="I121" s="471">
        <f t="shared" si="4"/>
        <v>80.0</v>
      </c>
    </row>
    <row r="122" spans="8:8" s="445" ht="17.25" customFormat="1" customHeight="1">
      <c r="A122" s="454" t="s">
        <v>131</v>
      </c>
      <c r="B122" s="455" t="s">
        <v>65</v>
      </c>
      <c r="C122" s="456">
        <v>1.0</v>
      </c>
      <c r="D122" s="456">
        <v>79.0</v>
      </c>
      <c r="E122" s="469">
        <v>2.0</v>
      </c>
      <c r="F122" s="457">
        <v>2.0</v>
      </c>
      <c r="G122" s="469">
        <v>6.0</v>
      </c>
      <c r="H122" s="475"/>
      <c r="I122" s="471">
        <f t="shared" si="4"/>
        <v>90.0</v>
      </c>
    </row>
    <row r="123" spans="8:8" s="445" ht="17.25" customFormat="1" customHeight="1">
      <c r="A123" s="454" t="s">
        <v>132</v>
      </c>
      <c r="B123" s="455" t="s">
        <v>65</v>
      </c>
      <c r="C123" s="468">
        <v>1.0</v>
      </c>
      <c r="D123" s="468">
        <v>9.0</v>
      </c>
      <c r="E123" s="469">
        <v>2.0</v>
      </c>
      <c r="F123" s="469">
        <v>2.0</v>
      </c>
      <c r="G123" s="469">
        <v>6.0</v>
      </c>
      <c r="H123" s="470"/>
      <c r="I123" s="471">
        <f>SUM(C123:H123)</f>
        <v>20.0</v>
      </c>
    </row>
    <row r="124" spans="8:8" s="445" ht="17.25" customFormat="1" customHeight="1">
      <c r="A124" s="454" t="s">
        <v>133</v>
      </c>
      <c r="B124" s="455" t="s">
        <v>65</v>
      </c>
      <c r="C124" s="456">
        <v>1.0</v>
      </c>
      <c r="D124" s="456">
        <v>24.0</v>
      </c>
      <c r="E124" s="469">
        <v>2.0</v>
      </c>
      <c r="F124" s="457">
        <v>2.0</v>
      </c>
      <c r="G124" s="469">
        <v>6.0</v>
      </c>
      <c r="H124" s="475"/>
      <c r="I124" s="471">
        <f t="shared" si="12" ref="I124:I178">SUM(C124:H124)</f>
        <v>35.0</v>
      </c>
    </row>
    <row r="125" spans="8:8" s="445" ht="17.25" customFormat="1" customHeight="1">
      <c r="A125" s="454" t="s">
        <v>134</v>
      </c>
      <c r="B125" s="455" t="s">
        <v>65</v>
      </c>
      <c r="C125" s="456">
        <v>1.0</v>
      </c>
      <c r="D125" s="456">
        <v>34.0</v>
      </c>
      <c r="E125" s="469">
        <v>2.0</v>
      </c>
      <c r="F125" s="457">
        <v>2.0</v>
      </c>
      <c r="G125" s="469">
        <v>6.0</v>
      </c>
      <c r="H125" s="475"/>
      <c r="I125" s="471">
        <f t="shared" si="12"/>
        <v>45.0</v>
      </c>
    </row>
    <row r="126" spans="8:8" s="445" ht="17.25" customFormat="1" customHeight="1">
      <c r="A126" s="480" t="s">
        <v>447</v>
      </c>
      <c r="B126" s="455" t="s">
        <v>65</v>
      </c>
      <c r="C126" s="468">
        <v>1.0</v>
      </c>
      <c r="D126" s="468">
        <v>19.0</v>
      </c>
      <c r="E126" s="469">
        <v>2.0</v>
      </c>
      <c r="F126" s="469">
        <v>2.0</v>
      </c>
      <c r="G126" s="469">
        <v>6.0</v>
      </c>
      <c r="H126" s="470"/>
      <c r="I126" s="471">
        <f>SUM(C126:H126)</f>
        <v>30.0</v>
      </c>
    </row>
    <row r="127" spans="8:8" s="445" ht="17.25" customFormat="1" customHeight="1">
      <c r="A127" s="480" t="s">
        <v>446</v>
      </c>
      <c r="B127" s="455" t="s">
        <v>65</v>
      </c>
      <c r="C127" s="456">
        <v>1.0</v>
      </c>
      <c r="D127" s="456">
        <v>24.0</v>
      </c>
      <c r="E127" s="469">
        <v>2.0</v>
      </c>
      <c r="F127" s="457">
        <v>2.0</v>
      </c>
      <c r="G127" s="469">
        <v>6.0</v>
      </c>
      <c r="H127" s="475"/>
      <c r="I127" s="471">
        <f t="shared" si="13" ref="I127">SUM(C127:H127)</f>
        <v>35.0</v>
      </c>
    </row>
    <row r="128" spans="8:8" s="445" ht="17.25" customFormat="1" customHeight="1">
      <c r="A128" s="480" t="s">
        <v>445</v>
      </c>
      <c r="B128" s="455" t="s">
        <v>65</v>
      </c>
      <c r="C128" s="456">
        <v>1.0</v>
      </c>
      <c r="D128" s="456">
        <v>39.0</v>
      </c>
      <c r="E128" s="469">
        <v>2.0</v>
      </c>
      <c r="F128" s="457">
        <v>2.0</v>
      </c>
      <c r="G128" s="469">
        <v>6.0</v>
      </c>
      <c r="H128" s="475"/>
      <c r="I128" s="471">
        <f t="shared" si="12"/>
        <v>50.0</v>
      </c>
    </row>
    <row r="129" spans="8:8" s="445" ht="17.25" customFormat="1" customHeight="1">
      <c r="A129" s="480" t="s">
        <v>444</v>
      </c>
      <c r="B129" s="455" t="s">
        <v>65</v>
      </c>
      <c r="C129" s="456">
        <v>1.0</v>
      </c>
      <c r="D129" s="456">
        <v>49.0</v>
      </c>
      <c r="E129" s="469">
        <v>2.0</v>
      </c>
      <c r="F129" s="457">
        <v>2.0</v>
      </c>
      <c r="G129" s="469">
        <v>6.0</v>
      </c>
      <c r="H129" s="475"/>
      <c r="I129" s="471">
        <f t="shared" si="12"/>
        <v>60.0</v>
      </c>
    </row>
    <row r="130" spans="8:8" s="445" ht="17.25" customFormat="1" customHeight="1">
      <c r="A130" s="454" t="s">
        <v>139</v>
      </c>
      <c r="B130" s="455" t="s">
        <v>65</v>
      </c>
      <c r="C130" s="468">
        <v>1.0</v>
      </c>
      <c r="D130" s="468">
        <v>19.0</v>
      </c>
      <c r="E130" s="469">
        <v>2.0</v>
      </c>
      <c r="F130" s="469">
        <v>2.0</v>
      </c>
      <c r="G130" s="469">
        <v>6.0</v>
      </c>
      <c r="H130" s="470"/>
      <c r="I130" s="471">
        <f>SUM(C130:H130)</f>
        <v>30.0</v>
      </c>
    </row>
    <row r="131" spans="8:8" s="445" ht="17.25" customFormat="1" customHeight="1">
      <c r="A131" s="454" t="s">
        <v>140</v>
      </c>
      <c r="B131" s="455" t="s">
        <v>65</v>
      </c>
      <c r="C131" s="456">
        <v>1.0</v>
      </c>
      <c r="D131" s="456">
        <v>24.0</v>
      </c>
      <c r="E131" s="469">
        <v>2.0</v>
      </c>
      <c r="F131" s="457">
        <v>2.0</v>
      </c>
      <c r="G131" s="469">
        <v>6.0</v>
      </c>
      <c r="H131" s="475"/>
      <c r="I131" s="471">
        <f t="shared" si="14" ref="I131:I132">SUM(C131:H131)</f>
        <v>35.0</v>
      </c>
    </row>
    <row r="132" spans="8:8" s="445" ht="17.25" customFormat="1" customHeight="1">
      <c r="A132" s="454" t="s">
        <v>141</v>
      </c>
      <c r="B132" s="455" t="s">
        <v>65</v>
      </c>
      <c r="C132" s="456">
        <v>1.0</v>
      </c>
      <c r="D132" s="456">
        <v>29.0</v>
      </c>
      <c r="E132" s="469">
        <v>2.0</v>
      </c>
      <c r="F132" s="457">
        <v>2.0</v>
      </c>
      <c r="G132" s="469">
        <v>6.0</v>
      </c>
      <c r="H132" s="475"/>
      <c r="I132" s="471">
        <f t="shared" si="14"/>
        <v>40.0</v>
      </c>
    </row>
    <row r="133" spans="8:8" s="445" ht="17.25" customFormat="1" customHeight="1">
      <c r="A133" s="454" t="s">
        <v>142</v>
      </c>
      <c r="B133" s="455" t="s">
        <v>65</v>
      </c>
      <c r="C133" s="456">
        <v>1.0</v>
      </c>
      <c r="D133" s="456">
        <v>39.0</v>
      </c>
      <c r="E133" s="469">
        <v>2.0</v>
      </c>
      <c r="F133" s="457">
        <v>2.0</v>
      </c>
      <c r="G133" s="469">
        <v>6.0</v>
      </c>
      <c r="H133" s="475"/>
      <c r="I133" s="471">
        <f t="shared" si="12"/>
        <v>50.0</v>
      </c>
    </row>
    <row r="134" spans="8:8" s="445" ht="17.25" customFormat="1" customHeight="1">
      <c r="A134" s="454" t="s">
        <v>143</v>
      </c>
      <c r="B134" s="455" t="s">
        <v>65</v>
      </c>
      <c r="C134" s="456">
        <v>1.0</v>
      </c>
      <c r="D134" s="456">
        <v>49.0</v>
      </c>
      <c r="E134" s="469">
        <v>2.0</v>
      </c>
      <c r="F134" s="457">
        <v>2.0</v>
      </c>
      <c r="G134" s="469">
        <v>6.0</v>
      </c>
      <c r="H134" s="475"/>
      <c r="I134" s="471">
        <f t="shared" si="12"/>
        <v>60.0</v>
      </c>
    </row>
    <row r="135" spans="8:8" s="445" ht="17.25" customFormat="1" customHeight="1">
      <c r="A135" s="454" t="s">
        <v>144</v>
      </c>
      <c r="B135" s="455" t="s">
        <v>65</v>
      </c>
      <c r="C135" s="456">
        <v>1.0</v>
      </c>
      <c r="D135" s="456">
        <v>59.0</v>
      </c>
      <c r="E135" s="469">
        <v>2.0</v>
      </c>
      <c r="F135" s="457">
        <v>2.0</v>
      </c>
      <c r="G135" s="469">
        <v>6.0</v>
      </c>
      <c r="H135" s="475"/>
      <c r="I135" s="471">
        <f t="shared" si="12"/>
        <v>70.0</v>
      </c>
    </row>
    <row r="136" spans="8:8" s="445" ht="17.25" customFormat="1" customHeight="1">
      <c r="A136" s="454" t="s">
        <v>145</v>
      </c>
      <c r="B136" s="455" t="s">
        <v>65</v>
      </c>
      <c r="C136" s="468">
        <v>1.0</v>
      </c>
      <c r="D136" s="468">
        <v>19.0</v>
      </c>
      <c r="E136" s="469">
        <v>2.0</v>
      </c>
      <c r="F136" s="469">
        <v>2.0</v>
      </c>
      <c r="G136" s="469">
        <v>6.0</v>
      </c>
      <c r="H136" s="470"/>
      <c r="I136" s="471">
        <f>SUM(C136:H136)</f>
        <v>30.0</v>
      </c>
    </row>
    <row r="137" spans="8:8" s="445" ht="17.25" customFormat="1" customHeight="1">
      <c r="A137" s="454" t="s">
        <v>146</v>
      </c>
      <c r="B137" s="455" t="s">
        <v>65</v>
      </c>
      <c r="C137" s="456">
        <v>1.0</v>
      </c>
      <c r="D137" s="456">
        <v>24.0</v>
      </c>
      <c r="E137" s="469">
        <v>2.0</v>
      </c>
      <c r="F137" s="457">
        <v>2.0</v>
      </c>
      <c r="G137" s="469">
        <v>6.0</v>
      </c>
      <c r="H137" s="475"/>
      <c r="I137" s="471">
        <f t="shared" si="15" ref="I137:I138">SUM(C137:H137)</f>
        <v>35.0</v>
      </c>
    </row>
    <row r="138" spans="8:8" s="445" ht="17.25" customFormat="1" customHeight="1">
      <c r="A138" s="454" t="s">
        <v>147</v>
      </c>
      <c r="B138" s="455" t="s">
        <v>65</v>
      </c>
      <c r="C138" s="456">
        <v>1.0</v>
      </c>
      <c r="D138" s="456">
        <v>29.0</v>
      </c>
      <c r="E138" s="469">
        <v>2.0</v>
      </c>
      <c r="F138" s="457">
        <v>2.0</v>
      </c>
      <c r="G138" s="469">
        <v>6.0</v>
      </c>
      <c r="H138" s="475"/>
      <c r="I138" s="471">
        <f t="shared" si="15"/>
        <v>40.0</v>
      </c>
    </row>
    <row r="139" spans="8:8" s="445" ht="17.25" customFormat="1" customHeight="1">
      <c r="A139" s="454" t="s">
        <v>148</v>
      </c>
      <c r="B139" s="455" t="s">
        <v>65</v>
      </c>
      <c r="C139" s="456">
        <v>1.0</v>
      </c>
      <c r="D139" s="456">
        <v>24.0</v>
      </c>
      <c r="E139" s="469">
        <v>2.0</v>
      </c>
      <c r="F139" s="457">
        <v>2.0</v>
      </c>
      <c r="G139" s="469">
        <v>6.0</v>
      </c>
      <c r="H139" s="475"/>
      <c r="I139" s="471">
        <f t="shared" si="12"/>
        <v>35.0</v>
      </c>
    </row>
    <row r="140" spans="8:8" s="445" ht="17.25" customFormat="1" customHeight="1">
      <c r="A140" s="454" t="s">
        <v>149</v>
      </c>
      <c r="B140" s="455" t="s">
        <v>65</v>
      </c>
      <c r="C140" s="456">
        <v>1.0</v>
      </c>
      <c r="D140" s="456">
        <v>34.0</v>
      </c>
      <c r="E140" s="469">
        <v>2.0</v>
      </c>
      <c r="F140" s="457">
        <v>2.0</v>
      </c>
      <c r="G140" s="469">
        <v>6.0</v>
      </c>
      <c r="H140" s="475"/>
      <c r="I140" s="471">
        <f t="shared" si="12"/>
        <v>45.0</v>
      </c>
    </row>
    <row r="141" spans="8:8" s="445" ht="17.25" customFormat="1" customHeight="1">
      <c r="A141" s="454" t="s">
        <v>150</v>
      </c>
      <c r="B141" s="455" t="s">
        <v>65</v>
      </c>
      <c r="C141" s="456">
        <v>1.0</v>
      </c>
      <c r="D141" s="456">
        <v>79.0</v>
      </c>
      <c r="E141" s="469">
        <v>2.0</v>
      </c>
      <c r="F141" s="457">
        <v>2.0</v>
      </c>
      <c r="G141" s="469">
        <v>6.0</v>
      </c>
      <c r="H141" s="475"/>
      <c r="I141" s="471">
        <f t="shared" si="12"/>
        <v>90.0</v>
      </c>
    </row>
    <row r="142" spans="8:8" s="445" ht="17.25" customFormat="1" customHeight="1">
      <c r="A142" s="454" t="s">
        <v>151</v>
      </c>
      <c r="B142" s="455" t="s">
        <v>65</v>
      </c>
      <c r="C142" s="456">
        <v>1.0</v>
      </c>
      <c r="D142" s="456">
        <v>49.0</v>
      </c>
      <c r="E142" s="469">
        <v>2.0</v>
      </c>
      <c r="F142" s="457">
        <v>2.0</v>
      </c>
      <c r="G142" s="469">
        <v>6.0</v>
      </c>
      <c r="H142" s="475"/>
      <c r="I142" s="471">
        <f t="shared" si="12"/>
        <v>60.0</v>
      </c>
    </row>
    <row r="143" spans="8:8" s="445" ht="17.25" customFormat="1" customHeight="1">
      <c r="A143" s="454" t="s">
        <v>152</v>
      </c>
      <c r="B143" s="455" t="s">
        <v>65</v>
      </c>
      <c r="C143" s="456">
        <v>1.0</v>
      </c>
      <c r="D143" s="456">
        <v>59.0</v>
      </c>
      <c r="E143" s="469">
        <v>2.0</v>
      </c>
      <c r="F143" s="457">
        <v>2.0</v>
      </c>
      <c r="G143" s="469">
        <v>6.0</v>
      </c>
      <c r="H143" s="475"/>
      <c r="I143" s="471">
        <f t="shared" si="12"/>
        <v>70.0</v>
      </c>
    </row>
    <row r="144" spans="8:8" s="445" ht="17.25" customFormat="1" customHeight="1">
      <c r="A144" s="454" t="s">
        <v>153</v>
      </c>
      <c r="B144" s="455" t="s">
        <v>65</v>
      </c>
      <c r="C144" s="456">
        <v>1.0</v>
      </c>
      <c r="D144" s="456">
        <v>89.0</v>
      </c>
      <c r="E144" s="469">
        <v>2.0</v>
      </c>
      <c r="F144" s="457">
        <v>2.0</v>
      </c>
      <c r="G144" s="469">
        <v>6.0</v>
      </c>
      <c r="H144" s="475"/>
      <c r="I144" s="471">
        <f t="shared" si="12"/>
        <v>100.0</v>
      </c>
    </row>
    <row r="145" spans="8:8" s="445" ht="17.25" customFormat="1" customHeight="1">
      <c r="A145" s="454" t="s">
        <v>154</v>
      </c>
      <c r="B145" s="455" t="s">
        <v>65</v>
      </c>
      <c r="C145" s="456">
        <v>1.0</v>
      </c>
      <c r="D145" s="456">
        <v>19.0</v>
      </c>
      <c r="E145" s="469">
        <v>2.0</v>
      </c>
      <c r="F145" s="457">
        <v>2.0</v>
      </c>
      <c r="G145" s="469">
        <v>6.0</v>
      </c>
      <c r="H145" s="475"/>
      <c r="I145" s="471">
        <f t="shared" si="12"/>
        <v>30.0</v>
      </c>
    </row>
    <row r="146" spans="8:8" s="445" ht="17.25" customFormat="1" customHeight="1">
      <c r="A146" s="454" t="s">
        <v>155</v>
      </c>
      <c r="B146" s="455" t="s">
        <v>65</v>
      </c>
      <c r="C146" s="468">
        <v>1.0</v>
      </c>
      <c r="D146" s="468">
        <v>19.0</v>
      </c>
      <c r="E146" s="469">
        <v>2.0</v>
      </c>
      <c r="F146" s="469">
        <v>2.0</v>
      </c>
      <c r="G146" s="469">
        <v>6.0</v>
      </c>
      <c r="H146" s="470"/>
      <c r="I146" s="471">
        <f>SUM(C146:H146)</f>
        <v>30.0</v>
      </c>
    </row>
    <row r="147" spans="8:8" s="445" ht="17.25" customFormat="1" customHeight="1">
      <c r="A147" s="454" t="s">
        <v>156</v>
      </c>
      <c r="B147" s="455" t="s">
        <v>65</v>
      </c>
      <c r="C147" s="456">
        <v>1.0</v>
      </c>
      <c r="D147" s="456">
        <v>24.0</v>
      </c>
      <c r="E147" s="469">
        <v>2.0</v>
      </c>
      <c r="F147" s="457">
        <v>2.0</v>
      </c>
      <c r="G147" s="469">
        <v>6.0</v>
      </c>
      <c r="H147" s="475"/>
      <c r="I147" s="471">
        <f t="shared" si="16" ref="I147">SUM(C147:H147)</f>
        <v>35.0</v>
      </c>
    </row>
    <row r="148" spans="8:8" s="445" ht="17.25" customFormat="1" customHeight="1">
      <c r="A148" s="454" t="s">
        <v>157</v>
      </c>
      <c r="B148" s="455" t="s">
        <v>65</v>
      </c>
      <c r="C148" s="468">
        <v>1.0</v>
      </c>
      <c r="D148" s="468">
        <v>19.0</v>
      </c>
      <c r="E148" s="469">
        <v>2.0</v>
      </c>
      <c r="F148" s="469">
        <v>2.0</v>
      </c>
      <c r="G148" s="469">
        <v>6.0</v>
      </c>
      <c r="H148" s="470"/>
      <c r="I148" s="471">
        <f>SUM(C148:H148)</f>
        <v>30.0</v>
      </c>
    </row>
    <row r="149" spans="8:8" s="445" ht="17.25" customFormat="1" customHeight="1">
      <c r="A149" s="454" t="s">
        <v>158</v>
      </c>
      <c r="B149" s="455" t="s">
        <v>65</v>
      </c>
      <c r="C149" s="456">
        <v>1.0</v>
      </c>
      <c r="D149" s="456">
        <v>24.0</v>
      </c>
      <c r="E149" s="469">
        <v>2.0</v>
      </c>
      <c r="F149" s="457">
        <v>2.0</v>
      </c>
      <c r="G149" s="469">
        <v>6.0</v>
      </c>
      <c r="H149" s="475"/>
      <c r="I149" s="471">
        <f t="shared" si="17" ref="I149">SUM(C149:H149)</f>
        <v>35.0</v>
      </c>
    </row>
    <row r="150" spans="8:8" s="445" ht="17.25" customFormat="1" customHeight="1">
      <c r="A150" s="454" t="s">
        <v>159</v>
      </c>
      <c r="B150" s="455" t="s">
        <v>65</v>
      </c>
      <c r="C150" s="456">
        <v>1.0</v>
      </c>
      <c r="D150" s="456">
        <v>29.0</v>
      </c>
      <c r="E150" s="469">
        <v>2.0</v>
      </c>
      <c r="F150" s="457">
        <v>2.0</v>
      </c>
      <c r="G150" s="469">
        <v>6.0</v>
      </c>
      <c r="H150" s="475"/>
      <c r="I150" s="471">
        <f t="shared" si="12"/>
        <v>40.0</v>
      </c>
    </row>
    <row r="151" spans="8:8" s="445" ht="17.25" customFormat="1" customHeight="1">
      <c r="A151" s="454" t="s">
        <v>160</v>
      </c>
      <c r="B151" s="455" t="s">
        <v>65</v>
      </c>
      <c r="C151" s="456">
        <v>1.0</v>
      </c>
      <c r="D151" s="456">
        <v>24.0</v>
      </c>
      <c r="E151" s="469">
        <v>2.0</v>
      </c>
      <c r="F151" s="457">
        <v>2.0</v>
      </c>
      <c r="G151" s="469">
        <v>6.0</v>
      </c>
      <c r="H151" s="475"/>
      <c r="I151" s="471">
        <f t="shared" si="12"/>
        <v>35.0</v>
      </c>
    </row>
    <row r="152" spans="8:8" s="445" ht="17.25" customFormat="1" customHeight="1">
      <c r="A152" s="479" t="s">
        <v>161</v>
      </c>
      <c r="B152" s="474" t="s">
        <v>65</v>
      </c>
      <c r="C152" s="456">
        <v>1.0</v>
      </c>
      <c r="D152" s="456">
        <v>29.0</v>
      </c>
      <c r="E152" s="469">
        <v>2.0</v>
      </c>
      <c r="F152" s="457">
        <v>2.0</v>
      </c>
      <c r="G152" s="469">
        <v>6.0</v>
      </c>
      <c r="H152" s="475"/>
      <c r="I152" s="471">
        <f t="shared" si="12"/>
        <v>40.0</v>
      </c>
    </row>
    <row r="153" spans="8:8" s="445" ht="17.25" customFormat="1" customHeight="1">
      <c r="A153" s="479" t="s">
        <v>162</v>
      </c>
      <c r="B153" s="474" t="s">
        <v>65</v>
      </c>
      <c r="C153" s="456">
        <v>1.0</v>
      </c>
      <c r="D153" s="456">
        <v>49.0</v>
      </c>
      <c r="E153" s="469">
        <v>2.0</v>
      </c>
      <c r="F153" s="457">
        <v>2.0</v>
      </c>
      <c r="G153" s="469">
        <v>6.0</v>
      </c>
      <c r="H153" s="475"/>
      <c r="I153" s="471">
        <f t="shared" si="12"/>
        <v>60.0</v>
      </c>
    </row>
    <row r="154" spans="8:8" s="445" ht="17.25" customFormat="1" customHeight="1">
      <c r="A154" s="479" t="s">
        <v>163</v>
      </c>
      <c r="B154" s="474" t="s">
        <v>65</v>
      </c>
      <c r="C154" s="456">
        <v>1.0</v>
      </c>
      <c r="D154" s="456">
        <v>59.0</v>
      </c>
      <c r="E154" s="469">
        <v>2.0</v>
      </c>
      <c r="F154" s="457">
        <v>2.0</v>
      </c>
      <c r="G154" s="469">
        <v>6.0</v>
      </c>
      <c r="H154" s="475"/>
      <c r="I154" s="471">
        <f t="shared" si="12"/>
        <v>70.0</v>
      </c>
    </row>
    <row r="155" spans="8:8" s="445" ht="17.25" customFormat="1" customHeight="1">
      <c r="A155" s="454" t="s">
        <v>164</v>
      </c>
      <c r="B155" s="455" t="s">
        <v>65</v>
      </c>
      <c r="C155" s="456">
        <v>1.0</v>
      </c>
      <c r="D155" s="456">
        <v>19.0</v>
      </c>
      <c r="E155" s="469">
        <v>2.0</v>
      </c>
      <c r="F155" s="457">
        <v>2.0</v>
      </c>
      <c r="G155" s="469">
        <v>6.0</v>
      </c>
      <c r="H155" s="475"/>
      <c r="I155" s="471">
        <f t="shared" si="12"/>
        <v>30.0</v>
      </c>
    </row>
    <row r="156" spans="8:8" s="445" ht="17.25" customFormat="1" customHeight="1">
      <c r="A156" s="454" t="s">
        <v>165</v>
      </c>
      <c r="B156" s="455" t="s">
        <v>65</v>
      </c>
      <c r="C156" s="456">
        <v>1.0</v>
      </c>
      <c r="D156" s="456">
        <v>24.0</v>
      </c>
      <c r="E156" s="469">
        <v>2.0</v>
      </c>
      <c r="F156" s="457">
        <v>2.0</v>
      </c>
      <c r="G156" s="469">
        <v>6.0</v>
      </c>
      <c r="H156" s="475"/>
      <c r="I156" s="471">
        <f t="shared" si="12"/>
        <v>35.0</v>
      </c>
    </row>
    <row r="157" spans="8:8" s="445" ht="17.25" customFormat="1" customHeight="1">
      <c r="A157" s="454" t="s">
        <v>166</v>
      </c>
      <c r="B157" s="455" t="s">
        <v>65</v>
      </c>
      <c r="C157" s="468">
        <v>1.0</v>
      </c>
      <c r="D157" s="468">
        <v>19.0</v>
      </c>
      <c r="E157" s="469">
        <v>2.0</v>
      </c>
      <c r="F157" s="469">
        <v>2.0</v>
      </c>
      <c r="G157" s="469">
        <v>6.0</v>
      </c>
      <c r="H157" s="470"/>
      <c r="I157" s="471">
        <f>SUM(C157:H157)</f>
        <v>30.0</v>
      </c>
    </row>
    <row r="158" spans="8:8" s="445" ht="17.25" customFormat="1" customHeight="1">
      <c r="A158" s="454" t="s">
        <v>167</v>
      </c>
      <c r="B158" s="455" t="s">
        <v>65</v>
      </c>
      <c r="C158" s="456">
        <v>1.0</v>
      </c>
      <c r="D158" s="456">
        <v>24.0</v>
      </c>
      <c r="E158" s="469">
        <v>2.0</v>
      </c>
      <c r="F158" s="457">
        <v>2.0</v>
      </c>
      <c r="G158" s="469">
        <v>6.0</v>
      </c>
      <c r="H158" s="475"/>
      <c r="I158" s="471">
        <f t="shared" si="18" ref="I158">SUM(C158:H158)</f>
        <v>35.0</v>
      </c>
    </row>
    <row r="159" spans="8:8" s="445" ht="17.25" customFormat="1" customHeight="1">
      <c r="A159" s="454" t="s">
        <v>168</v>
      </c>
      <c r="B159" s="455" t="s">
        <v>65</v>
      </c>
      <c r="C159" s="456">
        <v>1.0</v>
      </c>
      <c r="D159" s="456">
        <v>39.0</v>
      </c>
      <c r="E159" s="469">
        <v>2.0</v>
      </c>
      <c r="F159" s="457">
        <v>2.0</v>
      </c>
      <c r="G159" s="469">
        <v>6.0</v>
      </c>
      <c r="H159" s="475"/>
      <c r="I159" s="471">
        <f t="shared" si="12"/>
        <v>50.0</v>
      </c>
    </row>
    <row r="160" spans="8:8" s="445" ht="17.25" customFormat="1" customHeight="1">
      <c r="A160" s="454" t="s">
        <v>169</v>
      </c>
      <c r="B160" s="455" t="s">
        <v>65</v>
      </c>
      <c r="C160" s="456">
        <v>1.0</v>
      </c>
      <c r="D160" s="456">
        <v>49.0</v>
      </c>
      <c r="E160" s="469">
        <v>2.0</v>
      </c>
      <c r="F160" s="457">
        <v>2.0</v>
      </c>
      <c r="G160" s="469">
        <v>6.0</v>
      </c>
      <c r="H160" s="475"/>
      <c r="I160" s="471">
        <f t="shared" si="12"/>
        <v>60.0</v>
      </c>
    </row>
    <row r="161" spans="8:8" s="445" ht="17.25" customFormat="1" customHeight="1">
      <c r="A161" s="454" t="s">
        <v>170</v>
      </c>
      <c r="B161" s="455" t="s">
        <v>65</v>
      </c>
      <c r="C161" s="468">
        <v>1.0</v>
      </c>
      <c r="D161" s="468">
        <v>9.0</v>
      </c>
      <c r="E161" s="469">
        <v>2.0</v>
      </c>
      <c r="F161" s="469">
        <v>2.0</v>
      </c>
      <c r="G161" s="469">
        <v>6.0</v>
      </c>
      <c r="H161" s="470"/>
      <c r="I161" s="471">
        <f>SUM(C161:H161)</f>
        <v>20.0</v>
      </c>
    </row>
    <row r="162" spans="8:8" s="445" ht="17.25" customFormat="1" customHeight="1">
      <c r="A162" s="454" t="s">
        <v>171</v>
      </c>
      <c r="B162" s="455" t="s">
        <v>65</v>
      </c>
      <c r="C162" s="456">
        <v>1.0</v>
      </c>
      <c r="D162" s="456">
        <v>24.0</v>
      </c>
      <c r="E162" s="469">
        <v>2.0</v>
      </c>
      <c r="F162" s="457">
        <v>2.0</v>
      </c>
      <c r="G162" s="469">
        <v>6.0</v>
      </c>
      <c r="H162" s="475"/>
      <c r="I162" s="471">
        <f t="shared" si="19" ref="I162:I163">SUM(C162:H162)</f>
        <v>35.0</v>
      </c>
    </row>
    <row r="163" spans="8:8" s="445" ht="17.25" customFormat="1" customHeight="1">
      <c r="A163" s="454" t="s">
        <v>172</v>
      </c>
      <c r="B163" s="455" t="s">
        <v>65</v>
      </c>
      <c r="C163" s="456">
        <v>1.0</v>
      </c>
      <c r="D163" s="456">
        <v>29.0</v>
      </c>
      <c r="E163" s="469">
        <v>2.0</v>
      </c>
      <c r="F163" s="457">
        <v>2.0</v>
      </c>
      <c r="G163" s="469">
        <v>6.0</v>
      </c>
      <c r="H163" s="475"/>
      <c r="I163" s="471">
        <f t="shared" si="19"/>
        <v>40.0</v>
      </c>
    </row>
    <row r="164" spans="8:8" s="445" ht="17.25" customFormat="1" customHeight="1">
      <c r="A164" s="454" t="s">
        <v>173</v>
      </c>
      <c r="B164" s="455" t="s">
        <v>65</v>
      </c>
      <c r="C164" s="456">
        <v>1.0</v>
      </c>
      <c r="D164" s="456">
        <v>29.0</v>
      </c>
      <c r="E164" s="469">
        <v>2.0</v>
      </c>
      <c r="F164" s="457">
        <v>2.0</v>
      </c>
      <c r="G164" s="469">
        <v>6.0</v>
      </c>
      <c r="H164" s="475"/>
      <c r="I164" s="471">
        <f t="shared" si="12"/>
        <v>40.0</v>
      </c>
    </row>
    <row r="165" spans="8:8" s="445" ht="17.25" customFormat="1" customHeight="1">
      <c r="A165" s="454" t="s">
        <v>174</v>
      </c>
      <c r="B165" s="455" t="s">
        <v>65</v>
      </c>
      <c r="C165" s="456">
        <v>1.0</v>
      </c>
      <c r="D165" s="456">
        <v>49.0</v>
      </c>
      <c r="E165" s="469">
        <v>2.0</v>
      </c>
      <c r="F165" s="457">
        <v>2.0</v>
      </c>
      <c r="G165" s="469">
        <v>6.0</v>
      </c>
      <c r="H165" s="475"/>
      <c r="I165" s="471">
        <f t="shared" si="12"/>
        <v>60.0</v>
      </c>
    </row>
    <row r="166" spans="8:8" s="445" ht="17.25" customFormat="1" customHeight="1">
      <c r="A166" s="454" t="s">
        <v>175</v>
      </c>
      <c r="B166" s="455" t="s">
        <v>65</v>
      </c>
      <c r="C166" s="456">
        <v>1.0</v>
      </c>
      <c r="D166" s="456">
        <v>59.0</v>
      </c>
      <c r="E166" s="469">
        <v>2.0</v>
      </c>
      <c r="F166" s="457">
        <v>2.0</v>
      </c>
      <c r="G166" s="469">
        <v>6.0</v>
      </c>
      <c r="H166" s="475"/>
      <c r="I166" s="471">
        <f t="shared" si="12"/>
        <v>70.0</v>
      </c>
    </row>
    <row r="167" spans="8:8" s="445" ht="17.25" customFormat="1" customHeight="1">
      <c r="A167" s="454" t="s">
        <v>176</v>
      </c>
      <c r="B167" s="455" t="s">
        <v>65</v>
      </c>
      <c r="C167" s="456">
        <v>1.0</v>
      </c>
      <c r="D167" s="456">
        <v>19.0</v>
      </c>
      <c r="E167" s="469">
        <v>2.0</v>
      </c>
      <c r="F167" s="457">
        <v>2.0</v>
      </c>
      <c r="G167" s="469">
        <v>6.0</v>
      </c>
      <c r="H167" s="475"/>
      <c r="I167" s="471">
        <f t="shared" si="12"/>
        <v>30.0</v>
      </c>
    </row>
    <row r="168" spans="8:8" s="445" ht="17.25" customFormat="1" customHeight="1">
      <c r="A168" s="454" t="s">
        <v>177</v>
      </c>
      <c r="B168" s="455" t="s">
        <v>65</v>
      </c>
      <c r="C168" s="456">
        <v>1.0</v>
      </c>
      <c r="D168" s="456">
        <v>29.0</v>
      </c>
      <c r="E168" s="469">
        <v>2.0</v>
      </c>
      <c r="F168" s="457">
        <v>2.0</v>
      </c>
      <c r="G168" s="469">
        <v>6.0</v>
      </c>
      <c r="H168" s="475"/>
      <c r="I168" s="471">
        <f t="shared" si="12"/>
        <v>40.0</v>
      </c>
    </row>
    <row r="169" spans="8:8" s="445" ht="17.25" customFormat="1" customHeight="1">
      <c r="A169" s="454" t="s">
        <v>178</v>
      </c>
      <c r="B169" s="455" t="s">
        <v>65</v>
      </c>
      <c r="C169" s="456">
        <v>1.0</v>
      </c>
      <c r="D169" s="456">
        <v>189.0</v>
      </c>
      <c r="E169" s="469">
        <v>2.0</v>
      </c>
      <c r="F169" s="457">
        <v>2.0</v>
      </c>
      <c r="G169" s="469">
        <v>6.0</v>
      </c>
      <c r="H169" s="475"/>
      <c r="I169" s="471">
        <f t="shared" si="12"/>
        <v>200.0</v>
      </c>
    </row>
    <row r="170" spans="8:8" s="445" ht="17.25" customFormat="1" customHeight="1">
      <c r="A170" s="454" t="s">
        <v>179</v>
      </c>
      <c r="B170" s="455" t="s">
        <v>65</v>
      </c>
      <c r="C170" s="456">
        <v>1.0</v>
      </c>
      <c r="D170" s="456">
        <v>44.0</v>
      </c>
      <c r="E170" s="469">
        <v>2.0</v>
      </c>
      <c r="F170" s="457">
        <v>2.0</v>
      </c>
      <c r="G170" s="469">
        <v>6.0</v>
      </c>
      <c r="H170" s="475"/>
      <c r="I170" s="471">
        <f t="shared" si="12"/>
        <v>55.0</v>
      </c>
    </row>
    <row r="171" spans="8:8" s="445" ht="17.25" customFormat="1" customHeight="1">
      <c r="A171" s="480" t="s">
        <v>449</v>
      </c>
      <c r="B171" s="455" t="s">
        <v>65</v>
      </c>
      <c r="C171" s="456">
        <v>1.0</v>
      </c>
      <c r="D171" s="456">
        <v>24.0</v>
      </c>
      <c r="E171" s="469">
        <v>2.0</v>
      </c>
      <c r="F171" s="457">
        <v>2.0</v>
      </c>
      <c r="G171" s="469">
        <v>6.0</v>
      </c>
      <c r="H171" s="475"/>
      <c r="I171" s="471">
        <f t="shared" si="12"/>
        <v>35.0</v>
      </c>
    </row>
    <row r="172" spans="8:8" s="445" ht="17.25" customFormat="1" customHeight="1">
      <c r="A172" s="480" t="s">
        <v>448</v>
      </c>
      <c r="B172" s="455" t="s">
        <v>65</v>
      </c>
      <c r="C172" s="456">
        <v>1.0</v>
      </c>
      <c r="D172" s="456">
        <v>49.0</v>
      </c>
      <c r="E172" s="469">
        <v>2.0</v>
      </c>
      <c r="F172" s="457">
        <v>2.0</v>
      </c>
      <c r="G172" s="469">
        <v>6.0</v>
      </c>
      <c r="H172" s="475"/>
      <c r="I172" s="471">
        <f t="shared" si="12"/>
        <v>60.0</v>
      </c>
    </row>
    <row r="173" spans="8:8" s="445" ht="17.25" customFormat="1" customHeight="1">
      <c r="A173" s="454" t="s">
        <v>182</v>
      </c>
      <c r="B173" s="455" t="s">
        <v>65</v>
      </c>
      <c r="C173" s="468">
        <v>1.0</v>
      </c>
      <c r="D173" s="468">
        <v>19.0</v>
      </c>
      <c r="E173" s="469">
        <v>2.0</v>
      </c>
      <c r="F173" s="469">
        <v>2.0</v>
      </c>
      <c r="G173" s="469">
        <v>6.0</v>
      </c>
      <c r="H173" s="470"/>
      <c r="I173" s="471">
        <f>SUM(C173:H173)</f>
        <v>30.0</v>
      </c>
    </row>
    <row r="174" spans="8:8" s="445" ht="17.25" customFormat="1" customHeight="1">
      <c r="A174" s="454" t="s">
        <v>183</v>
      </c>
      <c r="B174" s="455" t="s">
        <v>65</v>
      </c>
      <c r="C174" s="456">
        <v>1.0</v>
      </c>
      <c r="D174" s="456">
        <v>24.0</v>
      </c>
      <c r="E174" s="469">
        <v>2.0</v>
      </c>
      <c r="F174" s="457">
        <v>2.0</v>
      </c>
      <c r="G174" s="469">
        <v>6.0</v>
      </c>
      <c r="H174" s="475"/>
      <c r="I174" s="471">
        <f t="shared" si="20" ref="I174:I175">SUM(C174:H174)</f>
        <v>35.0</v>
      </c>
    </row>
    <row r="175" spans="8:8" s="445" ht="17.25" customFormat="1" customHeight="1">
      <c r="A175" s="454" t="s">
        <v>184</v>
      </c>
      <c r="B175" s="455" t="s">
        <v>65</v>
      </c>
      <c r="C175" s="456">
        <v>1.0</v>
      </c>
      <c r="D175" s="456">
        <v>29.0</v>
      </c>
      <c r="E175" s="469">
        <v>2.0</v>
      </c>
      <c r="F175" s="457">
        <v>2.0</v>
      </c>
      <c r="G175" s="469">
        <v>6.0</v>
      </c>
      <c r="H175" s="475"/>
      <c r="I175" s="471">
        <f t="shared" si="20"/>
        <v>40.0</v>
      </c>
    </row>
    <row r="176" spans="8:8" s="445" ht="17.25" customFormat="1" customHeight="1">
      <c r="A176" s="454" t="s">
        <v>185</v>
      </c>
      <c r="B176" s="455" t="s">
        <v>65</v>
      </c>
      <c r="C176" s="456">
        <v>1.0</v>
      </c>
      <c r="D176" s="456">
        <v>39.0</v>
      </c>
      <c r="E176" s="469">
        <v>2.0</v>
      </c>
      <c r="F176" s="457">
        <v>2.0</v>
      </c>
      <c r="G176" s="469">
        <v>6.0</v>
      </c>
      <c r="H176" s="475"/>
      <c r="I176" s="471">
        <f t="shared" si="12"/>
        <v>50.0</v>
      </c>
    </row>
    <row r="177" spans="8:8" s="445" ht="17.25" customFormat="1" customHeight="1">
      <c r="A177" s="454" t="s">
        <v>186</v>
      </c>
      <c r="B177" s="455" t="s">
        <v>65</v>
      </c>
      <c r="C177" s="456">
        <v>1.0</v>
      </c>
      <c r="D177" s="456">
        <v>49.0</v>
      </c>
      <c r="E177" s="469">
        <v>2.0</v>
      </c>
      <c r="F177" s="457">
        <v>2.0</v>
      </c>
      <c r="G177" s="469">
        <v>6.0</v>
      </c>
      <c r="H177" s="475"/>
      <c r="I177" s="471">
        <f t="shared" si="12"/>
        <v>60.0</v>
      </c>
    </row>
    <row r="178" spans="8:8" s="445" ht="17.25" customFormat="1" customHeight="1">
      <c r="A178" s="454" t="s">
        <v>187</v>
      </c>
      <c r="B178" s="455" t="s">
        <v>65</v>
      </c>
      <c r="C178" s="456">
        <v>1.0</v>
      </c>
      <c r="D178" s="456">
        <v>59.0</v>
      </c>
      <c r="E178" s="469">
        <v>2.0</v>
      </c>
      <c r="F178" s="457">
        <v>2.0</v>
      </c>
      <c r="G178" s="469">
        <v>6.0</v>
      </c>
      <c r="H178" s="475"/>
      <c r="I178" s="471">
        <f t="shared" si="12"/>
        <v>70.0</v>
      </c>
    </row>
    <row r="179" spans="8:8" s="472" ht="17.25" customFormat="1" customHeight="1">
      <c r="A179" s="479" t="s">
        <v>188</v>
      </c>
      <c r="B179" s="474" t="s">
        <v>65</v>
      </c>
      <c r="C179" s="468">
        <v>1.0</v>
      </c>
      <c r="D179" s="468">
        <v>4.0</v>
      </c>
      <c r="E179" s="469">
        <v>2.0</v>
      </c>
      <c r="F179" s="469">
        <v>2.0</v>
      </c>
      <c r="G179" s="469">
        <v>6.0</v>
      </c>
      <c r="H179" s="470"/>
      <c r="I179" s="471">
        <f>SUM(C179:H179)</f>
        <v>15.0</v>
      </c>
    </row>
    <row r="180" spans="8:8" s="472" ht="17.25" customFormat="1" customHeight="1">
      <c r="A180" s="479" t="s">
        <v>189</v>
      </c>
      <c r="B180" s="474" t="s">
        <v>65</v>
      </c>
      <c r="C180" s="468">
        <v>1.0</v>
      </c>
      <c r="D180" s="468">
        <v>9.0</v>
      </c>
      <c r="E180" s="469">
        <v>2.0</v>
      </c>
      <c r="F180" s="469">
        <v>2.0</v>
      </c>
      <c r="G180" s="469">
        <v>6.0</v>
      </c>
      <c r="H180" s="470"/>
      <c r="I180" s="471">
        <f>SUM(C180:H180)</f>
        <v>20.0</v>
      </c>
    </row>
    <row r="181" spans="8:8" s="445" ht="17.25" customFormat="1" customHeight="1">
      <c r="A181" s="454" t="s">
        <v>190</v>
      </c>
      <c r="B181" s="474" t="s">
        <v>65</v>
      </c>
      <c r="C181" s="468">
        <v>1.0</v>
      </c>
      <c r="D181" s="468">
        <v>19.0</v>
      </c>
      <c r="E181" s="469">
        <v>2.0</v>
      </c>
      <c r="F181" s="469">
        <v>2.0</v>
      </c>
      <c r="G181" s="469">
        <v>6.0</v>
      </c>
      <c r="H181" s="470"/>
      <c r="I181" s="471">
        <f>SUM(C181:H181)</f>
        <v>30.0</v>
      </c>
    </row>
    <row r="182" spans="8:8" s="472" ht="17.25" customFormat="1" customHeight="1">
      <c r="A182" s="454" t="s">
        <v>191</v>
      </c>
      <c r="B182" s="455" t="s">
        <v>65</v>
      </c>
      <c r="C182" s="456">
        <v>1.0</v>
      </c>
      <c r="D182" s="456">
        <v>24.0</v>
      </c>
      <c r="E182" s="469">
        <v>2.0</v>
      </c>
      <c r="F182" s="457">
        <v>2.0</v>
      </c>
      <c r="G182" s="469">
        <v>6.0</v>
      </c>
      <c r="H182" s="475"/>
      <c r="I182" s="471">
        <f t="shared" si="21" ref="I182:I183">SUM(C182:H182)</f>
        <v>35.0</v>
      </c>
    </row>
    <row r="183" spans="8:8" s="445" ht="17.25" customFormat="1" customHeight="1">
      <c r="A183" s="454" t="s">
        <v>192</v>
      </c>
      <c r="B183" s="455" t="s">
        <v>65</v>
      </c>
      <c r="C183" s="456">
        <v>1.0</v>
      </c>
      <c r="D183" s="456">
        <v>29.0</v>
      </c>
      <c r="E183" s="469">
        <v>2.0</v>
      </c>
      <c r="F183" s="457">
        <v>2.0</v>
      </c>
      <c r="G183" s="469">
        <v>6.0</v>
      </c>
      <c r="H183" s="475"/>
      <c r="I183" s="471">
        <f t="shared" si="21"/>
        <v>40.0</v>
      </c>
    </row>
    <row r="184" spans="8:8" s="445" ht="17.25" customFormat="1" customHeight="1">
      <c r="A184" s="454" t="s">
        <v>193</v>
      </c>
      <c r="B184" s="455" t="s">
        <v>65</v>
      </c>
      <c r="C184" s="468">
        <v>1.0</v>
      </c>
      <c r="D184" s="468">
        <v>19.0</v>
      </c>
      <c r="E184" s="469">
        <v>2.0</v>
      </c>
      <c r="F184" s="469">
        <v>2.0</v>
      </c>
      <c r="G184" s="469">
        <v>6.0</v>
      </c>
      <c r="H184" s="470"/>
      <c r="I184" s="471">
        <f>SUM(C184:H184)</f>
        <v>30.0</v>
      </c>
    </row>
    <row r="185" spans="8:8" s="445" ht="17.25" customFormat="1" customHeight="1">
      <c r="A185" s="482" t="s">
        <v>194</v>
      </c>
      <c r="B185" s="490" t="s">
        <v>65</v>
      </c>
      <c r="C185" s="484">
        <v>1.0</v>
      </c>
      <c r="D185" s="484">
        <v>24.0</v>
      </c>
      <c r="E185" s="485">
        <v>2.0</v>
      </c>
      <c r="F185" s="485">
        <v>2.0</v>
      </c>
      <c r="G185" s="469">
        <v>6.0</v>
      </c>
      <c r="H185" s="486"/>
      <c r="I185" s="487">
        <f t="shared" si="22" ref="I185:I249">SUM(C185:H185)</f>
        <v>35.0</v>
      </c>
    </row>
    <row r="186" spans="8:8" s="445" ht="17.25" customFormat="1" customHeight="1">
      <c r="A186" s="497" t="s">
        <v>443</v>
      </c>
      <c r="B186" s="498"/>
      <c r="C186" s="498"/>
      <c r="D186" s="498"/>
      <c r="E186" s="498"/>
      <c r="F186" s="498"/>
      <c r="G186" s="498"/>
      <c r="H186" s="498"/>
      <c r="I186" s="499"/>
    </row>
    <row r="187" spans="8:8" s="445" ht="17.25" customFormat="1" customHeight="1">
      <c r="A187" s="488" t="s">
        <v>197</v>
      </c>
      <c r="B187" s="489" t="s">
        <v>196</v>
      </c>
      <c r="C187" s="468">
        <v>1.0</v>
      </c>
      <c r="D187" s="468">
        <v>85.0</v>
      </c>
      <c r="E187" s="469">
        <v>2.0</v>
      </c>
      <c r="F187" s="469">
        <v>2.0</v>
      </c>
      <c r="G187" s="470"/>
      <c r="H187" s="470"/>
      <c r="I187" s="471">
        <f t="shared" si="22"/>
        <v>90.0</v>
      </c>
    </row>
    <row r="188" spans="8:8" s="445" ht="17.25" customFormat="1" customHeight="1">
      <c r="A188" s="454" t="s">
        <v>198</v>
      </c>
      <c r="B188" s="455" t="s">
        <v>196</v>
      </c>
      <c r="C188" s="456">
        <v>1.0</v>
      </c>
      <c r="D188" s="456">
        <v>255.0</v>
      </c>
      <c r="E188" s="469">
        <v>2.0</v>
      </c>
      <c r="F188" s="457">
        <v>2.0</v>
      </c>
      <c r="G188" s="475"/>
      <c r="H188" s="475"/>
      <c r="I188" s="471">
        <f t="shared" si="22"/>
        <v>260.0</v>
      </c>
    </row>
    <row r="189" spans="8:8" s="445" ht="17.25" customFormat="1" customHeight="1">
      <c r="A189" s="454" t="s">
        <v>199</v>
      </c>
      <c r="B189" s="455" t="s">
        <v>196</v>
      </c>
      <c r="C189" s="456">
        <v>1.0</v>
      </c>
      <c r="D189" s="456">
        <v>85.0</v>
      </c>
      <c r="E189" s="469">
        <v>2.0</v>
      </c>
      <c r="F189" s="457">
        <v>2.0</v>
      </c>
      <c r="G189" s="475"/>
      <c r="H189" s="475"/>
      <c r="I189" s="471">
        <f t="shared" si="22"/>
        <v>90.0</v>
      </c>
    </row>
    <row r="190" spans="8:8" s="445" ht="17.25" customFormat="1" customHeight="1">
      <c r="A190" s="454" t="s">
        <v>201</v>
      </c>
      <c r="B190" s="455" t="s">
        <v>196</v>
      </c>
      <c r="C190" s="456">
        <v>1.0</v>
      </c>
      <c r="D190" s="456">
        <v>85.0</v>
      </c>
      <c r="E190" s="469">
        <v>2.0</v>
      </c>
      <c r="F190" s="457">
        <v>2.0</v>
      </c>
      <c r="G190" s="475"/>
      <c r="H190" s="475"/>
      <c r="I190" s="471">
        <f t="shared" si="22"/>
        <v>90.0</v>
      </c>
    </row>
    <row r="191" spans="8:8" s="445" ht="17.25" customFormat="1" customHeight="1">
      <c r="A191" s="454" t="s">
        <v>202</v>
      </c>
      <c r="B191" s="474" t="s">
        <v>196</v>
      </c>
      <c r="C191" s="456">
        <v>1.0</v>
      </c>
      <c r="D191" s="456">
        <v>85.0</v>
      </c>
      <c r="E191" s="469">
        <v>2.0</v>
      </c>
      <c r="F191" s="457">
        <v>2.0</v>
      </c>
      <c r="G191" s="475"/>
      <c r="H191" s="475"/>
      <c r="I191" s="471">
        <f t="shared" si="22"/>
        <v>90.0</v>
      </c>
    </row>
    <row r="192" spans="8:8" s="445" ht="17.25" customFormat="1" customHeight="1">
      <c r="A192" s="454" t="s">
        <v>203</v>
      </c>
      <c r="B192" s="455" t="s">
        <v>196</v>
      </c>
      <c r="C192" s="456">
        <v>1.0</v>
      </c>
      <c r="D192" s="456">
        <v>85.0</v>
      </c>
      <c r="E192" s="469">
        <v>2.0</v>
      </c>
      <c r="F192" s="457">
        <v>2.0</v>
      </c>
      <c r="G192" s="475"/>
      <c r="H192" s="475"/>
      <c r="I192" s="471">
        <f t="shared" si="22"/>
        <v>90.0</v>
      </c>
    </row>
    <row r="193" spans="8:8" s="445" ht="17.25" customFormat="1" customHeight="1">
      <c r="A193" s="454" t="s">
        <v>204</v>
      </c>
      <c r="B193" s="455" t="s">
        <v>196</v>
      </c>
      <c r="C193" s="456">
        <v>1.0</v>
      </c>
      <c r="D193" s="456">
        <v>85.0</v>
      </c>
      <c r="E193" s="469">
        <v>2.0</v>
      </c>
      <c r="F193" s="457">
        <v>2.0</v>
      </c>
      <c r="G193" s="475"/>
      <c r="H193" s="475"/>
      <c r="I193" s="471">
        <f t="shared" si="22"/>
        <v>90.0</v>
      </c>
    </row>
    <row r="194" spans="8:8" s="445" ht="17.25" customFormat="1" customHeight="1">
      <c r="A194" s="454" t="s">
        <v>206</v>
      </c>
      <c r="B194" s="455" t="s">
        <v>196</v>
      </c>
      <c r="C194" s="456">
        <v>1.0</v>
      </c>
      <c r="D194" s="456">
        <v>85.0</v>
      </c>
      <c r="E194" s="469">
        <v>2.0</v>
      </c>
      <c r="F194" s="457">
        <v>2.0</v>
      </c>
      <c r="G194" s="475"/>
      <c r="H194" s="475"/>
      <c r="I194" s="471">
        <f t="shared" si="22"/>
        <v>90.0</v>
      </c>
    </row>
    <row r="195" spans="8:8" s="445" ht="17.25" customFormat="1" customHeight="1">
      <c r="A195" s="454" t="s">
        <v>207</v>
      </c>
      <c r="B195" s="455" t="s">
        <v>196</v>
      </c>
      <c r="C195" s="456">
        <v>1.0</v>
      </c>
      <c r="D195" s="456">
        <v>85.0</v>
      </c>
      <c r="E195" s="469">
        <v>2.0</v>
      </c>
      <c r="F195" s="457">
        <v>2.0</v>
      </c>
      <c r="G195" s="475"/>
      <c r="H195" s="475"/>
      <c r="I195" s="471">
        <f t="shared" si="22"/>
        <v>90.0</v>
      </c>
    </row>
    <row r="196" spans="8:8" s="445" ht="17.25" customFormat="1" customHeight="1">
      <c r="A196" s="454" t="s">
        <v>208</v>
      </c>
      <c r="B196" s="455" t="s">
        <v>196</v>
      </c>
      <c r="C196" s="456">
        <v>1.0</v>
      </c>
      <c r="D196" s="456">
        <v>85.0</v>
      </c>
      <c r="E196" s="469">
        <v>2.0</v>
      </c>
      <c r="F196" s="457">
        <v>2.0</v>
      </c>
      <c r="G196" s="475"/>
      <c r="H196" s="475"/>
      <c r="I196" s="471">
        <f t="shared" si="22"/>
        <v>90.0</v>
      </c>
    </row>
    <row r="197" spans="8:8" s="445" ht="17.25" customFormat="1" customHeight="1">
      <c r="A197" s="454" t="s">
        <v>209</v>
      </c>
      <c r="B197" s="455" t="s">
        <v>196</v>
      </c>
      <c r="C197" s="456">
        <v>1.0</v>
      </c>
      <c r="D197" s="456">
        <v>85.0</v>
      </c>
      <c r="E197" s="469">
        <v>2.0</v>
      </c>
      <c r="F197" s="457">
        <v>2.0</v>
      </c>
      <c r="G197" s="475"/>
      <c r="H197" s="475"/>
      <c r="I197" s="471">
        <f t="shared" si="22"/>
        <v>90.0</v>
      </c>
    </row>
    <row r="198" spans="8:8" s="445" ht="17.25" customFormat="1" customHeight="1">
      <c r="A198" s="454" t="s">
        <v>210</v>
      </c>
      <c r="B198" s="455" t="s">
        <v>196</v>
      </c>
      <c r="C198" s="456">
        <v>1.0</v>
      </c>
      <c r="D198" s="456">
        <v>85.0</v>
      </c>
      <c r="E198" s="469">
        <v>2.0</v>
      </c>
      <c r="F198" s="457">
        <v>2.0</v>
      </c>
      <c r="G198" s="475"/>
      <c r="H198" s="475"/>
      <c r="I198" s="471">
        <f t="shared" si="22"/>
        <v>90.0</v>
      </c>
    </row>
    <row r="199" spans="8:8" s="445" ht="17.25" customFormat="1" customHeight="1">
      <c r="A199" s="454" t="s">
        <v>211</v>
      </c>
      <c r="B199" s="455" t="s">
        <v>196</v>
      </c>
      <c r="C199" s="456">
        <v>1.0</v>
      </c>
      <c r="D199" s="456">
        <v>85.0</v>
      </c>
      <c r="E199" s="469">
        <v>2.0</v>
      </c>
      <c r="F199" s="457">
        <v>2.0</v>
      </c>
      <c r="G199" s="475"/>
      <c r="H199" s="475"/>
      <c r="I199" s="471">
        <f t="shared" si="22"/>
        <v>90.0</v>
      </c>
    </row>
    <row r="200" spans="8:8" s="445" ht="17.25" customFormat="1" customHeight="1">
      <c r="A200" s="454" t="s">
        <v>212</v>
      </c>
      <c r="B200" s="455" t="s">
        <v>196</v>
      </c>
      <c r="C200" s="456">
        <v>1.0</v>
      </c>
      <c r="D200" s="456">
        <v>85.0</v>
      </c>
      <c r="E200" s="469">
        <v>2.0</v>
      </c>
      <c r="F200" s="457">
        <v>2.0</v>
      </c>
      <c r="G200" s="475"/>
      <c r="H200" s="475"/>
      <c r="I200" s="471">
        <f t="shared" si="22"/>
        <v>90.0</v>
      </c>
    </row>
    <row r="201" spans="8:8" s="445" ht="17.25" customFormat="1" customHeight="1">
      <c r="A201" s="454" t="s">
        <v>214</v>
      </c>
      <c r="B201" s="455" t="s">
        <v>196</v>
      </c>
      <c r="C201" s="456">
        <v>1.0</v>
      </c>
      <c r="D201" s="456">
        <v>85.0</v>
      </c>
      <c r="E201" s="469">
        <v>2.0</v>
      </c>
      <c r="F201" s="457">
        <v>2.0</v>
      </c>
      <c r="G201" s="475"/>
      <c r="H201" s="475"/>
      <c r="I201" s="471">
        <f t="shared" si="22"/>
        <v>90.0</v>
      </c>
    </row>
    <row r="202" spans="8:8" s="445" ht="17.25" customFormat="1" customHeight="1">
      <c r="A202" s="454" t="s">
        <v>215</v>
      </c>
      <c r="B202" s="455" t="s">
        <v>196</v>
      </c>
      <c r="C202" s="456">
        <v>1.0</v>
      </c>
      <c r="D202" s="456">
        <v>85.0</v>
      </c>
      <c r="E202" s="469">
        <v>2.0</v>
      </c>
      <c r="F202" s="457">
        <v>2.0</v>
      </c>
      <c r="G202" s="475"/>
      <c r="H202" s="475"/>
      <c r="I202" s="471">
        <f t="shared" si="22"/>
        <v>90.0</v>
      </c>
    </row>
    <row r="203" spans="8:8" s="445" ht="17.25" customFormat="1" customHeight="1">
      <c r="A203" s="454" t="s">
        <v>216</v>
      </c>
      <c r="B203" s="455" t="s">
        <v>196</v>
      </c>
      <c r="C203" s="456">
        <v>1.0</v>
      </c>
      <c r="D203" s="456">
        <v>85.0</v>
      </c>
      <c r="E203" s="469">
        <v>2.0</v>
      </c>
      <c r="F203" s="457">
        <v>2.0</v>
      </c>
      <c r="G203" s="475"/>
      <c r="H203" s="475"/>
      <c r="I203" s="471">
        <f t="shared" si="22"/>
        <v>90.0</v>
      </c>
    </row>
    <row r="204" spans="8:8" s="445" ht="17.25" customFormat="1" customHeight="1">
      <c r="A204" s="454" t="s">
        <v>217</v>
      </c>
      <c r="B204" s="455" t="s">
        <v>196</v>
      </c>
      <c r="C204" s="456">
        <v>1.0</v>
      </c>
      <c r="D204" s="456">
        <v>85.0</v>
      </c>
      <c r="E204" s="469">
        <v>2.0</v>
      </c>
      <c r="F204" s="457">
        <v>2.0</v>
      </c>
      <c r="G204" s="475"/>
      <c r="H204" s="475"/>
      <c r="I204" s="471">
        <f t="shared" si="22"/>
        <v>90.0</v>
      </c>
    </row>
    <row r="205" spans="8:8" s="445" ht="17.25" customFormat="1" customHeight="1">
      <c r="A205" s="454" t="s">
        <v>218</v>
      </c>
      <c r="B205" s="455" t="s">
        <v>196</v>
      </c>
      <c r="C205" s="456">
        <v>1.0</v>
      </c>
      <c r="D205" s="456">
        <v>85.0</v>
      </c>
      <c r="E205" s="469">
        <v>2.0</v>
      </c>
      <c r="F205" s="457">
        <v>2.0</v>
      </c>
      <c r="G205" s="475"/>
      <c r="H205" s="475"/>
      <c r="I205" s="471">
        <f t="shared" si="22"/>
        <v>90.0</v>
      </c>
    </row>
    <row r="206" spans="8:8" s="445" ht="17.25" customFormat="1" customHeight="1">
      <c r="A206" s="454" t="s">
        <v>219</v>
      </c>
      <c r="B206" s="455" t="s">
        <v>196</v>
      </c>
      <c r="C206" s="456">
        <v>1.0</v>
      </c>
      <c r="D206" s="456">
        <v>85.0</v>
      </c>
      <c r="E206" s="469">
        <v>2.0</v>
      </c>
      <c r="F206" s="457">
        <v>2.0</v>
      </c>
      <c r="G206" s="475"/>
      <c r="H206" s="475"/>
      <c r="I206" s="471">
        <f t="shared" si="22"/>
        <v>90.0</v>
      </c>
    </row>
    <row r="207" spans="8:8" s="445" ht="17.25" customFormat="1" customHeight="1">
      <c r="A207" s="454" t="s">
        <v>220</v>
      </c>
      <c r="B207" s="455" t="s">
        <v>196</v>
      </c>
      <c r="C207" s="456">
        <v>1.0</v>
      </c>
      <c r="D207" s="456">
        <v>85.0</v>
      </c>
      <c r="E207" s="469">
        <v>2.0</v>
      </c>
      <c r="F207" s="457">
        <v>2.0</v>
      </c>
      <c r="G207" s="475"/>
      <c r="H207" s="475"/>
      <c r="I207" s="471">
        <f t="shared" si="22"/>
        <v>90.0</v>
      </c>
    </row>
    <row r="208" spans="8:8" s="445" ht="17.25" customFormat="1" customHeight="1">
      <c r="A208" s="479" t="s">
        <v>221</v>
      </c>
      <c r="B208" s="455" t="s">
        <v>196</v>
      </c>
      <c r="C208" s="456">
        <v>1.0</v>
      </c>
      <c r="D208" s="456">
        <v>85.0</v>
      </c>
      <c r="E208" s="469">
        <v>2.0</v>
      </c>
      <c r="F208" s="457">
        <v>2.0</v>
      </c>
      <c r="G208" s="475"/>
      <c r="H208" s="475"/>
      <c r="I208" s="471">
        <f t="shared" si="22"/>
        <v>90.0</v>
      </c>
    </row>
    <row r="209" spans="8:8" s="445" ht="17.25" customFormat="1" customHeight="1">
      <c r="A209" s="500" t="s">
        <v>452</v>
      </c>
      <c r="B209" s="501" t="s">
        <v>453</v>
      </c>
      <c r="C209" s="502">
        <v>1.0</v>
      </c>
      <c r="D209" s="502">
        <v>115.0</v>
      </c>
      <c r="E209" s="503">
        <v>2.0</v>
      </c>
      <c r="F209" s="504">
        <v>2.0</v>
      </c>
      <c r="G209" s="505"/>
      <c r="H209" s="505"/>
      <c r="I209" s="506">
        <f t="shared" si="22"/>
        <v>120.0</v>
      </c>
    </row>
    <row r="210" spans="8:8" s="445" ht="17.25" customFormat="1" customHeight="1">
      <c r="A210" s="454" t="s">
        <v>223</v>
      </c>
      <c r="B210" s="455" t="s">
        <v>196</v>
      </c>
      <c r="C210" s="456">
        <v>1.0</v>
      </c>
      <c r="D210" s="456">
        <v>95.0</v>
      </c>
      <c r="E210" s="469">
        <v>2.0</v>
      </c>
      <c r="F210" s="457">
        <v>2.0</v>
      </c>
      <c r="G210" s="475"/>
      <c r="H210" s="475"/>
      <c r="I210" s="471">
        <f t="shared" si="22"/>
        <v>100.0</v>
      </c>
    </row>
    <row r="211" spans="8:8" s="445" ht="17.25" customFormat="1" customHeight="1">
      <c r="A211" s="454" t="s">
        <v>224</v>
      </c>
      <c r="B211" s="455" t="s">
        <v>196</v>
      </c>
      <c r="C211" s="456">
        <v>1.0</v>
      </c>
      <c r="D211" s="456">
        <v>85.0</v>
      </c>
      <c r="E211" s="469">
        <v>2.0</v>
      </c>
      <c r="F211" s="457">
        <v>2.0</v>
      </c>
      <c r="G211" s="475"/>
      <c r="H211" s="475"/>
      <c r="I211" s="471">
        <f t="shared" si="22"/>
        <v>90.0</v>
      </c>
    </row>
    <row r="212" spans="8:8" s="445" ht="17.25" customFormat="1" customHeight="1">
      <c r="A212" s="454" t="s">
        <v>225</v>
      </c>
      <c r="B212" s="455" t="s">
        <v>196</v>
      </c>
      <c r="C212" s="456">
        <v>1.0</v>
      </c>
      <c r="D212" s="456">
        <v>85.0</v>
      </c>
      <c r="E212" s="469">
        <v>2.0</v>
      </c>
      <c r="F212" s="457">
        <v>2.0</v>
      </c>
      <c r="G212" s="475"/>
      <c r="H212" s="475"/>
      <c r="I212" s="471">
        <f t="shared" si="22"/>
        <v>90.0</v>
      </c>
    </row>
    <row r="213" spans="8:8" s="445" ht="17.25" customFormat="1" customHeight="1">
      <c r="A213" s="454" t="s">
        <v>226</v>
      </c>
      <c r="B213" s="455" t="s">
        <v>196</v>
      </c>
      <c r="C213" s="456">
        <v>1.0</v>
      </c>
      <c r="D213" s="456">
        <v>85.0</v>
      </c>
      <c r="E213" s="469">
        <v>2.0</v>
      </c>
      <c r="F213" s="457">
        <v>2.0</v>
      </c>
      <c r="G213" s="475"/>
      <c r="H213" s="475"/>
      <c r="I213" s="471">
        <f t="shared" si="22"/>
        <v>90.0</v>
      </c>
    </row>
    <row r="214" spans="8:8" s="445" ht="17.25" customFormat="1" customHeight="1">
      <c r="A214" s="454" t="s">
        <v>228</v>
      </c>
      <c r="B214" s="455" t="s">
        <v>196</v>
      </c>
      <c r="C214" s="456">
        <v>1.0</v>
      </c>
      <c r="D214" s="456">
        <v>85.0</v>
      </c>
      <c r="E214" s="469">
        <v>2.0</v>
      </c>
      <c r="F214" s="457">
        <v>2.0</v>
      </c>
      <c r="G214" s="475"/>
      <c r="H214" s="475"/>
      <c r="I214" s="471">
        <f t="shared" si="22"/>
        <v>90.0</v>
      </c>
    </row>
    <row r="215" spans="8:8" s="445" ht="17.25" customFormat="1" customHeight="1">
      <c r="A215" s="454" t="s">
        <v>229</v>
      </c>
      <c r="B215" s="455" t="s">
        <v>196</v>
      </c>
      <c r="C215" s="456">
        <v>1.0</v>
      </c>
      <c r="D215" s="456">
        <v>85.0</v>
      </c>
      <c r="E215" s="469">
        <v>2.0</v>
      </c>
      <c r="F215" s="457">
        <v>2.0</v>
      </c>
      <c r="G215" s="475"/>
      <c r="H215" s="475"/>
      <c r="I215" s="471">
        <f t="shared" si="22"/>
        <v>90.0</v>
      </c>
    </row>
    <row r="216" spans="8:8" s="445" ht="17.25" customFormat="1" customHeight="1">
      <c r="A216" s="454" t="s">
        <v>230</v>
      </c>
      <c r="B216" s="455" t="s">
        <v>196</v>
      </c>
      <c r="C216" s="456">
        <v>1.0</v>
      </c>
      <c r="D216" s="456">
        <v>85.0</v>
      </c>
      <c r="E216" s="469">
        <v>2.0</v>
      </c>
      <c r="F216" s="457">
        <v>2.0</v>
      </c>
      <c r="G216" s="475"/>
      <c r="H216" s="475"/>
      <c r="I216" s="471">
        <f t="shared" si="22"/>
        <v>90.0</v>
      </c>
    </row>
    <row r="217" spans="8:8" s="445" ht="17.25" customFormat="1" customHeight="1">
      <c r="A217" s="454" t="s">
        <v>231</v>
      </c>
      <c r="B217" s="455" t="s">
        <v>196</v>
      </c>
      <c r="C217" s="456">
        <v>1.0</v>
      </c>
      <c r="D217" s="456">
        <v>85.0</v>
      </c>
      <c r="E217" s="469">
        <v>2.0</v>
      </c>
      <c r="F217" s="457">
        <v>2.0</v>
      </c>
      <c r="G217" s="475"/>
      <c r="H217" s="475"/>
      <c r="I217" s="471">
        <f t="shared" si="22"/>
        <v>90.0</v>
      </c>
    </row>
    <row r="218" spans="8:8" s="445" ht="17.25" customFormat="1" customHeight="1">
      <c r="A218" s="454" t="s">
        <v>232</v>
      </c>
      <c r="B218" s="455" t="s">
        <v>196</v>
      </c>
      <c r="C218" s="456">
        <v>1.0</v>
      </c>
      <c r="D218" s="456">
        <v>85.0</v>
      </c>
      <c r="E218" s="469">
        <v>2.0</v>
      </c>
      <c r="F218" s="457">
        <v>2.0</v>
      </c>
      <c r="G218" s="475"/>
      <c r="H218" s="475"/>
      <c r="I218" s="471">
        <f t="shared" si="22"/>
        <v>90.0</v>
      </c>
    </row>
    <row r="219" spans="8:8" s="445" ht="17.25" customFormat="1" customHeight="1">
      <c r="A219" s="454" t="s">
        <v>233</v>
      </c>
      <c r="B219" s="455" t="s">
        <v>196</v>
      </c>
      <c r="C219" s="456">
        <v>1.0</v>
      </c>
      <c r="D219" s="456">
        <v>85.0</v>
      </c>
      <c r="E219" s="469">
        <v>2.0</v>
      </c>
      <c r="F219" s="457">
        <v>2.0</v>
      </c>
      <c r="G219" s="475"/>
      <c r="H219" s="475"/>
      <c r="I219" s="471">
        <f t="shared" si="22"/>
        <v>90.0</v>
      </c>
    </row>
    <row r="220" spans="8:8" s="445" ht="17.25" customFormat="1" customHeight="1">
      <c r="A220" s="454" t="s">
        <v>234</v>
      </c>
      <c r="B220" s="455" t="s">
        <v>196</v>
      </c>
      <c r="C220" s="456">
        <v>1.0</v>
      </c>
      <c r="D220" s="456">
        <v>85.0</v>
      </c>
      <c r="E220" s="469">
        <v>2.0</v>
      </c>
      <c r="F220" s="457">
        <v>2.0</v>
      </c>
      <c r="G220" s="475"/>
      <c r="H220" s="475"/>
      <c r="I220" s="471">
        <f t="shared" si="22"/>
        <v>90.0</v>
      </c>
    </row>
    <row r="221" spans="8:8" s="445" ht="17.25" customFormat="1" customHeight="1">
      <c r="A221" s="454" t="s">
        <v>235</v>
      </c>
      <c r="B221" s="455" t="s">
        <v>196</v>
      </c>
      <c r="C221" s="456">
        <v>1.0</v>
      </c>
      <c r="D221" s="456">
        <v>85.0</v>
      </c>
      <c r="E221" s="469">
        <v>2.0</v>
      </c>
      <c r="F221" s="457">
        <v>2.0</v>
      </c>
      <c r="G221" s="475"/>
      <c r="H221" s="475"/>
      <c r="I221" s="471">
        <f t="shared" si="22"/>
        <v>90.0</v>
      </c>
    </row>
    <row r="222" spans="8:8" s="445" ht="17.25" customFormat="1" customHeight="1">
      <c r="A222" s="454" t="s">
        <v>236</v>
      </c>
      <c r="B222" s="455" t="s">
        <v>196</v>
      </c>
      <c r="C222" s="456">
        <v>1.0</v>
      </c>
      <c r="D222" s="456">
        <v>85.0</v>
      </c>
      <c r="E222" s="469">
        <v>2.0</v>
      </c>
      <c r="F222" s="457">
        <v>2.0</v>
      </c>
      <c r="G222" s="475"/>
      <c r="H222" s="475"/>
      <c r="I222" s="471">
        <f t="shared" si="22"/>
        <v>90.0</v>
      </c>
    </row>
    <row r="223" spans="8:8" s="445" ht="17.25" customFormat="1" customHeight="1">
      <c r="A223" s="454" t="s">
        <v>237</v>
      </c>
      <c r="B223" s="455" t="s">
        <v>196</v>
      </c>
      <c r="C223" s="456">
        <v>1.0</v>
      </c>
      <c r="D223" s="456">
        <v>85.0</v>
      </c>
      <c r="E223" s="469">
        <v>2.0</v>
      </c>
      <c r="F223" s="457">
        <v>2.0</v>
      </c>
      <c r="G223" s="475"/>
      <c r="H223" s="475"/>
      <c r="I223" s="471">
        <f t="shared" si="22"/>
        <v>90.0</v>
      </c>
    </row>
    <row r="224" spans="8:8" s="445" ht="17.25" customFormat="1" customHeight="1">
      <c r="A224" s="454" t="s">
        <v>238</v>
      </c>
      <c r="B224" s="455" t="s">
        <v>196</v>
      </c>
      <c r="C224" s="456">
        <v>1.0</v>
      </c>
      <c r="D224" s="456">
        <v>85.0</v>
      </c>
      <c r="E224" s="469">
        <v>2.0</v>
      </c>
      <c r="F224" s="457">
        <v>2.0</v>
      </c>
      <c r="G224" s="475"/>
      <c r="H224" s="475"/>
      <c r="I224" s="471">
        <f t="shared" si="22"/>
        <v>90.0</v>
      </c>
    </row>
    <row r="225" spans="8:8" s="445" ht="17.25" customFormat="1" customHeight="1">
      <c r="A225" s="454" t="s">
        <v>239</v>
      </c>
      <c r="B225" s="455" t="s">
        <v>196</v>
      </c>
      <c r="C225" s="456">
        <v>1.0</v>
      </c>
      <c r="D225" s="456">
        <v>85.0</v>
      </c>
      <c r="E225" s="469">
        <v>2.0</v>
      </c>
      <c r="F225" s="457">
        <v>2.0</v>
      </c>
      <c r="G225" s="475"/>
      <c r="H225" s="475"/>
      <c r="I225" s="471">
        <f t="shared" si="22"/>
        <v>90.0</v>
      </c>
    </row>
    <row r="226" spans="8:8" s="445" ht="17.25" customFormat="1" customHeight="1">
      <c r="A226" s="454" t="s">
        <v>240</v>
      </c>
      <c r="B226" s="455" t="s">
        <v>196</v>
      </c>
      <c r="C226" s="456">
        <v>1.0</v>
      </c>
      <c r="D226" s="456">
        <v>85.0</v>
      </c>
      <c r="E226" s="469">
        <v>2.0</v>
      </c>
      <c r="F226" s="457">
        <v>2.0</v>
      </c>
      <c r="G226" s="475"/>
      <c r="H226" s="475"/>
      <c r="I226" s="471">
        <f t="shared" si="22"/>
        <v>90.0</v>
      </c>
    </row>
    <row r="227" spans="8:8" s="445" ht="17.25" customFormat="1" customHeight="1">
      <c r="A227" s="454" t="s">
        <v>241</v>
      </c>
      <c r="B227" s="474" t="s">
        <v>196</v>
      </c>
      <c r="C227" s="456">
        <v>1.0</v>
      </c>
      <c r="D227" s="456">
        <v>85.0</v>
      </c>
      <c r="E227" s="469">
        <v>2.0</v>
      </c>
      <c r="F227" s="457">
        <v>2.0</v>
      </c>
      <c r="G227" s="475"/>
      <c r="H227" s="475"/>
      <c r="I227" s="471">
        <f t="shared" si="22"/>
        <v>90.0</v>
      </c>
    </row>
    <row r="228" spans="8:8" s="445" ht="17.25" customFormat="1" customHeight="1">
      <c r="A228" s="454" t="s">
        <v>242</v>
      </c>
      <c r="B228" s="455" t="s">
        <v>196</v>
      </c>
      <c r="C228" s="456">
        <v>1.0</v>
      </c>
      <c r="D228" s="456">
        <v>85.0</v>
      </c>
      <c r="E228" s="469">
        <v>2.0</v>
      </c>
      <c r="F228" s="457">
        <v>2.0</v>
      </c>
      <c r="G228" s="475"/>
      <c r="H228" s="475"/>
      <c r="I228" s="471">
        <f t="shared" si="22"/>
        <v>90.0</v>
      </c>
    </row>
    <row r="229" spans="8:8" s="445" ht="17.25" customFormat="1" customHeight="1">
      <c r="A229" s="454" t="s">
        <v>243</v>
      </c>
      <c r="B229" s="455" t="s">
        <v>196</v>
      </c>
      <c r="C229" s="456">
        <v>1.0</v>
      </c>
      <c r="D229" s="456">
        <v>85.0</v>
      </c>
      <c r="E229" s="469">
        <v>2.0</v>
      </c>
      <c r="F229" s="457">
        <v>2.0</v>
      </c>
      <c r="G229" s="475"/>
      <c r="H229" s="475"/>
      <c r="I229" s="471">
        <f t="shared" si="22"/>
        <v>90.0</v>
      </c>
    </row>
    <row r="230" spans="8:8" s="472" ht="17.25" customFormat="1" customHeight="1">
      <c r="A230" s="454" t="s">
        <v>244</v>
      </c>
      <c r="B230" s="455" t="s">
        <v>196</v>
      </c>
      <c r="C230" s="456">
        <v>1.0</v>
      </c>
      <c r="D230" s="456">
        <v>85.0</v>
      </c>
      <c r="E230" s="469">
        <v>2.0</v>
      </c>
      <c r="F230" s="457">
        <v>2.0</v>
      </c>
      <c r="G230" s="475"/>
      <c r="H230" s="475"/>
      <c r="I230" s="471">
        <f t="shared" si="22"/>
        <v>90.0</v>
      </c>
    </row>
    <row r="231" spans="8:8" s="445" ht="17.25" customFormat="1" customHeight="1">
      <c r="A231" s="454" t="s">
        <v>246</v>
      </c>
      <c r="B231" s="455" t="s">
        <v>196</v>
      </c>
      <c r="C231" s="456">
        <v>1.0</v>
      </c>
      <c r="D231" s="456">
        <v>85.0</v>
      </c>
      <c r="E231" s="469">
        <v>2.0</v>
      </c>
      <c r="F231" s="457">
        <v>2.0</v>
      </c>
      <c r="G231" s="475"/>
      <c r="H231" s="475"/>
      <c r="I231" s="471">
        <f t="shared" si="22"/>
        <v>90.0</v>
      </c>
    </row>
    <row r="232" spans="8:8" s="445" ht="17.25" customFormat="1" customHeight="1">
      <c r="A232" s="454" t="s">
        <v>247</v>
      </c>
      <c r="B232" s="455" t="s">
        <v>196</v>
      </c>
      <c r="C232" s="456">
        <v>1.0</v>
      </c>
      <c r="D232" s="456">
        <v>85.0</v>
      </c>
      <c r="E232" s="469">
        <v>2.0</v>
      </c>
      <c r="F232" s="457">
        <v>2.0</v>
      </c>
      <c r="G232" s="475"/>
      <c r="H232" s="475"/>
      <c r="I232" s="471">
        <f t="shared" si="22"/>
        <v>90.0</v>
      </c>
    </row>
    <row r="233" spans="8:8" s="445" ht="17.25" customFormat="1" customHeight="1">
      <c r="A233" s="454" t="s">
        <v>248</v>
      </c>
      <c r="B233" s="455" t="s">
        <v>196</v>
      </c>
      <c r="C233" s="456">
        <v>1.0</v>
      </c>
      <c r="D233" s="456">
        <v>85.0</v>
      </c>
      <c r="E233" s="469">
        <v>2.0</v>
      </c>
      <c r="F233" s="457">
        <v>2.0</v>
      </c>
      <c r="G233" s="475"/>
      <c r="H233" s="475"/>
      <c r="I233" s="471">
        <f t="shared" si="22"/>
        <v>90.0</v>
      </c>
    </row>
    <row r="234" spans="8:8" s="445" ht="17.25" customFormat="1" customHeight="1">
      <c r="A234" s="454" t="s">
        <v>249</v>
      </c>
      <c r="B234" s="455" t="s">
        <v>196</v>
      </c>
      <c r="C234" s="456">
        <v>1.0</v>
      </c>
      <c r="D234" s="456">
        <v>85.0</v>
      </c>
      <c r="E234" s="469">
        <v>2.0</v>
      </c>
      <c r="F234" s="457">
        <v>2.0</v>
      </c>
      <c r="G234" s="475"/>
      <c r="H234" s="475"/>
      <c r="I234" s="471">
        <f t="shared" si="22"/>
        <v>90.0</v>
      </c>
    </row>
    <row r="235" spans="8:8" s="445" ht="17.25" customFormat="1" customHeight="1">
      <c r="A235" s="454" t="s">
        <v>250</v>
      </c>
      <c r="B235" s="455" t="s">
        <v>196</v>
      </c>
      <c r="C235" s="456">
        <v>1.0</v>
      </c>
      <c r="D235" s="456">
        <v>85.0</v>
      </c>
      <c r="E235" s="469">
        <v>2.0</v>
      </c>
      <c r="F235" s="457">
        <v>2.0</v>
      </c>
      <c r="G235" s="475"/>
      <c r="H235" s="475"/>
      <c r="I235" s="471">
        <f t="shared" si="22"/>
        <v>90.0</v>
      </c>
    </row>
    <row r="236" spans="8:8" s="445" ht="17.25" customFormat="1" customHeight="1">
      <c r="A236" s="454" t="s">
        <v>251</v>
      </c>
      <c r="B236" s="455" t="s">
        <v>196</v>
      </c>
      <c r="C236" s="456">
        <v>1.0</v>
      </c>
      <c r="D236" s="456">
        <v>85.0</v>
      </c>
      <c r="E236" s="469">
        <v>2.0</v>
      </c>
      <c r="F236" s="457">
        <v>2.0</v>
      </c>
      <c r="G236" s="475"/>
      <c r="H236" s="475"/>
      <c r="I236" s="471">
        <f t="shared" si="22"/>
        <v>90.0</v>
      </c>
    </row>
    <row r="237" spans="8:8" s="445" ht="17.25" customFormat="1" customHeight="1">
      <c r="A237" s="454" t="s">
        <v>252</v>
      </c>
      <c r="B237" s="455" t="s">
        <v>196</v>
      </c>
      <c r="C237" s="456">
        <v>1.0</v>
      </c>
      <c r="D237" s="456">
        <v>85.0</v>
      </c>
      <c r="E237" s="469">
        <v>2.0</v>
      </c>
      <c r="F237" s="457">
        <v>2.0</v>
      </c>
      <c r="G237" s="475"/>
      <c r="H237" s="475"/>
      <c r="I237" s="471">
        <f t="shared" si="22"/>
        <v>90.0</v>
      </c>
    </row>
    <row r="238" spans="8:8" s="445" ht="17.25" customFormat="1" customHeight="1">
      <c r="A238" s="454" t="s">
        <v>253</v>
      </c>
      <c r="B238" s="455" t="s">
        <v>196</v>
      </c>
      <c r="C238" s="456">
        <v>1.0</v>
      </c>
      <c r="D238" s="456">
        <v>85.0</v>
      </c>
      <c r="E238" s="469">
        <v>2.0</v>
      </c>
      <c r="F238" s="457">
        <v>2.0</v>
      </c>
      <c r="G238" s="475"/>
      <c r="H238" s="475"/>
      <c r="I238" s="471">
        <f t="shared" si="22"/>
        <v>90.0</v>
      </c>
    </row>
    <row r="239" spans="8:8" s="445" ht="17.25" customFormat="1" customHeight="1">
      <c r="A239" s="454" t="s">
        <v>254</v>
      </c>
      <c r="B239" s="455" t="s">
        <v>196</v>
      </c>
      <c r="C239" s="456">
        <v>1.0</v>
      </c>
      <c r="D239" s="456">
        <v>85.0</v>
      </c>
      <c r="E239" s="469">
        <v>2.0</v>
      </c>
      <c r="F239" s="457">
        <v>2.0</v>
      </c>
      <c r="G239" s="475"/>
      <c r="H239" s="475"/>
      <c r="I239" s="471">
        <f t="shared" si="22"/>
        <v>90.0</v>
      </c>
    </row>
    <row r="240" spans="8:8" s="445" ht="17.25" customFormat="1" customHeight="1">
      <c r="A240" s="454" t="s">
        <v>255</v>
      </c>
      <c r="B240" s="455" t="s">
        <v>196</v>
      </c>
      <c r="C240" s="456">
        <v>1.0</v>
      </c>
      <c r="D240" s="456">
        <v>85.0</v>
      </c>
      <c r="E240" s="469">
        <v>2.0</v>
      </c>
      <c r="F240" s="457">
        <v>2.0</v>
      </c>
      <c r="G240" s="475"/>
      <c r="H240" s="475"/>
      <c r="I240" s="471">
        <f t="shared" si="22"/>
        <v>90.0</v>
      </c>
    </row>
    <row r="241" spans="8:8" s="445" ht="17.25" customFormat="1" customHeight="1">
      <c r="A241" s="454" t="s">
        <v>256</v>
      </c>
      <c r="B241" s="455" t="s">
        <v>196</v>
      </c>
      <c r="C241" s="456">
        <v>1.0</v>
      </c>
      <c r="D241" s="456">
        <v>85.0</v>
      </c>
      <c r="E241" s="469">
        <v>2.0</v>
      </c>
      <c r="F241" s="457">
        <v>2.0</v>
      </c>
      <c r="G241" s="475"/>
      <c r="H241" s="475"/>
      <c r="I241" s="471">
        <f t="shared" si="22"/>
        <v>90.0</v>
      </c>
    </row>
    <row r="242" spans="8:8" s="445" ht="17.25" customFormat="1" customHeight="1">
      <c r="A242" s="454" t="s">
        <v>257</v>
      </c>
      <c r="B242" s="455" t="s">
        <v>196</v>
      </c>
      <c r="C242" s="456">
        <v>1.0</v>
      </c>
      <c r="D242" s="456">
        <v>85.0</v>
      </c>
      <c r="E242" s="469">
        <v>2.0</v>
      </c>
      <c r="F242" s="457">
        <v>2.0</v>
      </c>
      <c r="G242" s="475"/>
      <c r="H242" s="475"/>
      <c r="I242" s="471">
        <f t="shared" si="22"/>
        <v>90.0</v>
      </c>
    </row>
    <row r="243" spans="8:8" s="445" ht="17.25" customFormat="1" customHeight="1">
      <c r="A243" s="454" t="s">
        <v>258</v>
      </c>
      <c r="B243" s="455" t="s">
        <v>196</v>
      </c>
      <c r="C243" s="456">
        <v>1.0</v>
      </c>
      <c r="D243" s="456">
        <v>85.0</v>
      </c>
      <c r="E243" s="469">
        <v>2.0</v>
      </c>
      <c r="F243" s="457">
        <v>2.0</v>
      </c>
      <c r="G243" s="475"/>
      <c r="H243" s="475"/>
      <c r="I243" s="471">
        <f t="shared" si="22"/>
        <v>90.0</v>
      </c>
    </row>
    <row r="244" spans="8:8" s="445" ht="17.25" customFormat="1" customHeight="1">
      <c r="A244" s="454" t="s">
        <v>259</v>
      </c>
      <c r="B244" s="455" t="s">
        <v>196</v>
      </c>
      <c r="C244" s="456">
        <v>1.0</v>
      </c>
      <c r="D244" s="456">
        <v>85.0</v>
      </c>
      <c r="E244" s="469">
        <v>2.0</v>
      </c>
      <c r="F244" s="457">
        <v>2.0</v>
      </c>
      <c r="G244" s="475"/>
      <c r="H244" s="475"/>
      <c r="I244" s="471">
        <f t="shared" si="22"/>
        <v>90.0</v>
      </c>
    </row>
    <row r="245" spans="8:8" s="445" ht="17.25" customFormat="1" customHeight="1">
      <c r="A245" s="454" t="s">
        <v>260</v>
      </c>
      <c r="B245" s="455" t="s">
        <v>196</v>
      </c>
      <c r="C245" s="456">
        <v>1.0</v>
      </c>
      <c r="D245" s="456">
        <v>125.0</v>
      </c>
      <c r="E245" s="469">
        <v>2.0</v>
      </c>
      <c r="F245" s="457">
        <v>2.0</v>
      </c>
      <c r="G245" s="475"/>
      <c r="H245" s="475"/>
      <c r="I245" s="471">
        <f t="shared" si="22"/>
        <v>130.0</v>
      </c>
    </row>
    <row r="246" spans="8:8" s="445" ht="17.25" customFormat="1" customHeight="1">
      <c r="A246" s="454" t="s">
        <v>262</v>
      </c>
      <c r="B246" s="455" t="s">
        <v>196</v>
      </c>
      <c r="C246" s="456">
        <v>1.0</v>
      </c>
      <c r="D246" s="456">
        <v>105.0</v>
      </c>
      <c r="E246" s="469">
        <v>2.0</v>
      </c>
      <c r="F246" s="457">
        <v>2.0</v>
      </c>
      <c r="G246" s="475"/>
      <c r="H246" s="475"/>
      <c r="I246" s="471">
        <f t="shared" si="22"/>
        <v>110.0</v>
      </c>
    </row>
    <row r="247" spans="8:8" s="445" ht="17.25" customFormat="1" customHeight="1">
      <c r="A247" s="454" t="s">
        <v>265</v>
      </c>
      <c r="B247" s="455" t="s">
        <v>196</v>
      </c>
      <c r="C247" s="456">
        <v>1.0</v>
      </c>
      <c r="D247" s="456">
        <v>85.0</v>
      </c>
      <c r="E247" s="469">
        <v>2.0</v>
      </c>
      <c r="F247" s="457">
        <v>2.0</v>
      </c>
      <c r="G247" s="475"/>
      <c r="H247" s="475"/>
      <c r="I247" s="471">
        <f t="shared" si="22"/>
        <v>90.0</v>
      </c>
    </row>
    <row r="248" spans="8:8" s="445" ht="17.25" customFormat="1" customHeight="1">
      <c r="A248" s="454" t="s">
        <v>266</v>
      </c>
      <c r="B248" s="455" t="s">
        <v>196</v>
      </c>
      <c r="C248" s="456">
        <v>1.0</v>
      </c>
      <c r="D248" s="456">
        <v>85.0</v>
      </c>
      <c r="E248" s="469">
        <v>2.0</v>
      </c>
      <c r="F248" s="457">
        <v>2.0</v>
      </c>
      <c r="G248" s="475"/>
      <c r="H248" s="475"/>
      <c r="I248" s="471">
        <f t="shared" si="22"/>
        <v>90.0</v>
      </c>
    </row>
    <row r="249" spans="8:8" s="445" ht="17.25" customFormat="1" customHeight="1">
      <c r="A249" s="454" t="s">
        <v>267</v>
      </c>
      <c r="B249" s="455" t="s">
        <v>196</v>
      </c>
      <c r="C249" s="456">
        <v>1.0</v>
      </c>
      <c r="D249" s="456">
        <v>95.0</v>
      </c>
      <c r="E249" s="469">
        <v>2.0</v>
      </c>
      <c r="F249" s="457">
        <v>2.0</v>
      </c>
      <c r="G249" s="475"/>
      <c r="H249" s="475"/>
      <c r="I249" s="471">
        <f t="shared" si="22"/>
        <v>100.0</v>
      </c>
    </row>
    <row r="250" spans="8:8" s="445" ht="17.25" customFormat="1" customHeight="1">
      <c r="A250" s="454" t="s">
        <v>268</v>
      </c>
      <c r="B250" s="455" t="s">
        <v>196</v>
      </c>
      <c r="C250" s="456">
        <v>1.0</v>
      </c>
      <c r="D250" s="456">
        <v>95.0</v>
      </c>
      <c r="E250" s="469">
        <v>2.0</v>
      </c>
      <c r="F250" s="457">
        <v>2.0</v>
      </c>
      <c r="G250" s="475"/>
      <c r="H250" s="475"/>
      <c r="I250" s="471">
        <f t="shared" si="23" ref="I250:I261">SUM(C250:H250)</f>
        <v>100.0</v>
      </c>
    </row>
    <row r="251" spans="8:8" s="445" ht="17.25" customFormat="1" customHeight="1">
      <c r="A251" s="454" t="s">
        <v>269</v>
      </c>
      <c r="B251" s="455" t="s">
        <v>196</v>
      </c>
      <c r="C251" s="456">
        <v>1.0</v>
      </c>
      <c r="D251" s="456">
        <v>95.0</v>
      </c>
      <c r="E251" s="469">
        <v>2.0</v>
      </c>
      <c r="F251" s="457">
        <v>2.0</v>
      </c>
      <c r="G251" s="475"/>
      <c r="H251" s="475"/>
      <c r="I251" s="471">
        <f t="shared" si="23"/>
        <v>100.0</v>
      </c>
    </row>
    <row r="252" spans="8:8" s="445" ht="17.25" customFormat="1" customHeight="1">
      <c r="A252" s="454" t="s">
        <v>270</v>
      </c>
      <c r="B252" s="455" t="s">
        <v>196</v>
      </c>
      <c r="C252" s="456">
        <v>1.0</v>
      </c>
      <c r="D252" s="456">
        <v>95.0</v>
      </c>
      <c r="E252" s="469">
        <v>2.0</v>
      </c>
      <c r="F252" s="457">
        <v>2.0</v>
      </c>
      <c r="G252" s="475"/>
      <c r="H252" s="475"/>
      <c r="I252" s="471">
        <f t="shared" si="23"/>
        <v>100.0</v>
      </c>
    </row>
    <row r="253" spans="8:8" s="445" ht="17.25" customFormat="1" customHeight="1">
      <c r="A253" s="454" t="s">
        <v>271</v>
      </c>
      <c r="B253" s="455" t="s">
        <v>196</v>
      </c>
      <c r="C253" s="456">
        <v>1.0</v>
      </c>
      <c r="D253" s="456">
        <v>95.0</v>
      </c>
      <c r="E253" s="469">
        <v>2.0</v>
      </c>
      <c r="F253" s="457">
        <v>2.0</v>
      </c>
      <c r="G253" s="475"/>
      <c r="H253" s="475"/>
      <c r="I253" s="471">
        <f t="shared" si="23"/>
        <v>100.0</v>
      </c>
    </row>
    <row r="254" spans="8:8" s="445" ht="17.25" customFormat="1" customHeight="1">
      <c r="A254" s="454" t="s">
        <v>272</v>
      </c>
      <c r="B254" s="455" t="s">
        <v>196</v>
      </c>
      <c r="C254" s="456">
        <v>1.0</v>
      </c>
      <c r="D254" s="456">
        <v>95.0</v>
      </c>
      <c r="E254" s="469">
        <v>2.0</v>
      </c>
      <c r="F254" s="457">
        <v>2.0</v>
      </c>
      <c r="G254" s="475"/>
      <c r="H254" s="475"/>
      <c r="I254" s="471">
        <f t="shared" si="23"/>
        <v>100.0</v>
      </c>
    </row>
    <row r="255" spans="8:8" s="445" ht="17.25" customFormat="1" customHeight="1">
      <c r="A255" s="454" t="s">
        <v>273</v>
      </c>
      <c r="B255" s="455" t="s">
        <v>196</v>
      </c>
      <c r="C255" s="456">
        <v>1.0</v>
      </c>
      <c r="D255" s="456">
        <v>95.0</v>
      </c>
      <c r="E255" s="469">
        <v>2.0</v>
      </c>
      <c r="F255" s="457">
        <v>2.0</v>
      </c>
      <c r="G255" s="475"/>
      <c r="H255" s="475"/>
      <c r="I255" s="471">
        <f t="shared" si="23"/>
        <v>100.0</v>
      </c>
    </row>
    <row r="256" spans="8:8" s="445" ht="17.25" customFormat="1" customHeight="1">
      <c r="A256" s="454" t="s">
        <v>274</v>
      </c>
      <c r="B256" s="455" t="s">
        <v>196</v>
      </c>
      <c r="C256" s="456">
        <v>1.0</v>
      </c>
      <c r="D256" s="456">
        <v>95.0</v>
      </c>
      <c r="E256" s="469">
        <v>2.0</v>
      </c>
      <c r="F256" s="457">
        <v>2.0</v>
      </c>
      <c r="G256" s="475"/>
      <c r="H256" s="475"/>
      <c r="I256" s="471">
        <f t="shared" si="23"/>
        <v>100.0</v>
      </c>
    </row>
    <row r="257" spans="8:8" s="445" ht="17.25" customFormat="1" customHeight="1">
      <c r="A257" s="454" t="s">
        <v>275</v>
      </c>
      <c r="B257" s="455" t="s">
        <v>196</v>
      </c>
      <c r="C257" s="456">
        <v>1.0</v>
      </c>
      <c r="D257" s="456">
        <v>95.0</v>
      </c>
      <c r="E257" s="469">
        <v>2.0</v>
      </c>
      <c r="F257" s="457">
        <v>2.0</v>
      </c>
      <c r="G257" s="475"/>
      <c r="H257" s="475"/>
      <c r="I257" s="471">
        <f t="shared" si="23"/>
        <v>100.0</v>
      </c>
    </row>
    <row r="258" spans="8:8" s="445" ht="17.25" customFormat="1" customHeight="1">
      <c r="A258" s="454" t="s">
        <v>276</v>
      </c>
      <c r="B258" s="455" t="s">
        <v>196</v>
      </c>
      <c r="C258" s="456">
        <v>1.0</v>
      </c>
      <c r="D258" s="456">
        <v>105.0</v>
      </c>
      <c r="E258" s="469">
        <v>2.0</v>
      </c>
      <c r="F258" s="457">
        <v>2.0</v>
      </c>
      <c r="G258" s="475"/>
      <c r="H258" s="475"/>
      <c r="I258" s="471">
        <f t="shared" si="23"/>
        <v>110.0</v>
      </c>
    </row>
    <row r="259" spans="8:8" s="445" ht="17.25" customFormat="1" customHeight="1">
      <c r="A259" s="507" t="s">
        <v>451</v>
      </c>
      <c r="B259" s="501" t="s">
        <v>453</v>
      </c>
      <c r="C259" s="502">
        <v>1.0</v>
      </c>
      <c r="D259" s="502">
        <v>155.0</v>
      </c>
      <c r="E259" s="503">
        <v>2.0</v>
      </c>
      <c r="F259" s="504">
        <v>2.0</v>
      </c>
      <c r="G259" s="505"/>
      <c r="H259" s="505"/>
      <c r="I259" s="506">
        <f t="shared" si="23"/>
        <v>160.0</v>
      </c>
    </row>
    <row r="260" spans="8:8" s="445" ht="17.25" customFormat="1" customHeight="1">
      <c r="A260" s="508" t="s">
        <v>450</v>
      </c>
      <c r="B260" s="455" t="s">
        <v>196</v>
      </c>
      <c r="C260" s="456">
        <v>1.0</v>
      </c>
      <c r="D260" s="456">
        <v>135.0</v>
      </c>
      <c r="E260" s="469">
        <v>2.0</v>
      </c>
      <c r="F260" s="457">
        <v>2.0</v>
      </c>
      <c r="G260" s="475"/>
      <c r="H260" s="475"/>
      <c r="I260" s="471">
        <f t="shared" si="23"/>
        <v>140.0</v>
      </c>
    </row>
    <row r="261" spans="8:8" s="445" ht="17.25" customFormat="1" customHeight="1">
      <c r="A261" s="479" t="s">
        <v>277</v>
      </c>
      <c r="B261" s="455" t="s">
        <v>196</v>
      </c>
      <c r="C261" s="456">
        <v>1.0</v>
      </c>
      <c r="D261" s="456">
        <v>85.0</v>
      </c>
      <c r="E261" s="469">
        <v>2.0</v>
      </c>
      <c r="F261" s="457">
        <v>2.0</v>
      </c>
      <c r="G261" s="475"/>
      <c r="H261" s="475"/>
      <c r="I261" s="471">
        <f t="shared" si="23"/>
        <v>90.0</v>
      </c>
    </row>
    <row r="262" spans="8:8" s="445" ht="17.25" customFormat="1" customHeight="1">
      <c r="A262" s="482" t="s">
        <v>280</v>
      </c>
      <c r="B262" s="490" t="s">
        <v>196</v>
      </c>
      <c r="C262" s="484">
        <v>38.0</v>
      </c>
      <c r="D262" s="484">
        <v>118.0</v>
      </c>
      <c r="E262" s="485">
        <v>2.0</v>
      </c>
      <c r="F262" s="485">
        <v>2.0</v>
      </c>
      <c r="G262" s="486"/>
      <c r="H262" s="486"/>
      <c r="I262" s="487">
        <f>SUM(C262:H262)</f>
        <v>160.0</v>
      </c>
    </row>
    <row r="263" spans="8:8" s="445" ht="17.25" customFormat="1" customHeight="1">
      <c r="A263" s="509" t="s">
        <v>281</v>
      </c>
      <c r="B263" s="510" t="s">
        <v>282</v>
      </c>
      <c r="C263" s="511">
        <v>250.0</v>
      </c>
      <c r="D263" s="511"/>
      <c r="E263" s="469"/>
      <c r="F263" s="469"/>
      <c r="G263" s="470"/>
      <c r="H263" s="470"/>
      <c r="I263" s="512">
        <f t="shared" si="24" ref="I263:I273">SUM(C263:H263)</f>
        <v>250.0</v>
      </c>
    </row>
    <row r="264" spans="8:8" s="445" ht="17.25" customFormat="1" customHeight="1">
      <c r="A264" s="513" t="s">
        <v>283</v>
      </c>
      <c r="B264" s="514" t="s">
        <v>282</v>
      </c>
      <c r="C264" s="515">
        <v>250.0</v>
      </c>
      <c r="D264" s="515"/>
      <c r="E264" s="485"/>
      <c r="F264" s="485"/>
      <c r="G264" s="486"/>
      <c r="H264" s="486"/>
      <c r="I264" s="516">
        <f t="shared" si="24"/>
        <v>250.0</v>
      </c>
    </row>
    <row r="265" spans="8:8" s="445" ht="17.25" customFormat="1" customHeight="1">
      <c r="A265" s="509" t="s">
        <v>284</v>
      </c>
      <c r="B265" s="510" t="s">
        <v>285</v>
      </c>
      <c r="C265" s="511">
        <v>2.0</v>
      </c>
      <c r="D265" s="511"/>
      <c r="E265" s="469"/>
      <c r="F265" s="469"/>
      <c r="G265" s="470"/>
      <c r="H265" s="470"/>
      <c r="I265" s="512">
        <f t="shared" si="24"/>
        <v>2.0</v>
      </c>
    </row>
    <row r="266" spans="8:8" s="445" ht="17.25" customFormat="1" customHeight="1">
      <c r="A266" s="517" t="s">
        <v>286</v>
      </c>
      <c r="B266" s="518" t="s">
        <v>285</v>
      </c>
      <c r="C266" s="519">
        <v>2.0</v>
      </c>
      <c r="D266" s="519"/>
      <c r="E266" s="457"/>
      <c r="F266" s="457"/>
      <c r="G266" s="475"/>
      <c r="H266" s="475"/>
      <c r="I266" s="520">
        <f t="shared" si="24"/>
        <v>2.0</v>
      </c>
    </row>
    <row r="267" spans="8:8" s="445" ht="17.25" customFormat="1" customHeight="1">
      <c r="A267" s="479" t="s">
        <v>4</v>
      </c>
      <c r="B267" s="474" t="s">
        <v>285</v>
      </c>
      <c r="C267" s="519">
        <v>2.0</v>
      </c>
      <c r="D267" s="519"/>
      <c r="E267" s="457"/>
      <c r="F267" s="457"/>
      <c r="G267" s="475"/>
      <c r="H267" s="475"/>
      <c r="I267" s="520">
        <f t="shared" si="24"/>
        <v>2.0</v>
      </c>
    </row>
    <row r="268" spans="8:8" s="445" ht="17.25" customFormat="1" customHeight="1">
      <c r="A268" s="479" t="s">
        <v>406</v>
      </c>
      <c r="B268" s="474" t="s">
        <v>285</v>
      </c>
      <c r="C268" s="519">
        <v>6.0</v>
      </c>
      <c r="D268" s="519"/>
      <c r="E268" s="457"/>
      <c r="F268" s="457"/>
      <c r="G268" s="475"/>
      <c r="H268" s="475"/>
      <c r="I268" s="520">
        <f t="shared" si="24"/>
        <v>6.0</v>
      </c>
    </row>
    <row r="269" spans="8:8" s="445" ht="17.25" customFormat="1" customHeight="1">
      <c r="A269" s="517" t="s">
        <v>287</v>
      </c>
      <c r="B269" s="474" t="s">
        <v>285</v>
      </c>
      <c r="C269" s="519">
        <v>4.0</v>
      </c>
      <c r="D269" s="519"/>
      <c r="E269" s="457"/>
      <c r="F269" s="457"/>
      <c r="G269" s="475"/>
      <c r="H269" s="475"/>
      <c r="I269" s="520">
        <f t="shared" si="24"/>
        <v>4.0</v>
      </c>
    </row>
    <row r="270" spans="8:8" s="445" ht="17.25" customFormat="1" customHeight="1">
      <c r="A270" s="479" t="s">
        <v>319</v>
      </c>
      <c r="B270" s="474" t="s">
        <v>285</v>
      </c>
      <c r="C270" s="519">
        <v>3.0</v>
      </c>
      <c r="D270" s="519"/>
      <c r="E270" s="457"/>
      <c r="F270" s="457"/>
      <c r="G270" s="475"/>
      <c r="H270" s="475"/>
      <c r="I270" s="520">
        <f t="shared" si="24"/>
        <v>3.0</v>
      </c>
    </row>
    <row r="271" spans="8:8" s="445" ht="17.25" customFormat="1" customHeight="1">
      <c r="A271" s="479" t="s">
        <v>5</v>
      </c>
      <c r="B271" s="474" t="s">
        <v>285</v>
      </c>
      <c r="C271" s="519">
        <v>2.0</v>
      </c>
      <c r="D271" s="519"/>
      <c r="E271" s="457"/>
      <c r="F271" s="457"/>
      <c r="G271" s="475"/>
      <c r="H271" s="475"/>
      <c r="I271" s="520">
        <f t="shared" si="24"/>
        <v>2.0</v>
      </c>
    </row>
    <row r="272" spans="8:8" s="445" ht="17.25" customFormat="1" customHeight="1">
      <c r="A272" s="521" t="s">
        <v>288</v>
      </c>
      <c r="B272" s="483" t="s">
        <v>285</v>
      </c>
      <c r="C272" s="515">
        <v>6.0</v>
      </c>
      <c r="D272" s="515"/>
      <c r="E272" s="485"/>
      <c r="F272" s="485"/>
      <c r="G272" s="486"/>
      <c r="H272" s="486"/>
      <c r="I272" s="516">
        <f t="shared" si="24"/>
        <v>6.0</v>
      </c>
    </row>
    <row r="273" spans="8:8" s="445" ht="17.25" customFormat="1" customHeight="1">
      <c r="A273" s="509" t="s">
        <v>291</v>
      </c>
      <c r="B273" s="510" t="s">
        <v>290</v>
      </c>
      <c r="C273" s="511">
        <v>20.0</v>
      </c>
      <c r="D273" s="511">
        <v>36.0</v>
      </c>
      <c r="E273" s="469">
        <v>2.0</v>
      </c>
      <c r="F273" s="469">
        <v>2.0</v>
      </c>
      <c r="G273" s="470"/>
      <c r="H273" s="470"/>
      <c r="I273" s="512">
        <f t="shared" si="24"/>
        <v>60.0</v>
      </c>
    </row>
    <row r="274" spans="8:8">
      <c r="A274" s="522"/>
      <c r="C274" s="161"/>
    </row>
    <row r="275" spans="8:8">
      <c r="A275" s="522"/>
      <c r="C275" s="161"/>
    </row>
    <row r="276" spans="8:8">
      <c r="A276" s="522"/>
    </row>
    <row r="277" spans="8:8">
      <c r="A277" s="522"/>
    </row>
    <row r="279" spans="8:8">
      <c r="A279" s="443" t="s">
        <v>351</v>
      </c>
    </row>
    <row r="288" spans="8:8">
      <c r="H288" s="351"/>
    </row>
    <row r="289" spans="8:8" s="49" ht="15.0" customFormat="1">
      <c r="A289" s="443"/>
      <c r="B289" s="192"/>
      <c r="C289" s="40"/>
      <c r="D289" s="163"/>
      <c r="E289" s="163"/>
      <c r="F289" s="163"/>
      <c r="G289" s="314"/>
      <c r="H289" s="351"/>
    </row>
    <row r="297" spans="8:8" s="49" ht="15.0" customFormat="1">
      <c r="A297" s="443"/>
      <c r="B297" s="192"/>
      <c r="C297" s="40"/>
      <c r="D297" s="163"/>
      <c r="E297" s="163"/>
      <c r="F297" s="163"/>
      <c r="G297" s="314"/>
      <c r="H297" s="351"/>
    </row>
    <row r="300" spans="8:8" s="49" ht="15.0" customFormat="1">
      <c r="A300" s="443"/>
      <c r="B300" s="192"/>
      <c r="C300" s="40"/>
      <c r="D300" s="163"/>
      <c r="E300" s="163"/>
      <c r="F300" s="163"/>
      <c r="G300" s="314"/>
      <c r="H300" s="351"/>
    </row>
    <row r="301" spans="8:8" s="49" ht="15.0" customFormat="1">
      <c r="A301" s="443"/>
      <c r="B301" s="192"/>
      <c r="C301" s="40"/>
      <c r="D301" s="163"/>
      <c r="E301" s="163"/>
      <c r="F301" s="163"/>
      <c r="G301" s="314"/>
      <c r="H301" s="351"/>
    </row>
    <row r="302" spans="8:8">
      <c r="H302" s="248"/>
    </row>
    <row r="303" spans="8:8">
      <c r="H303" s="248"/>
    </row>
  </sheetData>
  <mergeCells count="1">
    <mergeCell ref="A186:I186"/>
  </mergeCells>
  <pageMargins left="0.44" right="0.22" top="0.34" bottom="0.28" header="0.27" footer="0.19"/>
</worksheet>
</file>

<file path=xl/worksheets/sheet36.xml><?xml version="1.0" encoding="utf-8"?>
<worksheet xmlns:r="http://schemas.openxmlformats.org/officeDocument/2006/relationships" xmlns="http://schemas.openxmlformats.org/spreadsheetml/2006/main">
  <dimension ref="A1:P305"/>
  <sheetViews>
    <sheetView workbookViewId="0">
      <pane ySplit="5" topLeftCell="A6" state="frozen" activePane="bottomLeft"/>
      <selection pane="bottomLeft" activeCell="C10" sqref="C10:F10"/>
    </sheetView>
  </sheetViews>
  <sheetFormatPr defaultRowHeight="15.0" defaultColWidth="10"/>
  <cols>
    <col min="1" max="1" customWidth="1" width="49.42578" style="523"/>
    <col min="2" max="2" customWidth="1" width="14.285156" style="39"/>
    <col min="3" max="3" customWidth="1" width="9.7109375" style="40"/>
    <col min="4" max="6" customWidth="1" width="9.7109375" style="163"/>
    <col min="7" max="7" customWidth="1" width="9.7109375" style="314"/>
    <col min="8" max="8" customWidth="1" width="9.7109375" style="244"/>
    <col min="9" max="9" customWidth="1" width="17.0" style="39"/>
    <col min="10" max="12" customWidth="1" bestFit="1" width="16.0" style="39"/>
    <col min="13" max="13" customWidth="1" bestFit="1" width="17.285156" style="39"/>
    <col min="14" max="14" customWidth="0" width="11.425781" style="39"/>
    <col min="15" max="15" customWidth="1" bestFit="1" width="14.140625" style="39"/>
    <col min="16" max="16384" customWidth="0" width="11.425781" style="39"/>
  </cols>
  <sheetData>
    <row r="1" spans="8:8" ht="15.75">
      <c r="A1" s="524" t="s">
        <v>0</v>
      </c>
      <c r="B1" s="365" t="s">
        <v>1</v>
      </c>
      <c r="C1" s="366" t="s">
        <v>416</v>
      </c>
      <c r="D1" s="366" t="s">
        <v>3</v>
      </c>
      <c r="E1" s="367" t="s">
        <v>4</v>
      </c>
      <c r="F1" s="367" t="s">
        <v>5</v>
      </c>
      <c r="G1" s="367" t="s">
        <v>406</v>
      </c>
      <c r="H1" s="367" t="s">
        <v>319</v>
      </c>
      <c r="I1" s="368" t="s">
        <v>434</v>
      </c>
    </row>
    <row r="2" spans="8:8" ht="15.0" hidden="1">
      <c r="A2" s="525" t="s">
        <v>7</v>
      </c>
      <c r="B2" s="11" t="s">
        <v>8</v>
      </c>
      <c r="C2" s="118">
        <v>1.0</v>
      </c>
      <c r="D2" s="118">
        <v>15.0</v>
      </c>
      <c r="E2" s="370">
        <v>2.0</v>
      </c>
      <c r="F2" s="370">
        <v>2.0</v>
      </c>
      <c r="G2" s="316"/>
      <c r="H2" s="362"/>
      <c r="I2" s="168">
        <f>SUM(C2:H2)</f>
        <v>20.0</v>
      </c>
    </row>
    <row r="3" spans="8:8" ht="15.0" hidden="1">
      <c r="A3" s="526" t="s">
        <v>9</v>
      </c>
      <c r="B3" s="4" t="s">
        <v>8</v>
      </c>
      <c r="C3" s="118">
        <v>1.0</v>
      </c>
      <c r="D3" s="93">
        <v>15.0</v>
      </c>
      <c r="E3" s="370">
        <v>2.0</v>
      </c>
      <c r="F3" s="370">
        <v>2.0</v>
      </c>
      <c r="G3" s="329"/>
      <c r="H3" s="329"/>
      <c r="I3" s="168">
        <f t="shared" si="0" ref="I3:I5">SUM(C3:H3)</f>
        <v>20.0</v>
      </c>
    </row>
    <row r="4" spans="8:8" ht="15.0" hidden="1">
      <c r="A4" s="526" t="s">
        <v>10</v>
      </c>
      <c r="B4" s="4" t="s">
        <v>8</v>
      </c>
      <c r="C4" s="118">
        <v>1.0</v>
      </c>
      <c r="D4" s="93">
        <v>15.0</v>
      </c>
      <c r="E4" s="370">
        <v>2.0</v>
      </c>
      <c r="F4" s="370">
        <v>2.0</v>
      </c>
      <c r="G4" s="329"/>
      <c r="H4" s="329"/>
      <c r="I4" s="168">
        <f t="shared" si="0"/>
        <v>20.0</v>
      </c>
    </row>
    <row r="5" spans="8:8" ht="15.75" hidden="1">
      <c r="A5" s="527" t="s">
        <v>11</v>
      </c>
      <c r="B5" s="528" t="s">
        <v>8</v>
      </c>
      <c r="C5" s="109">
        <v>1.0</v>
      </c>
      <c r="D5" s="109">
        <v>15.0</v>
      </c>
      <c r="E5" s="463">
        <v>2.0</v>
      </c>
      <c r="F5" s="463">
        <v>2.0</v>
      </c>
      <c r="G5" s="464"/>
      <c r="H5" s="464"/>
      <c r="I5" s="529">
        <f t="shared" si="0"/>
        <v>20.0</v>
      </c>
    </row>
    <row r="6" spans="8:8" s="445" ht="17.25" customFormat="1" customHeight="1">
      <c r="A6" s="446" t="s">
        <v>7</v>
      </c>
      <c r="B6" s="447" t="s">
        <v>8</v>
      </c>
      <c r="C6" s="448">
        <v>1.0</v>
      </c>
      <c r="D6" s="449">
        <v>20.0</v>
      </c>
      <c r="E6" s="450">
        <f>C271</f>
        <v>4.0</v>
      </c>
      <c r="F6" s="450">
        <f>C275</f>
        <v>20.0</v>
      </c>
      <c r="G6" s="451"/>
      <c r="H6" s="452"/>
      <c r="I6" s="453">
        <v>20.0</v>
      </c>
    </row>
    <row r="7" spans="8:8" s="445" ht="17.25" customFormat="1" customHeight="1">
      <c r="A7" s="454" t="s">
        <v>9</v>
      </c>
      <c r="B7" s="455" t="s">
        <v>8</v>
      </c>
      <c r="C7" s="456">
        <v>1.0</v>
      </c>
      <c r="D7" s="456">
        <v>20.0</v>
      </c>
      <c r="E7" s="457">
        <v>2.0</v>
      </c>
      <c r="F7" s="457">
        <v>2.0</v>
      </c>
      <c r="G7" s="458"/>
      <c r="H7" s="458"/>
      <c r="I7" s="459">
        <v>20.0</v>
      </c>
    </row>
    <row r="8" spans="8:8" s="445" ht="17.25" customFormat="1" customHeight="1">
      <c r="A8" s="454" t="s">
        <v>10</v>
      </c>
      <c r="B8" s="455" t="s">
        <v>8</v>
      </c>
      <c r="C8" s="456">
        <v>1.0</v>
      </c>
      <c r="D8" s="456">
        <v>20.0</v>
      </c>
      <c r="E8" s="457">
        <v>2.0</v>
      </c>
      <c r="F8" s="457">
        <v>2.0</v>
      </c>
      <c r="G8" s="458"/>
      <c r="H8" s="458"/>
      <c r="I8" s="459">
        <v>20.0</v>
      </c>
    </row>
    <row r="9" spans="8:8" s="445" ht="17.25" customFormat="1" customHeight="1">
      <c r="A9" s="454" t="s">
        <v>11</v>
      </c>
      <c r="B9" s="455" t="s">
        <v>8</v>
      </c>
      <c r="C9" s="456">
        <v>1.0</v>
      </c>
      <c r="D9" s="456">
        <v>20.0</v>
      </c>
      <c r="E9" s="457">
        <v>2.0</v>
      </c>
      <c r="F9" s="457">
        <v>2.0</v>
      </c>
      <c r="G9" s="458"/>
      <c r="H9" s="458"/>
      <c r="I9" s="459">
        <v>20.0</v>
      </c>
    </row>
    <row r="10" spans="8:8" s="530" ht="44.25" customFormat="1" customHeight="1">
      <c r="A10" s="531" t="s">
        <v>462</v>
      </c>
      <c r="B10" s="532" t="s">
        <v>435</v>
      </c>
      <c r="C10" s="209">
        <v>8.0</v>
      </c>
      <c r="D10" s="209">
        <v>17.0</v>
      </c>
      <c r="E10" s="431">
        <v>6.0</v>
      </c>
      <c r="F10" s="431">
        <v>6.0</v>
      </c>
      <c r="G10" s="533"/>
      <c r="H10" s="431">
        <v>3.0</v>
      </c>
      <c r="I10" s="225">
        <f>SUM(C10:H10)</f>
        <v>40.0</v>
      </c>
      <c r="J10" s="534"/>
      <c r="K10" s="535"/>
    </row>
    <row r="11" spans="8:8" ht="45.75" hidden="1" customHeight="1">
      <c r="A11" s="536" t="s">
        <v>461</v>
      </c>
      <c r="B11" s="462" t="s">
        <v>435</v>
      </c>
      <c r="C11" s="109"/>
      <c r="D11" s="109">
        <v>45.0</v>
      </c>
      <c r="E11" s="463">
        <v>6.0</v>
      </c>
      <c r="F11" s="463">
        <v>6.0</v>
      </c>
      <c r="G11" s="464"/>
      <c r="H11" s="463">
        <v>3.0</v>
      </c>
      <c r="I11" s="465">
        <v>60.0</v>
      </c>
      <c r="J11" s="48"/>
      <c r="K11" s="212"/>
    </row>
    <row r="12" spans="8:8">
      <c r="A12" s="537" t="s">
        <v>426</v>
      </c>
      <c r="B12" s="25" t="s">
        <v>13</v>
      </c>
      <c r="C12" s="118">
        <v>18.0</v>
      </c>
      <c r="D12" s="118">
        <v>15.0</v>
      </c>
      <c r="E12" s="370">
        <v>2.0</v>
      </c>
      <c r="F12" s="370">
        <v>2.0</v>
      </c>
      <c r="G12" s="395"/>
      <c r="H12" s="370">
        <v>3.0</v>
      </c>
      <c r="I12" s="168">
        <f>SUM(C12:H12)</f>
        <v>40.0</v>
      </c>
    </row>
    <row r="13" spans="8:8" s="49" ht="15.0" customFormat="1">
      <c r="A13" s="538" t="s">
        <v>454</v>
      </c>
      <c r="B13" s="16" t="s">
        <v>13</v>
      </c>
      <c r="C13" s="93">
        <v>28.0</v>
      </c>
      <c r="D13" s="93">
        <v>25.0</v>
      </c>
      <c r="E13" s="372">
        <v>2.0</v>
      </c>
      <c r="F13" s="372">
        <v>2.0</v>
      </c>
      <c r="G13" s="360"/>
      <c r="H13" s="372">
        <v>3.0</v>
      </c>
      <c r="I13" s="17">
        <v>60.0</v>
      </c>
    </row>
    <row r="14" spans="8:8">
      <c r="A14" s="526" t="s">
        <v>15</v>
      </c>
      <c r="B14" s="4" t="s">
        <v>13</v>
      </c>
      <c r="C14" s="93">
        <v>18.0</v>
      </c>
      <c r="D14" s="93">
        <v>15.0</v>
      </c>
      <c r="E14" s="372">
        <v>2.0</v>
      </c>
      <c r="F14" s="372">
        <v>2.0</v>
      </c>
      <c r="G14" s="360"/>
      <c r="H14" s="372">
        <v>3.0</v>
      </c>
      <c r="I14" s="17">
        <f>SUM(C14:H14)</f>
        <v>40.0</v>
      </c>
    </row>
    <row r="15" spans="8:8">
      <c r="A15" s="526" t="s">
        <v>16</v>
      </c>
      <c r="B15" s="4" t="s">
        <v>13</v>
      </c>
      <c r="C15" s="93">
        <v>18.0</v>
      </c>
      <c r="D15" s="93">
        <v>15.0</v>
      </c>
      <c r="E15" s="372">
        <v>2.0</v>
      </c>
      <c r="F15" s="372">
        <v>2.0</v>
      </c>
      <c r="G15" s="360"/>
      <c r="H15" s="372">
        <v>3.0</v>
      </c>
      <c r="I15" s="17">
        <f t="shared" si="1" ref="I15:I55">SUM(C15:H15)</f>
        <v>40.0</v>
      </c>
    </row>
    <row r="16" spans="8:8">
      <c r="A16" s="526" t="s">
        <v>17</v>
      </c>
      <c r="B16" s="4" t="s">
        <v>13</v>
      </c>
      <c r="C16" s="93">
        <v>25.0</v>
      </c>
      <c r="D16" s="93">
        <v>33.0</v>
      </c>
      <c r="E16" s="372">
        <v>2.0</v>
      </c>
      <c r="F16" s="372">
        <v>2.0</v>
      </c>
      <c r="G16" s="360"/>
      <c r="H16" s="372">
        <v>3.0</v>
      </c>
      <c r="I16" s="17">
        <f t="shared" si="1"/>
        <v>65.0</v>
      </c>
    </row>
    <row r="17" spans="8:8">
      <c r="A17" s="526" t="s">
        <v>18</v>
      </c>
      <c r="B17" s="4" t="s">
        <v>13</v>
      </c>
      <c r="C17" s="93">
        <v>22.0</v>
      </c>
      <c r="D17" s="93">
        <v>21.0</v>
      </c>
      <c r="E17" s="372">
        <v>2.0</v>
      </c>
      <c r="F17" s="372">
        <v>2.0</v>
      </c>
      <c r="G17" s="360"/>
      <c r="H17" s="372">
        <v>3.0</v>
      </c>
      <c r="I17" s="17">
        <f t="shared" si="1"/>
        <v>50.0</v>
      </c>
    </row>
    <row r="18" spans="8:8">
      <c r="A18" s="526" t="s">
        <v>19</v>
      </c>
      <c r="B18" s="4" t="s">
        <v>13</v>
      </c>
      <c r="C18" s="93">
        <v>22.0</v>
      </c>
      <c r="D18" s="93">
        <v>21.0</v>
      </c>
      <c r="E18" s="372">
        <v>2.0</v>
      </c>
      <c r="F18" s="372">
        <v>2.0</v>
      </c>
      <c r="G18" s="360"/>
      <c r="H18" s="372">
        <v>3.0</v>
      </c>
      <c r="I18" s="17">
        <f t="shared" si="1"/>
        <v>50.0</v>
      </c>
    </row>
    <row r="19" spans="8:8">
      <c r="A19" s="539" t="s">
        <v>457</v>
      </c>
      <c r="B19" s="4" t="s">
        <v>13</v>
      </c>
      <c r="C19" s="93">
        <v>22.0</v>
      </c>
      <c r="D19" s="93">
        <v>21.0</v>
      </c>
      <c r="E19" s="372">
        <v>2.0</v>
      </c>
      <c r="F19" s="372">
        <v>2.0</v>
      </c>
      <c r="G19" s="360"/>
      <c r="H19" s="372">
        <v>3.0</v>
      </c>
      <c r="I19" s="17">
        <f t="shared" si="1"/>
        <v>50.0</v>
      </c>
    </row>
    <row r="20" spans="8:8">
      <c r="A20" s="540" t="s">
        <v>458</v>
      </c>
      <c r="B20" s="4" t="s">
        <v>13</v>
      </c>
      <c r="C20" s="93">
        <v>22.0</v>
      </c>
      <c r="D20" s="93">
        <v>21.0</v>
      </c>
      <c r="E20" s="372">
        <v>2.0</v>
      </c>
      <c r="F20" s="372">
        <v>2.0</v>
      </c>
      <c r="G20" s="360"/>
      <c r="H20" s="372">
        <v>3.0</v>
      </c>
      <c r="I20" s="17">
        <f t="shared" si="1"/>
        <v>50.0</v>
      </c>
    </row>
    <row r="21" spans="8:8">
      <c r="A21" s="540" t="s">
        <v>459</v>
      </c>
      <c r="B21" s="16" t="s">
        <v>13</v>
      </c>
      <c r="C21" s="93">
        <v>22.0</v>
      </c>
      <c r="D21" s="93">
        <v>21.0</v>
      </c>
      <c r="E21" s="372">
        <v>2.0</v>
      </c>
      <c r="F21" s="372">
        <v>2.0</v>
      </c>
      <c r="G21" s="360"/>
      <c r="H21" s="372">
        <v>3.0</v>
      </c>
      <c r="I21" s="17">
        <f t="shared" si="1"/>
        <v>50.0</v>
      </c>
    </row>
    <row r="22" spans="8:8">
      <c r="A22" s="540" t="s">
        <v>460</v>
      </c>
      <c r="B22" s="16" t="s">
        <v>13</v>
      </c>
      <c r="C22" s="93">
        <v>22.0</v>
      </c>
      <c r="D22" s="93">
        <v>21.0</v>
      </c>
      <c r="E22" s="372">
        <v>2.0</v>
      </c>
      <c r="F22" s="372">
        <v>2.0</v>
      </c>
      <c r="G22" s="360"/>
      <c r="H22" s="372">
        <v>3.0</v>
      </c>
      <c r="I22" s="17">
        <f t="shared" si="1"/>
        <v>50.0</v>
      </c>
    </row>
    <row r="23" spans="8:8">
      <c r="A23" s="526" t="s">
        <v>24</v>
      </c>
      <c r="B23" s="16" t="s">
        <v>13</v>
      </c>
      <c r="C23" s="93">
        <v>22.0</v>
      </c>
      <c r="D23" s="93">
        <v>21.0</v>
      </c>
      <c r="E23" s="372">
        <v>2.0</v>
      </c>
      <c r="F23" s="372">
        <v>2.0</v>
      </c>
      <c r="G23" s="360"/>
      <c r="H23" s="372">
        <v>3.0</v>
      </c>
      <c r="I23" s="17">
        <f t="shared" si="1"/>
        <v>50.0</v>
      </c>
    </row>
    <row r="24" spans="8:8">
      <c r="A24" s="526" t="s">
        <v>25</v>
      </c>
      <c r="B24" s="4" t="s">
        <v>13</v>
      </c>
      <c r="C24" s="93">
        <v>22.0</v>
      </c>
      <c r="D24" s="93">
        <v>21.0</v>
      </c>
      <c r="E24" s="372">
        <v>2.0</v>
      </c>
      <c r="F24" s="372">
        <v>2.0</v>
      </c>
      <c r="G24" s="360"/>
      <c r="H24" s="372">
        <v>3.0</v>
      </c>
      <c r="I24" s="17">
        <f t="shared" si="1"/>
        <v>50.0</v>
      </c>
    </row>
    <row r="25" spans="8:8">
      <c r="A25" s="526" t="s">
        <v>26</v>
      </c>
      <c r="B25" s="4" t="s">
        <v>13</v>
      </c>
      <c r="C25" s="93">
        <v>22.0</v>
      </c>
      <c r="D25" s="93">
        <v>21.0</v>
      </c>
      <c r="E25" s="372">
        <v>2.0</v>
      </c>
      <c r="F25" s="372">
        <v>2.0</v>
      </c>
      <c r="G25" s="360"/>
      <c r="H25" s="372">
        <v>3.0</v>
      </c>
      <c r="I25" s="17">
        <f t="shared" si="1"/>
        <v>50.0</v>
      </c>
    </row>
    <row r="26" spans="8:8">
      <c r="A26" s="526" t="s">
        <v>27</v>
      </c>
      <c r="B26" s="4" t="s">
        <v>13</v>
      </c>
      <c r="C26" s="93">
        <v>22.0</v>
      </c>
      <c r="D26" s="93">
        <v>21.0</v>
      </c>
      <c r="E26" s="372">
        <v>2.0</v>
      </c>
      <c r="F26" s="372">
        <v>2.0</v>
      </c>
      <c r="G26" s="360"/>
      <c r="H26" s="372">
        <v>3.0</v>
      </c>
      <c r="I26" s="17">
        <f t="shared" si="1"/>
        <v>50.0</v>
      </c>
    </row>
    <row r="27" spans="8:8">
      <c r="A27" s="526" t="s">
        <v>28</v>
      </c>
      <c r="B27" s="4" t="s">
        <v>13</v>
      </c>
      <c r="C27" s="93">
        <v>22.0</v>
      </c>
      <c r="D27" s="93">
        <v>21.0</v>
      </c>
      <c r="E27" s="372">
        <v>2.0</v>
      </c>
      <c r="F27" s="372">
        <v>2.0</v>
      </c>
      <c r="G27" s="360"/>
      <c r="H27" s="372">
        <v>3.0</v>
      </c>
      <c r="I27" s="17">
        <f t="shared" si="1"/>
        <v>50.0</v>
      </c>
    </row>
    <row r="28" spans="8:8">
      <c r="A28" s="526" t="s">
        <v>29</v>
      </c>
      <c r="B28" s="4" t="s">
        <v>13</v>
      </c>
      <c r="C28" s="93">
        <v>22.0</v>
      </c>
      <c r="D28" s="93">
        <v>21.0</v>
      </c>
      <c r="E28" s="372">
        <v>2.0</v>
      </c>
      <c r="F28" s="372">
        <v>2.0</v>
      </c>
      <c r="G28" s="360"/>
      <c r="H28" s="372">
        <v>3.0</v>
      </c>
      <c r="I28" s="17">
        <f t="shared" si="1"/>
        <v>50.0</v>
      </c>
    </row>
    <row r="29" spans="8:8">
      <c r="A29" s="539" t="s">
        <v>427</v>
      </c>
      <c r="B29" s="4" t="s">
        <v>13</v>
      </c>
      <c r="C29" s="93">
        <v>22.0</v>
      </c>
      <c r="D29" s="93">
        <v>21.0</v>
      </c>
      <c r="E29" s="372">
        <v>2.0</v>
      </c>
      <c r="F29" s="372">
        <v>2.0</v>
      </c>
      <c r="G29" s="360"/>
      <c r="H29" s="372">
        <v>3.0</v>
      </c>
      <c r="I29" s="17">
        <f t="shared" si="1"/>
        <v>50.0</v>
      </c>
    </row>
    <row r="30" spans="8:8">
      <c r="A30" s="526" t="s">
        <v>31</v>
      </c>
      <c r="B30" s="4" t="s">
        <v>13</v>
      </c>
      <c r="C30" s="93">
        <v>22.0</v>
      </c>
      <c r="D30" s="93">
        <v>21.0</v>
      </c>
      <c r="E30" s="372">
        <v>2.0</v>
      </c>
      <c r="F30" s="372">
        <v>2.0</v>
      </c>
      <c r="G30" s="360"/>
      <c r="H30" s="372">
        <v>3.0</v>
      </c>
      <c r="I30" s="17">
        <f t="shared" si="1"/>
        <v>50.0</v>
      </c>
    </row>
    <row r="31" spans="8:8">
      <c r="A31" s="526" t="s">
        <v>32</v>
      </c>
      <c r="B31" s="4" t="s">
        <v>13</v>
      </c>
      <c r="C31" s="93">
        <v>28.0</v>
      </c>
      <c r="D31" s="93">
        <v>25.0</v>
      </c>
      <c r="E31" s="372">
        <v>2.0</v>
      </c>
      <c r="F31" s="372">
        <v>2.0</v>
      </c>
      <c r="G31" s="360"/>
      <c r="H31" s="372">
        <v>3.0</v>
      </c>
      <c r="I31" s="17">
        <f t="shared" si="1"/>
        <v>60.0</v>
      </c>
    </row>
    <row r="32" spans="8:8">
      <c r="A32" s="526" t="s">
        <v>33</v>
      </c>
      <c r="B32" s="4" t="s">
        <v>13</v>
      </c>
      <c r="C32" s="93">
        <v>15.0</v>
      </c>
      <c r="D32" s="93">
        <v>18.0</v>
      </c>
      <c r="E32" s="372">
        <v>2.0</v>
      </c>
      <c r="F32" s="372">
        <v>2.0</v>
      </c>
      <c r="G32" s="360"/>
      <c r="H32" s="372">
        <v>3.0</v>
      </c>
      <c r="I32" s="17">
        <f t="shared" si="1"/>
        <v>40.0</v>
      </c>
    </row>
    <row r="33" spans="8:8">
      <c r="A33" s="526" t="s">
        <v>34</v>
      </c>
      <c r="B33" s="4" t="s">
        <v>13</v>
      </c>
      <c r="C33" s="93">
        <v>18.0</v>
      </c>
      <c r="D33" s="93">
        <v>15.0</v>
      </c>
      <c r="E33" s="372">
        <v>2.0</v>
      </c>
      <c r="F33" s="372">
        <v>2.0</v>
      </c>
      <c r="G33" s="360"/>
      <c r="H33" s="372">
        <v>3.0</v>
      </c>
      <c r="I33" s="17">
        <f t="shared" si="1"/>
        <v>40.0</v>
      </c>
    </row>
    <row r="34" spans="8:8">
      <c r="A34" s="526" t="s">
        <v>35</v>
      </c>
      <c r="B34" s="4" t="s">
        <v>13</v>
      </c>
      <c r="C34" s="93">
        <v>18.0</v>
      </c>
      <c r="D34" s="93">
        <v>15.0</v>
      </c>
      <c r="E34" s="372">
        <v>2.0</v>
      </c>
      <c r="F34" s="372">
        <v>2.0</v>
      </c>
      <c r="G34" s="360"/>
      <c r="H34" s="372">
        <v>3.0</v>
      </c>
      <c r="I34" s="17">
        <f t="shared" si="1"/>
        <v>40.0</v>
      </c>
    </row>
    <row r="35" spans="8:8">
      <c r="A35" s="526" t="s">
        <v>36</v>
      </c>
      <c r="B35" s="4" t="s">
        <v>13</v>
      </c>
      <c r="C35" s="93">
        <v>18.0</v>
      </c>
      <c r="D35" s="93">
        <v>15.0</v>
      </c>
      <c r="E35" s="372">
        <v>2.0</v>
      </c>
      <c r="F35" s="372">
        <v>2.0</v>
      </c>
      <c r="G35" s="360"/>
      <c r="H35" s="372">
        <v>3.0</v>
      </c>
      <c r="I35" s="17">
        <f t="shared" si="1"/>
        <v>40.0</v>
      </c>
    </row>
    <row r="36" spans="8:8" s="192" ht="28.5" customFormat="1">
      <c r="A36" s="480" t="s">
        <v>455</v>
      </c>
      <c r="B36" s="374" t="s">
        <v>13</v>
      </c>
      <c r="C36" s="541">
        <v>11.0</v>
      </c>
      <c r="D36" s="541">
        <v>12.0</v>
      </c>
      <c r="E36" s="542">
        <v>2.0</v>
      </c>
      <c r="F36" s="542">
        <v>2.0</v>
      </c>
      <c r="G36" s="542"/>
      <c r="H36" s="542">
        <v>3.0</v>
      </c>
      <c r="I36" s="542">
        <f t="shared" si="1"/>
        <v>30.0</v>
      </c>
    </row>
    <row r="37" spans="8:8">
      <c r="A37" s="526" t="s">
        <v>38</v>
      </c>
      <c r="B37" s="4" t="s">
        <v>13</v>
      </c>
      <c r="C37" s="93">
        <v>18.0</v>
      </c>
      <c r="D37" s="93">
        <v>10.0</v>
      </c>
      <c r="E37" s="372">
        <v>2.0</v>
      </c>
      <c r="F37" s="372">
        <v>2.0</v>
      </c>
      <c r="G37" s="360"/>
      <c r="H37" s="372">
        <v>3.0</v>
      </c>
      <c r="I37" s="17">
        <f t="shared" si="1"/>
        <v>35.0</v>
      </c>
    </row>
    <row r="38" spans="8:8">
      <c r="A38" s="543" t="s">
        <v>39</v>
      </c>
      <c r="B38" s="4" t="s">
        <v>13</v>
      </c>
      <c r="C38" s="93">
        <v>18.0</v>
      </c>
      <c r="D38" s="93">
        <v>15.0</v>
      </c>
      <c r="E38" s="372">
        <v>2.0</v>
      </c>
      <c r="F38" s="372">
        <v>2.0</v>
      </c>
      <c r="G38" s="360"/>
      <c r="H38" s="372">
        <v>3.0</v>
      </c>
      <c r="I38" s="17">
        <f t="shared" si="1"/>
        <v>40.0</v>
      </c>
    </row>
    <row r="39" spans="8:8" s="49" ht="15.0" customFormat="1">
      <c r="A39" s="526" t="s">
        <v>40</v>
      </c>
      <c r="B39" s="16" t="s">
        <v>13</v>
      </c>
      <c r="C39" s="93">
        <v>18.0</v>
      </c>
      <c r="D39" s="93">
        <v>15.0</v>
      </c>
      <c r="E39" s="372">
        <v>2.0</v>
      </c>
      <c r="F39" s="372">
        <v>2.0</v>
      </c>
      <c r="G39" s="360"/>
      <c r="H39" s="372">
        <v>3.0</v>
      </c>
      <c r="I39" s="17">
        <f t="shared" si="1"/>
        <v>40.0</v>
      </c>
    </row>
    <row r="40" spans="8:8">
      <c r="A40" s="543" t="s">
        <v>41</v>
      </c>
      <c r="B40" s="16" t="s">
        <v>13</v>
      </c>
      <c r="C40" s="93">
        <v>18.0</v>
      </c>
      <c r="D40" s="93">
        <v>15.0</v>
      </c>
      <c r="E40" s="372">
        <v>2.0</v>
      </c>
      <c r="F40" s="372">
        <v>2.0</v>
      </c>
      <c r="G40" s="360"/>
      <c r="H40" s="372">
        <v>3.0</v>
      </c>
      <c r="I40" s="17">
        <f t="shared" si="1"/>
        <v>40.0</v>
      </c>
    </row>
    <row r="41" spans="8:8" s="49" ht="15.0" customFormat="1">
      <c r="A41" s="539" t="s">
        <v>429</v>
      </c>
      <c r="B41" s="16" t="s">
        <v>13</v>
      </c>
      <c r="C41" s="93">
        <v>18.0</v>
      </c>
      <c r="D41" s="93">
        <v>15.0</v>
      </c>
      <c r="E41" s="372">
        <v>2.0</v>
      </c>
      <c r="F41" s="372">
        <v>2.0</v>
      </c>
      <c r="G41" s="360"/>
      <c r="H41" s="372">
        <v>3.0</v>
      </c>
      <c r="I41" s="17">
        <f t="shared" si="1"/>
        <v>40.0</v>
      </c>
    </row>
    <row r="42" spans="8:8">
      <c r="A42" s="526" t="s">
        <v>43</v>
      </c>
      <c r="B42" s="4" t="s">
        <v>13</v>
      </c>
      <c r="C42" s="93">
        <v>18.0</v>
      </c>
      <c r="D42" s="93">
        <v>15.0</v>
      </c>
      <c r="E42" s="372">
        <v>2.0</v>
      </c>
      <c r="F42" s="372">
        <v>2.0</v>
      </c>
      <c r="G42" s="360"/>
      <c r="H42" s="372">
        <v>3.0</v>
      </c>
      <c r="I42" s="17">
        <f t="shared" si="1"/>
        <v>40.0</v>
      </c>
    </row>
    <row r="43" spans="8:8">
      <c r="A43" s="539" t="s">
        <v>430</v>
      </c>
      <c r="B43" s="4" t="s">
        <v>13</v>
      </c>
      <c r="C43" s="93">
        <v>18.0</v>
      </c>
      <c r="D43" s="93">
        <v>15.0</v>
      </c>
      <c r="E43" s="372">
        <v>2.0</v>
      </c>
      <c r="F43" s="372">
        <v>2.0</v>
      </c>
      <c r="G43" s="360"/>
      <c r="H43" s="372">
        <v>3.0</v>
      </c>
      <c r="I43" s="17">
        <f t="shared" si="1"/>
        <v>40.0</v>
      </c>
    </row>
    <row r="44" spans="8:8">
      <c r="A44" s="526" t="s">
        <v>45</v>
      </c>
      <c r="B44" s="4" t="s">
        <v>13</v>
      </c>
      <c r="C44" s="93">
        <v>40.0</v>
      </c>
      <c r="D44" s="93">
        <v>33.0</v>
      </c>
      <c r="E44" s="372">
        <v>2.0</v>
      </c>
      <c r="F44" s="372">
        <v>2.0</v>
      </c>
      <c r="G44" s="360"/>
      <c r="H44" s="372">
        <v>3.0</v>
      </c>
      <c r="I44" s="17">
        <f t="shared" si="1"/>
        <v>80.0</v>
      </c>
    </row>
    <row r="45" spans="8:8">
      <c r="A45" s="526" t="s">
        <v>46</v>
      </c>
      <c r="B45" s="4" t="s">
        <v>13</v>
      </c>
      <c r="C45" s="93">
        <v>59.0</v>
      </c>
      <c r="D45" s="93">
        <v>14.0</v>
      </c>
      <c r="E45" s="372">
        <v>2.0</v>
      </c>
      <c r="F45" s="372">
        <v>2.0</v>
      </c>
      <c r="G45" s="360"/>
      <c r="H45" s="372">
        <v>3.0</v>
      </c>
      <c r="I45" s="17">
        <f t="shared" si="1"/>
        <v>80.0</v>
      </c>
    </row>
    <row r="46" spans="8:8">
      <c r="A46" s="526" t="s">
        <v>47</v>
      </c>
      <c r="B46" s="4" t="s">
        <v>13</v>
      </c>
      <c r="C46" s="93">
        <v>59.0</v>
      </c>
      <c r="D46" s="93">
        <v>34.0</v>
      </c>
      <c r="E46" s="372">
        <v>2.0</v>
      </c>
      <c r="F46" s="372">
        <v>2.0</v>
      </c>
      <c r="G46" s="360"/>
      <c r="H46" s="372">
        <v>3.0</v>
      </c>
      <c r="I46" s="17">
        <f t="shared" si="1"/>
        <v>100.0</v>
      </c>
    </row>
    <row r="47" spans="8:8">
      <c r="A47" s="526" t="s">
        <v>48</v>
      </c>
      <c r="B47" s="4" t="s">
        <v>13</v>
      </c>
      <c r="C47" s="93">
        <v>20.0</v>
      </c>
      <c r="D47" s="93">
        <v>33.0</v>
      </c>
      <c r="E47" s="372">
        <v>2.0</v>
      </c>
      <c r="F47" s="372">
        <v>2.0</v>
      </c>
      <c r="G47" s="360"/>
      <c r="H47" s="372">
        <v>3.0</v>
      </c>
      <c r="I47" s="17">
        <f t="shared" si="1"/>
        <v>60.0</v>
      </c>
    </row>
    <row r="48" spans="8:8">
      <c r="A48" s="526" t="s">
        <v>49</v>
      </c>
      <c r="B48" s="4" t="s">
        <v>13</v>
      </c>
      <c r="C48" s="93">
        <v>18.0</v>
      </c>
      <c r="D48" s="93">
        <v>15.0</v>
      </c>
      <c r="E48" s="372">
        <v>2.0</v>
      </c>
      <c r="F48" s="372">
        <v>2.0</v>
      </c>
      <c r="G48" s="360"/>
      <c r="H48" s="372">
        <v>3.0</v>
      </c>
      <c r="I48" s="17">
        <f t="shared" si="1"/>
        <v>40.0</v>
      </c>
    </row>
    <row r="49" spans="8:8">
      <c r="A49" s="540" t="s">
        <v>431</v>
      </c>
      <c r="B49" s="4" t="s">
        <v>13</v>
      </c>
      <c r="C49" s="93">
        <v>18.0</v>
      </c>
      <c r="D49" s="93">
        <v>15.0</v>
      </c>
      <c r="E49" s="372">
        <v>2.0</v>
      </c>
      <c r="F49" s="372">
        <v>2.0</v>
      </c>
      <c r="G49" s="360"/>
      <c r="H49" s="372">
        <v>3.0</v>
      </c>
      <c r="I49" s="17">
        <f t="shared" si="1"/>
        <v>40.0</v>
      </c>
    </row>
    <row r="50" spans="8:8" s="49" ht="15.0" customFormat="1">
      <c r="A50" s="526" t="s">
        <v>51</v>
      </c>
      <c r="B50" s="16" t="s">
        <v>13</v>
      </c>
      <c r="C50" s="93">
        <v>18.0</v>
      </c>
      <c r="D50" s="93">
        <v>15.0</v>
      </c>
      <c r="E50" s="372">
        <v>2.0</v>
      </c>
      <c r="F50" s="372">
        <v>2.0</v>
      </c>
      <c r="G50" s="360"/>
      <c r="H50" s="372">
        <v>3.0</v>
      </c>
      <c r="I50" s="17">
        <f t="shared" si="1"/>
        <v>40.0</v>
      </c>
    </row>
    <row r="51" spans="8:8">
      <c r="A51" s="526" t="s">
        <v>52</v>
      </c>
      <c r="B51" s="4" t="s">
        <v>13</v>
      </c>
      <c r="C51" s="93">
        <v>18.0</v>
      </c>
      <c r="D51" s="93">
        <v>15.0</v>
      </c>
      <c r="E51" s="372">
        <v>2.0</v>
      </c>
      <c r="F51" s="372">
        <v>2.0</v>
      </c>
      <c r="G51" s="360"/>
      <c r="H51" s="372">
        <v>3.0</v>
      </c>
      <c r="I51" s="17">
        <f t="shared" si="1"/>
        <v>40.0</v>
      </c>
    </row>
    <row r="52" spans="8:8">
      <c r="A52" s="526" t="s">
        <v>53</v>
      </c>
      <c r="B52" s="4" t="s">
        <v>13</v>
      </c>
      <c r="C52" s="93">
        <v>18.0</v>
      </c>
      <c r="D52" s="93">
        <v>15.0</v>
      </c>
      <c r="E52" s="372">
        <v>2.0</v>
      </c>
      <c r="F52" s="372">
        <v>2.0</v>
      </c>
      <c r="G52" s="360"/>
      <c r="H52" s="372">
        <v>3.0</v>
      </c>
      <c r="I52" s="17">
        <f t="shared" si="1"/>
        <v>40.0</v>
      </c>
    </row>
    <row r="53" spans="8:8">
      <c r="A53" s="526" t="s">
        <v>54</v>
      </c>
      <c r="B53" s="4" t="s">
        <v>13</v>
      </c>
      <c r="C53" s="93">
        <v>18.0</v>
      </c>
      <c r="D53" s="93">
        <v>15.0</v>
      </c>
      <c r="E53" s="372">
        <v>2.0</v>
      </c>
      <c r="F53" s="372">
        <v>2.0</v>
      </c>
      <c r="G53" s="360"/>
      <c r="H53" s="372">
        <v>3.0</v>
      </c>
      <c r="I53" s="17">
        <f t="shared" si="1"/>
        <v>40.0</v>
      </c>
    </row>
    <row r="54" spans="8:8">
      <c r="A54" s="543" t="s">
        <v>55</v>
      </c>
      <c r="B54" s="4" t="s">
        <v>13</v>
      </c>
      <c r="C54" s="93">
        <v>18.0</v>
      </c>
      <c r="D54" s="93">
        <v>15.0</v>
      </c>
      <c r="E54" s="372">
        <v>2.0</v>
      </c>
      <c r="F54" s="372">
        <v>2.0</v>
      </c>
      <c r="G54" s="360"/>
      <c r="H54" s="372">
        <v>3.0</v>
      </c>
      <c r="I54" s="17">
        <f t="shared" si="1"/>
        <v>40.0</v>
      </c>
    </row>
    <row r="55" spans="8:8" s="49" ht="15.75" customFormat="1">
      <c r="A55" s="527" t="s">
        <v>56</v>
      </c>
      <c r="B55" s="544" t="s">
        <v>13</v>
      </c>
      <c r="C55" s="109">
        <v>18.0</v>
      </c>
      <c r="D55" s="109">
        <v>15.0</v>
      </c>
      <c r="E55" s="463">
        <v>2.0</v>
      </c>
      <c r="F55" s="463">
        <v>2.0</v>
      </c>
      <c r="G55" s="545"/>
      <c r="H55" s="463">
        <v>3.0</v>
      </c>
      <c r="I55" s="529">
        <f t="shared" si="1"/>
        <v>40.0</v>
      </c>
    </row>
    <row r="56" spans="8:8">
      <c r="A56" s="525" t="s">
        <v>57</v>
      </c>
      <c r="B56" s="11" t="s">
        <v>60</v>
      </c>
      <c r="C56" s="118">
        <v>1.0</v>
      </c>
      <c r="D56" s="118">
        <v>25.0</v>
      </c>
      <c r="E56" s="370">
        <v>2.0</v>
      </c>
      <c r="F56" s="370">
        <v>2.0</v>
      </c>
      <c r="G56" s="395"/>
      <c r="H56" s="395"/>
      <c r="I56" s="168">
        <f>SUM(C56:H56)</f>
        <v>30.0</v>
      </c>
    </row>
    <row r="57" spans="8:8">
      <c r="A57" s="526" t="s">
        <v>58</v>
      </c>
      <c r="B57" s="4" t="s">
        <v>60</v>
      </c>
      <c r="C57" s="93">
        <v>1.0</v>
      </c>
      <c r="D57" s="93">
        <v>25.0</v>
      </c>
      <c r="E57" s="372">
        <v>2.0</v>
      </c>
      <c r="F57" s="372">
        <v>2.0</v>
      </c>
      <c r="G57" s="360"/>
      <c r="H57" s="360"/>
      <c r="I57" s="168">
        <f t="shared" si="2" ref="I57:I61">SUM(C57:H57)</f>
        <v>30.0</v>
      </c>
    </row>
    <row r="58" spans="8:8">
      <c r="A58" s="526" t="s">
        <v>59</v>
      </c>
      <c r="B58" s="4" t="s">
        <v>60</v>
      </c>
      <c r="C58" s="93">
        <v>1.0</v>
      </c>
      <c r="D58" s="93">
        <v>25.0</v>
      </c>
      <c r="E58" s="372">
        <v>2.0</v>
      </c>
      <c r="F58" s="372">
        <v>2.0</v>
      </c>
      <c r="G58" s="360"/>
      <c r="H58" s="360"/>
      <c r="I58" s="168">
        <f t="shared" si="2"/>
        <v>30.0</v>
      </c>
    </row>
    <row r="59" spans="8:8">
      <c r="A59" s="526" t="s">
        <v>61</v>
      </c>
      <c r="B59" s="4" t="s">
        <v>60</v>
      </c>
      <c r="C59" s="93">
        <v>1.0</v>
      </c>
      <c r="D59" s="93">
        <v>25.0</v>
      </c>
      <c r="E59" s="372">
        <v>2.0</v>
      </c>
      <c r="F59" s="372">
        <v>2.0</v>
      </c>
      <c r="G59" s="360"/>
      <c r="H59" s="360"/>
      <c r="I59" s="168">
        <f t="shared" si="2"/>
        <v>30.0</v>
      </c>
    </row>
    <row r="60" spans="8:8">
      <c r="A60" s="526" t="s">
        <v>62</v>
      </c>
      <c r="B60" s="4" t="s">
        <v>60</v>
      </c>
      <c r="C60" s="93">
        <v>1.0</v>
      </c>
      <c r="D60" s="93">
        <v>25.0</v>
      </c>
      <c r="E60" s="372">
        <v>2.0</v>
      </c>
      <c r="F60" s="372">
        <v>2.0</v>
      </c>
      <c r="G60" s="360"/>
      <c r="H60" s="360"/>
      <c r="I60" s="168">
        <f t="shared" si="2"/>
        <v>30.0</v>
      </c>
    </row>
    <row r="61" spans="8:8" ht="15.75">
      <c r="A61" s="527" t="s">
        <v>63</v>
      </c>
      <c r="B61" s="528" t="s">
        <v>60</v>
      </c>
      <c r="C61" s="109">
        <v>1.0</v>
      </c>
      <c r="D61" s="109">
        <v>15.0</v>
      </c>
      <c r="E61" s="463">
        <v>2.0</v>
      </c>
      <c r="F61" s="463">
        <v>2.0</v>
      </c>
      <c r="G61" s="545"/>
      <c r="H61" s="545"/>
      <c r="I61" s="529">
        <f t="shared" si="2"/>
        <v>20.0</v>
      </c>
      <c r="J61" s="411"/>
      <c r="K61" s="49"/>
      <c r="L61" s="49"/>
      <c r="M61" s="49"/>
      <c r="N61" s="49"/>
    </row>
    <row r="62" spans="8:8" s="49" ht="15.0" customFormat="1">
      <c r="A62" s="546" t="s">
        <v>64</v>
      </c>
      <c r="B62" s="25" t="s">
        <v>65</v>
      </c>
      <c r="C62" s="118">
        <v>1.0</v>
      </c>
      <c r="D62" s="118">
        <v>4.0</v>
      </c>
      <c r="E62" s="370">
        <v>2.0</v>
      </c>
      <c r="F62" s="370">
        <v>2.0</v>
      </c>
      <c r="G62" s="370">
        <v>6.0</v>
      </c>
      <c r="H62" s="395"/>
      <c r="I62" s="168">
        <v>15.0</v>
      </c>
      <c r="J62" s="413"/>
      <c r="K62" s="414"/>
      <c r="L62" s="414"/>
      <c r="M62" s="414"/>
      <c r="O62" s="415">
        <f>SUM(J62:N62)</f>
        <v>0.0</v>
      </c>
    </row>
    <row r="63" spans="8:8" ht="45.0">
      <c r="A63" s="480" t="s">
        <v>456</v>
      </c>
      <c r="B63" s="374" t="s">
        <v>65</v>
      </c>
      <c r="C63" s="93">
        <v>1.0</v>
      </c>
      <c r="D63" s="93">
        <v>9.0</v>
      </c>
      <c r="E63" s="372">
        <v>2.0</v>
      </c>
      <c r="F63" s="372">
        <v>2.0</v>
      </c>
      <c r="G63" s="370">
        <v>6.0</v>
      </c>
      <c r="H63" s="360"/>
      <c r="I63" s="168">
        <v>20.0</v>
      </c>
    </row>
    <row r="64" spans="8:8">
      <c r="A64" s="526" t="s">
        <v>67</v>
      </c>
      <c r="B64" s="25" t="s">
        <v>65</v>
      </c>
      <c r="C64" s="118">
        <v>1.0</v>
      </c>
      <c r="D64" s="118">
        <v>4.0</v>
      </c>
      <c r="E64" s="370">
        <v>2.0</v>
      </c>
      <c r="F64" s="370">
        <v>2.0</v>
      </c>
      <c r="G64" s="370">
        <v>6.0</v>
      </c>
      <c r="H64" s="395"/>
      <c r="I64" s="168">
        <v>15.0</v>
      </c>
    </row>
    <row r="65" spans="8:8">
      <c r="A65" s="526" t="s">
        <v>68</v>
      </c>
      <c r="B65" s="4" t="s">
        <v>65</v>
      </c>
      <c r="C65" s="93">
        <v>1.0</v>
      </c>
      <c r="D65" s="93">
        <v>9.0</v>
      </c>
      <c r="E65" s="372">
        <v>2.0</v>
      </c>
      <c r="F65" s="372">
        <v>2.0</v>
      </c>
      <c r="G65" s="370">
        <v>6.0</v>
      </c>
      <c r="H65" s="360"/>
      <c r="I65" s="168">
        <v>20.0</v>
      </c>
    </row>
    <row r="66" spans="8:8">
      <c r="A66" s="526" t="s">
        <v>69</v>
      </c>
      <c r="B66" s="4" t="s">
        <v>65</v>
      </c>
      <c r="C66" s="93">
        <v>1.0</v>
      </c>
      <c r="D66" s="93">
        <v>39.0</v>
      </c>
      <c r="E66" s="372">
        <v>2.0</v>
      </c>
      <c r="F66" s="372">
        <v>2.0</v>
      </c>
      <c r="G66" s="370">
        <v>6.0</v>
      </c>
      <c r="H66" s="360"/>
      <c r="I66" s="168">
        <f t="shared" si="3" ref="I66:I126">SUM(C66:H66)</f>
        <v>50.0</v>
      </c>
      <c r="K66" s="49"/>
      <c r="L66" s="49"/>
      <c r="M66" s="49"/>
      <c r="N66" s="49"/>
    </row>
    <row r="67" spans="8:8">
      <c r="A67" s="526" t="s">
        <v>70</v>
      </c>
      <c r="B67" s="4" t="s">
        <v>65</v>
      </c>
      <c r="C67" s="118">
        <v>1.0</v>
      </c>
      <c r="D67" s="118">
        <v>4.0</v>
      </c>
      <c r="E67" s="370">
        <v>2.0</v>
      </c>
      <c r="F67" s="370">
        <v>2.0</v>
      </c>
      <c r="G67" s="370">
        <v>6.0</v>
      </c>
      <c r="H67" s="395"/>
      <c r="I67" s="168">
        <v>15.0</v>
      </c>
      <c r="J67" s="49"/>
    </row>
    <row r="68" spans="8:8">
      <c r="A68" s="543" t="s">
        <v>72</v>
      </c>
      <c r="B68" s="16" t="s">
        <v>65</v>
      </c>
      <c r="C68" s="93">
        <v>1.0</v>
      </c>
      <c r="D68" s="93">
        <v>9.0</v>
      </c>
      <c r="E68" s="372">
        <v>2.0</v>
      </c>
      <c r="F68" s="372">
        <v>2.0</v>
      </c>
      <c r="G68" s="370">
        <v>6.0</v>
      </c>
      <c r="H68" s="360"/>
      <c r="I68" s="168">
        <v>20.0</v>
      </c>
      <c r="J68" s="49"/>
    </row>
    <row r="69" spans="8:8">
      <c r="A69" s="543" t="s">
        <v>71</v>
      </c>
      <c r="B69" s="16" t="s">
        <v>65</v>
      </c>
      <c r="C69" s="93">
        <v>1.0</v>
      </c>
      <c r="D69" s="93">
        <v>14.0</v>
      </c>
      <c r="E69" s="372">
        <v>2.0</v>
      </c>
      <c r="F69" s="372">
        <v>2.0</v>
      </c>
      <c r="G69" s="370">
        <v>6.0</v>
      </c>
      <c r="H69" s="360"/>
      <c r="I69" s="168">
        <f t="shared" si="3"/>
        <v>25.0</v>
      </c>
      <c r="J69" s="417"/>
    </row>
    <row r="70" spans="8:8">
      <c r="A70" s="526" t="s">
        <v>73</v>
      </c>
      <c r="B70" s="4" t="s">
        <v>65</v>
      </c>
      <c r="C70" s="118">
        <v>1.0</v>
      </c>
      <c r="D70" s="118">
        <v>4.0</v>
      </c>
      <c r="E70" s="370">
        <v>2.0</v>
      </c>
      <c r="F70" s="370">
        <v>2.0</v>
      </c>
      <c r="G70" s="370">
        <v>6.0</v>
      </c>
      <c r="H70" s="395"/>
      <c r="I70" s="168">
        <v>15.0</v>
      </c>
    </row>
    <row r="71" spans="8:8">
      <c r="A71" s="526" t="s">
        <v>74</v>
      </c>
      <c r="B71" s="4" t="s">
        <v>65</v>
      </c>
      <c r="C71" s="93">
        <v>1.0</v>
      </c>
      <c r="D71" s="93">
        <v>9.0</v>
      </c>
      <c r="E71" s="372">
        <v>2.0</v>
      </c>
      <c r="F71" s="372">
        <v>2.0</v>
      </c>
      <c r="G71" s="370">
        <v>6.0</v>
      </c>
      <c r="H71" s="360"/>
      <c r="I71" s="168">
        <v>20.0</v>
      </c>
    </row>
    <row r="72" spans="8:8">
      <c r="A72" s="526" t="s">
        <v>75</v>
      </c>
      <c r="B72" s="4" t="s">
        <v>65</v>
      </c>
      <c r="C72" s="93">
        <v>1.0</v>
      </c>
      <c r="D72" s="93">
        <v>29.0</v>
      </c>
      <c r="E72" s="372">
        <v>2.0</v>
      </c>
      <c r="F72" s="372">
        <v>2.0</v>
      </c>
      <c r="G72" s="370">
        <v>6.0</v>
      </c>
      <c r="H72" s="360"/>
      <c r="I72" s="168">
        <f t="shared" si="4" ref="I72">SUM(C72:H72)</f>
        <v>40.0</v>
      </c>
    </row>
    <row r="73" spans="8:8">
      <c r="A73" s="526" t="s">
        <v>76</v>
      </c>
      <c r="B73" s="4" t="s">
        <v>65</v>
      </c>
      <c r="C73" s="118">
        <v>1.0</v>
      </c>
      <c r="D73" s="118">
        <v>4.0</v>
      </c>
      <c r="E73" s="370">
        <v>2.0</v>
      </c>
      <c r="F73" s="370">
        <v>2.0</v>
      </c>
      <c r="G73" s="370">
        <v>6.0</v>
      </c>
      <c r="H73" s="395"/>
      <c r="I73" s="168">
        <v>15.0</v>
      </c>
    </row>
    <row r="74" spans="8:8">
      <c r="A74" s="526" t="s">
        <v>77</v>
      </c>
      <c r="B74" s="4" t="s">
        <v>65</v>
      </c>
      <c r="C74" s="93">
        <v>1.0</v>
      </c>
      <c r="D74" s="93">
        <v>9.0</v>
      </c>
      <c r="E74" s="372">
        <v>2.0</v>
      </c>
      <c r="F74" s="372">
        <v>2.0</v>
      </c>
      <c r="G74" s="370">
        <v>6.0</v>
      </c>
      <c r="H74" s="360"/>
      <c r="I74" s="168">
        <v>20.0</v>
      </c>
    </row>
    <row r="75" spans="8:8">
      <c r="A75" s="526" t="s">
        <v>78</v>
      </c>
      <c r="B75" s="4" t="s">
        <v>65</v>
      </c>
      <c r="C75" s="93">
        <v>1.0</v>
      </c>
      <c r="D75" s="93">
        <v>14.0</v>
      </c>
      <c r="E75" s="372">
        <v>2.0</v>
      </c>
      <c r="F75" s="372">
        <v>2.0</v>
      </c>
      <c r="G75" s="370">
        <v>6.0</v>
      </c>
      <c r="H75" s="360"/>
      <c r="I75" s="168">
        <v>25.0</v>
      </c>
    </row>
    <row r="76" spans="8:8">
      <c r="A76" s="526" t="s">
        <v>79</v>
      </c>
      <c r="B76" s="4" t="s">
        <v>65</v>
      </c>
      <c r="C76" s="93">
        <v>1.0</v>
      </c>
      <c r="D76" s="93">
        <v>19.0</v>
      </c>
      <c r="E76" s="372">
        <v>2.0</v>
      </c>
      <c r="F76" s="372">
        <v>2.0</v>
      </c>
      <c r="G76" s="370">
        <v>6.0</v>
      </c>
      <c r="H76" s="360"/>
      <c r="I76" s="168">
        <f t="shared" si="3"/>
        <v>30.0</v>
      </c>
    </row>
    <row r="77" spans="8:8">
      <c r="A77" s="526" t="s">
        <v>80</v>
      </c>
      <c r="B77" s="4" t="s">
        <v>65</v>
      </c>
      <c r="C77" s="118">
        <v>1.0</v>
      </c>
      <c r="D77" s="118">
        <v>4.0</v>
      </c>
      <c r="E77" s="370">
        <v>2.0</v>
      </c>
      <c r="F77" s="370">
        <v>2.0</v>
      </c>
      <c r="G77" s="370">
        <v>6.0</v>
      </c>
      <c r="H77" s="395"/>
      <c r="I77" s="168">
        <v>15.0</v>
      </c>
    </row>
    <row r="78" spans="8:8">
      <c r="A78" s="526" t="s">
        <v>81</v>
      </c>
      <c r="B78" s="4" t="s">
        <v>65</v>
      </c>
      <c r="C78" s="93">
        <v>1.0</v>
      </c>
      <c r="D78" s="93">
        <v>9.0</v>
      </c>
      <c r="E78" s="372">
        <v>2.0</v>
      </c>
      <c r="F78" s="372">
        <v>2.0</v>
      </c>
      <c r="G78" s="370">
        <v>6.0</v>
      </c>
      <c r="H78" s="360"/>
      <c r="I78" s="168">
        <v>20.0</v>
      </c>
    </row>
    <row r="79" spans="8:8">
      <c r="A79" s="526" t="s">
        <v>82</v>
      </c>
      <c r="B79" s="4" t="s">
        <v>65</v>
      </c>
      <c r="C79" s="93">
        <v>1.0</v>
      </c>
      <c r="D79" s="93">
        <v>19.0</v>
      </c>
      <c r="E79" s="372">
        <v>2.0</v>
      </c>
      <c r="F79" s="372">
        <v>2.0</v>
      </c>
      <c r="G79" s="370">
        <v>6.0</v>
      </c>
      <c r="H79" s="360"/>
      <c r="I79" s="168">
        <f t="shared" si="3"/>
        <v>30.0</v>
      </c>
    </row>
    <row r="80" spans="8:8">
      <c r="A80" s="526" t="s">
        <v>83</v>
      </c>
      <c r="B80" s="4" t="s">
        <v>65</v>
      </c>
      <c r="C80" s="93">
        <v>1.0</v>
      </c>
      <c r="D80" s="93">
        <v>29.0</v>
      </c>
      <c r="E80" s="372">
        <v>2.0</v>
      </c>
      <c r="F80" s="372">
        <v>2.0</v>
      </c>
      <c r="G80" s="370">
        <v>6.0</v>
      </c>
      <c r="H80" s="360"/>
      <c r="I80" s="168">
        <v>40.0</v>
      </c>
    </row>
    <row r="81" spans="8:8">
      <c r="A81" s="526" t="s">
        <v>84</v>
      </c>
      <c r="B81" s="4" t="s">
        <v>65</v>
      </c>
      <c r="C81" s="93">
        <v>1.0</v>
      </c>
      <c r="D81" s="93">
        <v>9.0</v>
      </c>
      <c r="E81" s="372">
        <v>2.0</v>
      </c>
      <c r="F81" s="372">
        <v>2.0</v>
      </c>
      <c r="G81" s="370">
        <v>6.0</v>
      </c>
      <c r="H81" s="360"/>
      <c r="I81" s="168">
        <v>20.0</v>
      </c>
    </row>
    <row r="82" spans="8:8">
      <c r="A82" s="526" t="s">
        <v>85</v>
      </c>
      <c r="B82" s="4" t="s">
        <v>65</v>
      </c>
      <c r="C82" s="93">
        <v>1.0</v>
      </c>
      <c r="D82" s="93">
        <v>49.0</v>
      </c>
      <c r="E82" s="372">
        <v>2.0</v>
      </c>
      <c r="F82" s="372">
        <v>2.0</v>
      </c>
      <c r="G82" s="370">
        <v>6.0</v>
      </c>
      <c r="H82" s="360"/>
      <c r="I82" s="168">
        <f t="shared" si="5" ref="I82">SUM(C82:H82)</f>
        <v>60.0</v>
      </c>
    </row>
    <row r="83" spans="8:8">
      <c r="A83" s="543" t="s">
        <v>86</v>
      </c>
      <c r="B83" s="16" t="s">
        <v>65</v>
      </c>
      <c r="C83" s="93">
        <v>1.0</v>
      </c>
      <c r="D83" s="93">
        <v>9.0</v>
      </c>
      <c r="E83" s="372">
        <v>2.0</v>
      </c>
      <c r="F83" s="372">
        <v>2.0</v>
      </c>
      <c r="G83" s="370">
        <v>6.0</v>
      </c>
      <c r="H83" s="360"/>
      <c r="I83" s="168">
        <v>20.0</v>
      </c>
    </row>
    <row r="84" spans="8:8" s="49" ht="15.0" customFormat="1">
      <c r="A84" s="543" t="s">
        <v>87</v>
      </c>
      <c r="B84" s="16" t="s">
        <v>65</v>
      </c>
      <c r="C84" s="93">
        <v>1.0</v>
      </c>
      <c r="D84" s="93">
        <v>14.0</v>
      </c>
      <c r="E84" s="372">
        <v>2.0</v>
      </c>
      <c r="F84" s="372">
        <v>2.0</v>
      </c>
      <c r="G84" s="370">
        <v>6.0</v>
      </c>
      <c r="H84" s="360"/>
      <c r="I84" s="168">
        <v>25.0</v>
      </c>
    </row>
    <row r="85" spans="8:8">
      <c r="A85" s="543" t="s">
        <v>88</v>
      </c>
      <c r="B85" s="16" t="s">
        <v>65</v>
      </c>
      <c r="C85" s="93">
        <v>1.0</v>
      </c>
      <c r="D85" s="93">
        <v>19.0</v>
      </c>
      <c r="E85" s="372">
        <v>2.0</v>
      </c>
      <c r="F85" s="372">
        <v>2.0</v>
      </c>
      <c r="G85" s="370">
        <v>6.0</v>
      </c>
      <c r="H85" s="360"/>
      <c r="I85" s="168">
        <v>30.0</v>
      </c>
    </row>
    <row r="86" spans="8:8">
      <c r="A86" s="543" t="s">
        <v>89</v>
      </c>
      <c r="B86" s="16" t="s">
        <v>65</v>
      </c>
      <c r="C86" s="93">
        <v>1.0</v>
      </c>
      <c r="D86" s="93">
        <v>24.0</v>
      </c>
      <c r="E86" s="372">
        <v>2.0</v>
      </c>
      <c r="F86" s="372">
        <v>2.0</v>
      </c>
      <c r="G86" s="370">
        <v>6.0</v>
      </c>
      <c r="H86" s="360"/>
      <c r="I86" s="168">
        <f t="shared" si="3"/>
        <v>35.0</v>
      </c>
    </row>
    <row r="87" spans="8:8">
      <c r="A87" s="543" t="s">
        <v>90</v>
      </c>
      <c r="B87" s="16" t="s">
        <v>65</v>
      </c>
      <c r="C87" s="93">
        <v>1.0</v>
      </c>
      <c r="D87" s="93">
        <v>29.0</v>
      </c>
      <c r="E87" s="372">
        <v>2.0</v>
      </c>
      <c r="F87" s="372">
        <v>2.0</v>
      </c>
      <c r="G87" s="370">
        <v>6.0</v>
      </c>
      <c r="H87" s="360"/>
      <c r="I87" s="168">
        <f t="shared" si="3"/>
        <v>40.0</v>
      </c>
    </row>
    <row r="88" spans="8:8">
      <c r="A88" s="543" t="s">
        <v>91</v>
      </c>
      <c r="B88" s="16" t="s">
        <v>65</v>
      </c>
      <c r="C88" s="93">
        <v>1.0</v>
      </c>
      <c r="D88" s="93">
        <v>34.0</v>
      </c>
      <c r="E88" s="372">
        <v>2.0</v>
      </c>
      <c r="F88" s="372">
        <v>2.0</v>
      </c>
      <c r="G88" s="370">
        <v>6.0</v>
      </c>
      <c r="H88" s="360"/>
      <c r="I88" s="168">
        <f t="shared" si="3"/>
        <v>45.0</v>
      </c>
    </row>
    <row r="89" spans="8:8">
      <c r="A89" s="543" t="s">
        <v>92</v>
      </c>
      <c r="B89" s="16" t="s">
        <v>65</v>
      </c>
      <c r="C89" s="118">
        <v>1.0</v>
      </c>
      <c r="D89" s="118">
        <v>4.0</v>
      </c>
      <c r="E89" s="370">
        <v>2.0</v>
      </c>
      <c r="F89" s="370">
        <v>2.0</v>
      </c>
      <c r="G89" s="370">
        <v>6.0</v>
      </c>
      <c r="H89" s="395"/>
      <c r="I89" s="168">
        <v>15.0</v>
      </c>
    </row>
    <row r="90" spans="8:8">
      <c r="A90" s="543" t="s">
        <v>93</v>
      </c>
      <c r="B90" s="16" t="s">
        <v>65</v>
      </c>
      <c r="C90" s="93">
        <v>1.0</v>
      </c>
      <c r="D90" s="93">
        <v>9.0</v>
      </c>
      <c r="E90" s="372">
        <v>2.0</v>
      </c>
      <c r="F90" s="372">
        <v>2.0</v>
      </c>
      <c r="G90" s="370">
        <v>6.0</v>
      </c>
      <c r="H90" s="360"/>
      <c r="I90" s="168">
        <v>20.0</v>
      </c>
    </row>
    <row r="91" spans="8:8">
      <c r="A91" s="543" t="s">
        <v>94</v>
      </c>
      <c r="B91" s="16" t="s">
        <v>65</v>
      </c>
      <c r="C91" s="93">
        <v>1.0</v>
      </c>
      <c r="D91" s="93">
        <v>19.0</v>
      </c>
      <c r="E91" s="372">
        <v>2.0</v>
      </c>
      <c r="F91" s="372">
        <v>2.0</v>
      </c>
      <c r="G91" s="370">
        <v>6.0</v>
      </c>
      <c r="H91" s="360"/>
      <c r="I91" s="168">
        <v>30.0</v>
      </c>
    </row>
    <row r="92" spans="8:8">
      <c r="A92" s="543" t="s">
        <v>95</v>
      </c>
      <c r="B92" s="16" t="s">
        <v>65</v>
      </c>
      <c r="C92" s="93">
        <v>1.0</v>
      </c>
      <c r="D92" s="93">
        <v>9.0</v>
      </c>
      <c r="E92" s="372">
        <v>2.0</v>
      </c>
      <c r="F92" s="372">
        <v>2.0</v>
      </c>
      <c r="G92" s="370">
        <v>6.0</v>
      </c>
      <c r="H92" s="360"/>
      <c r="I92" s="168">
        <v>20.0</v>
      </c>
    </row>
    <row r="93" spans="8:8">
      <c r="A93" s="543" t="s">
        <v>96</v>
      </c>
      <c r="B93" s="16" t="s">
        <v>65</v>
      </c>
      <c r="C93" s="93">
        <v>1.0</v>
      </c>
      <c r="D93" s="93">
        <v>19.0</v>
      </c>
      <c r="E93" s="372">
        <v>2.0</v>
      </c>
      <c r="F93" s="372">
        <v>2.0</v>
      </c>
      <c r="G93" s="370">
        <v>6.0</v>
      </c>
      <c r="H93" s="360"/>
      <c r="I93" s="168">
        <v>30.0</v>
      </c>
    </row>
    <row r="94" spans="8:8">
      <c r="A94" s="543" t="s">
        <v>97</v>
      </c>
      <c r="B94" s="16" t="s">
        <v>65</v>
      </c>
      <c r="C94" s="118">
        <v>1.0</v>
      </c>
      <c r="D94" s="118">
        <v>4.0</v>
      </c>
      <c r="E94" s="370">
        <v>2.0</v>
      </c>
      <c r="F94" s="370">
        <v>2.0</v>
      </c>
      <c r="G94" s="370">
        <v>6.0</v>
      </c>
      <c r="H94" s="395"/>
      <c r="I94" s="168">
        <v>15.0</v>
      </c>
    </row>
    <row r="95" spans="8:8">
      <c r="A95" s="543" t="s">
        <v>98</v>
      </c>
      <c r="B95" s="16" t="s">
        <v>65</v>
      </c>
      <c r="C95" s="93">
        <v>1.0</v>
      </c>
      <c r="D95" s="93">
        <v>9.0</v>
      </c>
      <c r="E95" s="372">
        <v>2.0</v>
      </c>
      <c r="F95" s="372">
        <v>2.0</v>
      </c>
      <c r="G95" s="370">
        <v>6.0</v>
      </c>
      <c r="H95" s="360"/>
      <c r="I95" s="168">
        <v>20.0</v>
      </c>
    </row>
    <row r="96" spans="8:8" s="49" ht="15.0" customFormat="1">
      <c r="A96" s="543" t="s">
        <v>99</v>
      </c>
      <c r="B96" s="16" t="s">
        <v>65</v>
      </c>
      <c r="C96" s="93">
        <v>1.0</v>
      </c>
      <c r="D96" s="93">
        <v>19.0</v>
      </c>
      <c r="E96" s="372">
        <v>2.0</v>
      </c>
      <c r="F96" s="372">
        <v>2.0</v>
      </c>
      <c r="G96" s="370">
        <v>6.0</v>
      </c>
      <c r="H96" s="360"/>
      <c r="I96" s="168">
        <v>30.0</v>
      </c>
    </row>
    <row r="97" spans="8:8">
      <c r="A97" s="543" t="s">
        <v>100</v>
      </c>
      <c r="B97" s="16" t="s">
        <v>65</v>
      </c>
      <c r="C97" s="93">
        <v>1.0</v>
      </c>
      <c r="D97" s="93">
        <v>29.0</v>
      </c>
      <c r="E97" s="372">
        <v>2.0</v>
      </c>
      <c r="F97" s="372">
        <v>2.0</v>
      </c>
      <c r="G97" s="370">
        <v>6.0</v>
      </c>
      <c r="H97" s="360"/>
      <c r="I97" s="168">
        <v>40.0</v>
      </c>
    </row>
    <row r="98" spans="8:8">
      <c r="A98" s="543" t="s">
        <v>101</v>
      </c>
      <c r="B98" s="16" t="s">
        <v>65</v>
      </c>
      <c r="C98" s="93">
        <v>1.0</v>
      </c>
      <c r="D98" s="93">
        <v>34.0</v>
      </c>
      <c r="E98" s="372">
        <v>2.0</v>
      </c>
      <c r="F98" s="372">
        <v>2.0</v>
      </c>
      <c r="G98" s="370">
        <v>6.0</v>
      </c>
      <c r="H98" s="360"/>
      <c r="I98" s="168">
        <v>45.0</v>
      </c>
    </row>
    <row r="99" spans="8:8">
      <c r="A99" s="543" t="s">
        <v>102</v>
      </c>
      <c r="B99" s="16" t="s">
        <v>65</v>
      </c>
      <c r="C99" s="93">
        <v>1.0</v>
      </c>
      <c r="D99" s="93">
        <v>9.0</v>
      </c>
      <c r="E99" s="372">
        <v>2.0</v>
      </c>
      <c r="F99" s="372">
        <v>2.0</v>
      </c>
      <c r="G99" s="370">
        <v>6.0</v>
      </c>
      <c r="H99" s="360"/>
      <c r="I99" s="168">
        <v>20.0</v>
      </c>
    </row>
    <row r="100" spans="8:8">
      <c r="A100" s="543" t="s">
        <v>103</v>
      </c>
      <c r="B100" s="16" t="s">
        <v>65</v>
      </c>
      <c r="C100" s="118">
        <v>1.0</v>
      </c>
      <c r="D100" s="118">
        <v>4.0</v>
      </c>
      <c r="E100" s="370">
        <v>2.0</v>
      </c>
      <c r="F100" s="370">
        <v>2.0</v>
      </c>
      <c r="G100" s="370">
        <v>6.0</v>
      </c>
      <c r="H100" s="395"/>
      <c r="I100" s="168">
        <v>15.0</v>
      </c>
    </row>
    <row r="101" spans="8:8">
      <c r="A101" s="543" t="s">
        <v>104</v>
      </c>
      <c r="B101" s="16" t="s">
        <v>65</v>
      </c>
      <c r="C101" s="93">
        <v>1.0</v>
      </c>
      <c r="D101" s="93">
        <v>9.0</v>
      </c>
      <c r="E101" s="372">
        <v>2.0</v>
      </c>
      <c r="F101" s="372">
        <v>2.0</v>
      </c>
      <c r="G101" s="370">
        <v>6.0</v>
      </c>
      <c r="H101" s="360"/>
      <c r="I101" s="168">
        <v>20.0</v>
      </c>
    </row>
    <row r="102" spans="8:8" s="49" ht="15.0" customFormat="1">
      <c r="A102" s="526" t="s">
        <v>105</v>
      </c>
      <c r="B102" s="4" t="s">
        <v>65</v>
      </c>
      <c r="C102" s="93">
        <v>1.0</v>
      </c>
      <c r="D102" s="93">
        <v>14.0</v>
      </c>
      <c r="E102" s="372">
        <v>2.0</v>
      </c>
      <c r="F102" s="372">
        <v>2.0</v>
      </c>
      <c r="G102" s="370">
        <v>6.0</v>
      </c>
      <c r="H102" s="360"/>
      <c r="I102" s="168">
        <v>25.0</v>
      </c>
    </row>
    <row r="103" spans="8:8" s="530" ht="15.0" customFormat="1">
      <c r="A103" s="547" t="s">
        <v>108</v>
      </c>
      <c r="B103" s="208" t="s">
        <v>65</v>
      </c>
      <c r="C103" s="209">
        <v>1.0</v>
      </c>
      <c r="D103" s="209">
        <v>9.0</v>
      </c>
      <c r="E103" s="431">
        <v>2.0</v>
      </c>
      <c r="F103" s="431">
        <v>2.0</v>
      </c>
      <c r="G103" s="426">
        <v>6.0</v>
      </c>
      <c r="H103" s="548"/>
      <c r="I103" s="225">
        <f t="shared" si="3"/>
        <v>20.0</v>
      </c>
    </row>
    <row r="104" spans="8:8" s="530" ht="15.0" customFormat="1">
      <c r="A104" s="547" t="s">
        <v>109</v>
      </c>
      <c r="B104" s="208" t="s">
        <v>65</v>
      </c>
      <c r="C104" s="209">
        <v>1.0</v>
      </c>
      <c r="D104" s="209">
        <v>14.0</v>
      </c>
      <c r="E104" s="431">
        <v>2.0</v>
      </c>
      <c r="F104" s="431">
        <v>2.0</v>
      </c>
      <c r="G104" s="426">
        <v>6.0</v>
      </c>
      <c r="H104" s="548"/>
      <c r="I104" s="225">
        <v>25.0</v>
      </c>
    </row>
    <row r="105" spans="8:8">
      <c r="A105" s="526" t="s">
        <v>110</v>
      </c>
      <c r="B105" s="4" t="s">
        <v>65</v>
      </c>
      <c r="C105" s="93">
        <v>1.0</v>
      </c>
      <c r="D105" s="93">
        <v>9.0</v>
      </c>
      <c r="E105" s="372">
        <v>2.0</v>
      </c>
      <c r="F105" s="372">
        <v>2.0</v>
      </c>
      <c r="G105" s="370">
        <v>6.0</v>
      </c>
      <c r="H105" s="360"/>
      <c r="I105" s="168">
        <f t="shared" si="3"/>
        <v>20.0</v>
      </c>
    </row>
    <row r="106" spans="8:8">
      <c r="A106" s="526" t="s">
        <v>111</v>
      </c>
      <c r="B106" s="4" t="s">
        <v>65</v>
      </c>
      <c r="C106" s="118">
        <v>1.0</v>
      </c>
      <c r="D106" s="118">
        <v>4.0</v>
      </c>
      <c r="E106" s="370">
        <v>2.0</v>
      </c>
      <c r="F106" s="370">
        <v>2.0</v>
      </c>
      <c r="G106" s="370">
        <v>6.0</v>
      </c>
      <c r="H106" s="395"/>
      <c r="I106" s="168">
        <v>15.0</v>
      </c>
    </row>
    <row r="107" spans="8:8">
      <c r="A107" s="526" t="s">
        <v>112</v>
      </c>
      <c r="B107" s="4" t="s">
        <v>65</v>
      </c>
      <c r="C107" s="93">
        <v>1.0</v>
      </c>
      <c r="D107" s="93">
        <v>9.0</v>
      </c>
      <c r="E107" s="372">
        <v>2.0</v>
      </c>
      <c r="F107" s="372">
        <v>2.0</v>
      </c>
      <c r="G107" s="370">
        <v>6.0</v>
      </c>
      <c r="H107" s="360"/>
      <c r="I107" s="168">
        <v>20.0</v>
      </c>
    </row>
    <row r="108" spans="8:8">
      <c r="A108" s="526" t="s">
        <v>113</v>
      </c>
      <c r="B108" s="4" t="s">
        <v>65</v>
      </c>
      <c r="C108" s="93">
        <v>1.0</v>
      </c>
      <c r="D108" s="93">
        <v>14.0</v>
      </c>
      <c r="E108" s="372">
        <v>2.0</v>
      </c>
      <c r="F108" s="372">
        <v>2.0</v>
      </c>
      <c r="G108" s="370">
        <v>6.0</v>
      </c>
      <c r="H108" s="360"/>
      <c r="I108" s="168">
        <v>25.0</v>
      </c>
    </row>
    <row r="109" spans="8:8">
      <c r="A109" s="526" t="s">
        <v>114</v>
      </c>
      <c r="B109" s="4" t="s">
        <v>65</v>
      </c>
      <c r="C109" s="118">
        <v>1.0</v>
      </c>
      <c r="D109" s="118">
        <v>4.0</v>
      </c>
      <c r="E109" s="370">
        <v>2.0</v>
      </c>
      <c r="F109" s="370">
        <v>2.0</v>
      </c>
      <c r="G109" s="370">
        <v>6.0</v>
      </c>
      <c r="H109" s="395"/>
      <c r="I109" s="168">
        <v>15.0</v>
      </c>
    </row>
    <row r="110" spans="8:8">
      <c r="A110" s="526" t="s">
        <v>115</v>
      </c>
      <c r="B110" s="4" t="s">
        <v>65</v>
      </c>
      <c r="C110" s="93">
        <v>1.0</v>
      </c>
      <c r="D110" s="93">
        <v>9.0</v>
      </c>
      <c r="E110" s="372">
        <v>2.0</v>
      </c>
      <c r="F110" s="372">
        <v>2.0</v>
      </c>
      <c r="G110" s="370">
        <v>6.0</v>
      </c>
      <c r="H110" s="360"/>
      <c r="I110" s="168">
        <v>20.0</v>
      </c>
    </row>
    <row r="111" spans="8:8">
      <c r="A111" s="526" t="s">
        <v>116</v>
      </c>
      <c r="B111" s="4" t="s">
        <v>65</v>
      </c>
      <c r="C111" s="93">
        <v>1.0</v>
      </c>
      <c r="D111" s="93">
        <v>14.0</v>
      </c>
      <c r="E111" s="372">
        <v>2.0</v>
      </c>
      <c r="F111" s="372">
        <v>2.0</v>
      </c>
      <c r="G111" s="370">
        <v>6.0</v>
      </c>
      <c r="H111" s="360"/>
      <c r="I111" s="168">
        <v>25.0</v>
      </c>
    </row>
    <row r="112" spans="8:8">
      <c r="A112" s="526" t="s">
        <v>117</v>
      </c>
      <c r="B112" s="4" t="s">
        <v>65</v>
      </c>
      <c r="C112" s="93">
        <v>1.0</v>
      </c>
      <c r="D112" s="93">
        <v>9.0</v>
      </c>
      <c r="E112" s="372">
        <v>2.0</v>
      </c>
      <c r="F112" s="372">
        <v>2.0</v>
      </c>
      <c r="G112" s="370">
        <v>6.0</v>
      </c>
      <c r="H112" s="360"/>
      <c r="I112" s="168">
        <v>20.0</v>
      </c>
    </row>
    <row r="113" spans="8:8">
      <c r="A113" s="526" t="s">
        <v>118</v>
      </c>
      <c r="B113" s="4" t="s">
        <v>65</v>
      </c>
      <c r="C113" s="118">
        <v>1.0</v>
      </c>
      <c r="D113" s="118">
        <v>4.0</v>
      </c>
      <c r="E113" s="370">
        <v>2.0</v>
      </c>
      <c r="F113" s="370">
        <v>2.0</v>
      </c>
      <c r="G113" s="370">
        <v>6.0</v>
      </c>
      <c r="H113" s="395"/>
      <c r="I113" s="168">
        <v>15.0</v>
      </c>
    </row>
    <row r="114" spans="8:8">
      <c r="A114" s="526" t="s">
        <v>119</v>
      </c>
      <c r="B114" s="4" t="s">
        <v>65</v>
      </c>
      <c r="C114" s="93">
        <v>1.0</v>
      </c>
      <c r="D114" s="93">
        <v>9.0</v>
      </c>
      <c r="E114" s="372">
        <v>2.0</v>
      </c>
      <c r="F114" s="372">
        <v>2.0</v>
      </c>
      <c r="G114" s="370">
        <v>6.0</v>
      </c>
      <c r="H114" s="360"/>
      <c r="I114" s="168">
        <v>20.0</v>
      </c>
    </row>
    <row r="115" spans="8:8">
      <c r="A115" s="526" t="s">
        <v>120</v>
      </c>
      <c r="B115" s="4" t="s">
        <v>65</v>
      </c>
      <c r="C115" s="93">
        <v>1.0</v>
      </c>
      <c r="D115" s="93">
        <v>19.0</v>
      </c>
      <c r="E115" s="372">
        <v>2.0</v>
      </c>
      <c r="F115" s="372">
        <v>2.0</v>
      </c>
      <c r="G115" s="370">
        <v>6.0</v>
      </c>
      <c r="H115" s="360"/>
      <c r="I115" s="168">
        <v>30.0</v>
      </c>
    </row>
    <row r="116" spans="8:8">
      <c r="A116" s="526" t="s">
        <v>121</v>
      </c>
      <c r="B116" s="4" t="s">
        <v>65</v>
      </c>
      <c r="C116" s="93">
        <v>1.0</v>
      </c>
      <c r="D116" s="93">
        <v>29.0</v>
      </c>
      <c r="E116" s="372">
        <v>2.0</v>
      </c>
      <c r="F116" s="372">
        <v>2.0</v>
      </c>
      <c r="G116" s="370">
        <v>6.0</v>
      </c>
      <c r="H116" s="360"/>
      <c r="I116" s="168">
        <v>40.0</v>
      </c>
    </row>
    <row r="117" spans="8:8">
      <c r="A117" s="526" t="s">
        <v>122</v>
      </c>
      <c r="B117" s="4" t="s">
        <v>65</v>
      </c>
      <c r="C117" s="118">
        <v>1.0</v>
      </c>
      <c r="D117" s="118">
        <v>4.0</v>
      </c>
      <c r="E117" s="370">
        <v>2.0</v>
      </c>
      <c r="F117" s="370">
        <v>2.0</v>
      </c>
      <c r="G117" s="370">
        <v>6.0</v>
      </c>
      <c r="H117" s="395"/>
      <c r="I117" s="168">
        <v>15.0</v>
      </c>
    </row>
    <row r="118" spans="8:8">
      <c r="A118" s="526" t="s">
        <v>123</v>
      </c>
      <c r="B118" s="4" t="s">
        <v>65</v>
      </c>
      <c r="C118" s="93">
        <v>1.0</v>
      </c>
      <c r="D118" s="93">
        <v>9.0</v>
      </c>
      <c r="E118" s="372">
        <v>2.0</v>
      </c>
      <c r="F118" s="372">
        <v>2.0</v>
      </c>
      <c r="G118" s="370">
        <v>6.0</v>
      </c>
      <c r="H118" s="360"/>
      <c r="I118" s="168">
        <v>20.0</v>
      </c>
    </row>
    <row r="119" spans="8:8">
      <c r="A119" s="526" t="s">
        <v>124</v>
      </c>
      <c r="B119" s="4" t="s">
        <v>65</v>
      </c>
      <c r="C119" s="93">
        <v>1.0</v>
      </c>
      <c r="D119" s="93">
        <v>14.0</v>
      </c>
      <c r="E119" s="372">
        <v>2.0</v>
      </c>
      <c r="F119" s="372">
        <v>2.0</v>
      </c>
      <c r="G119" s="370">
        <v>6.0</v>
      </c>
      <c r="H119" s="360"/>
      <c r="I119" s="168">
        <v>25.0</v>
      </c>
    </row>
    <row r="120" spans="8:8">
      <c r="A120" s="526" t="s">
        <v>125</v>
      </c>
      <c r="B120" s="4" t="s">
        <v>65</v>
      </c>
      <c r="C120" s="93">
        <v>1.0</v>
      </c>
      <c r="D120" s="93">
        <v>19.0</v>
      </c>
      <c r="E120" s="372">
        <v>2.0</v>
      </c>
      <c r="F120" s="372">
        <v>2.0</v>
      </c>
      <c r="G120" s="370">
        <v>6.0</v>
      </c>
      <c r="H120" s="360"/>
      <c r="I120" s="168">
        <v>30.0</v>
      </c>
    </row>
    <row r="121" spans="8:8">
      <c r="A121" s="526" t="s">
        <v>126</v>
      </c>
      <c r="B121" s="4" t="s">
        <v>65</v>
      </c>
      <c r="C121" s="93">
        <v>1.0</v>
      </c>
      <c r="D121" s="93">
        <v>24.0</v>
      </c>
      <c r="E121" s="372">
        <v>2.0</v>
      </c>
      <c r="F121" s="372">
        <v>2.0</v>
      </c>
      <c r="G121" s="370">
        <v>6.0</v>
      </c>
      <c r="H121" s="360"/>
      <c r="I121" s="168">
        <v>35.0</v>
      </c>
    </row>
    <row r="122" spans="8:8">
      <c r="A122" s="526" t="s">
        <v>127</v>
      </c>
      <c r="B122" s="4" t="s">
        <v>65</v>
      </c>
      <c r="C122" s="93">
        <v>1.0</v>
      </c>
      <c r="D122" s="93">
        <v>19.0</v>
      </c>
      <c r="E122" s="372">
        <v>2.0</v>
      </c>
      <c r="F122" s="372">
        <v>2.0</v>
      </c>
      <c r="G122" s="370">
        <v>6.0</v>
      </c>
      <c r="H122" s="360"/>
      <c r="I122" s="168">
        <v>30.0</v>
      </c>
    </row>
    <row r="123" spans="8:8">
      <c r="A123" s="526" t="s">
        <v>128</v>
      </c>
      <c r="B123" s="4" t="s">
        <v>65</v>
      </c>
      <c r="C123" s="93">
        <v>1.0</v>
      </c>
      <c r="D123" s="93">
        <v>29.0</v>
      </c>
      <c r="E123" s="372">
        <v>2.0</v>
      </c>
      <c r="F123" s="372">
        <v>2.0</v>
      </c>
      <c r="G123" s="370">
        <v>6.0</v>
      </c>
      <c r="H123" s="360"/>
      <c r="I123" s="168">
        <v>40.0</v>
      </c>
    </row>
    <row r="124" spans="8:8">
      <c r="A124" s="526" t="s">
        <v>129</v>
      </c>
      <c r="B124" s="4" t="s">
        <v>65</v>
      </c>
      <c r="C124" s="93">
        <v>1.0</v>
      </c>
      <c r="D124" s="93">
        <v>39.0</v>
      </c>
      <c r="E124" s="372">
        <v>2.0</v>
      </c>
      <c r="F124" s="372">
        <v>2.0</v>
      </c>
      <c r="G124" s="370">
        <v>6.0</v>
      </c>
      <c r="H124" s="360"/>
      <c r="I124" s="168">
        <f t="shared" si="3"/>
        <v>50.0</v>
      </c>
    </row>
    <row r="125" spans="8:8">
      <c r="A125" s="526" t="s">
        <v>130</v>
      </c>
      <c r="B125" s="4" t="s">
        <v>65</v>
      </c>
      <c r="C125" s="93">
        <v>1.0</v>
      </c>
      <c r="D125" s="93">
        <v>49.0</v>
      </c>
      <c r="E125" s="372">
        <v>2.0</v>
      </c>
      <c r="F125" s="372">
        <v>2.0</v>
      </c>
      <c r="G125" s="370">
        <v>6.0</v>
      </c>
      <c r="H125" s="360"/>
      <c r="I125" s="168">
        <f t="shared" si="3"/>
        <v>60.0</v>
      </c>
    </row>
    <row r="126" spans="8:8">
      <c r="A126" s="526" t="s">
        <v>131</v>
      </c>
      <c r="B126" s="4" t="s">
        <v>65</v>
      </c>
      <c r="C126" s="93">
        <v>1.0</v>
      </c>
      <c r="D126" s="93">
        <v>59.0</v>
      </c>
      <c r="E126" s="372">
        <v>2.0</v>
      </c>
      <c r="F126" s="372">
        <v>2.0</v>
      </c>
      <c r="G126" s="370">
        <v>6.0</v>
      </c>
      <c r="H126" s="360"/>
      <c r="I126" s="168">
        <f t="shared" si="3"/>
        <v>70.0</v>
      </c>
    </row>
    <row r="127" spans="8:8">
      <c r="A127" s="526" t="s">
        <v>132</v>
      </c>
      <c r="B127" s="4" t="s">
        <v>65</v>
      </c>
      <c r="C127" s="118">
        <v>1.0</v>
      </c>
      <c r="D127" s="118">
        <v>4.0</v>
      </c>
      <c r="E127" s="370">
        <v>2.0</v>
      </c>
      <c r="F127" s="370">
        <v>2.0</v>
      </c>
      <c r="G127" s="370">
        <v>6.0</v>
      </c>
      <c r="H127" s="395"/>
      <c r="I127" s="168">
        <v>15.0</v>
      </c>
    </row>
    <row r="128" spans="8:8">
      <c r="A128" s="526" t="s">
        <v>133</v>
      </c>
      <c r="B128" s="4" t="s">
        <v>65</v>
      </c>
      <c r="C128" s="93">
        <v>1.0</v>
      </c>
      <c r="D128" s="93">
        <v>9.0</v>
      </c>
      <c r="E128" s="372">
        <v>2.0</v>
      </c>
      <c r="F128" s="372">
        <v>2.0</v>
      </c>
      <c r="G128" s="370">
        <v>6.0</v>
      </c>
      <c r="H128" s="360"/>
      <c r="I128" s="168">
        <v>20.0</v>
      </c>
    </row>
    <row r="129" spans="8:8">
      <c r="A129" s="526" t="s">
        <v>134</v>
      </c>
      <c r="B129" s="4" t="s">
        <v>65</v>
      </c>
      <c r="C129" s="93">
        <v>1.0</v>
      </c>
      <c r="D129" s="93">
        <v>14.0</v>
      </c>
      <c r="E129" s="372">
        <v>2.0</v>
      </c>
      <c r="F129" s="372">
        <v>2.0</v>
      </c>
      <c r="G129" s="370">
        <v>6.0</v>
      </c>
      <c r="H129" s="360"/>
      <c r="I129" s="168">
        <v>25.0</v>
      </c>
    </row>
    <row r="130" spans="8:8">
      <c r="A130" s="480" t="s">
        <v>447</v>
      </c>
      <c r="B130" s="4" t="s">
        <v>65</v>
      </c>
      <c r="C130" s="118">
        <v>1.0</v>
      </c>
      <c r="D130" s="118">
        <v>4.0</v>
      </c>
      <c r="E130" s="370">
        <v>2.0</v>
      </c>
      <c r="F130" s="370">
        <v>2.0</v>
      </c>
      <c r="G130" s="370">
        <v>6.0</v>
      </c>
      <c r="H130" s="395"/>
      <c r="I130" s="168">
        <v>15.0</v>
      </c>
    </row>
    <row r="131" spans="8:8">
      <c r="A131" s="480" t="s">
        <v>446</v>
      </c>
      <c r="B131" s="4" t="s">
        <v>65</v>
      </c>
      <c r="C131" s="93">
        <v>1.0</v>
      </c>
      <c r="D131" s="93">
        <v>9.0</v>
      </c>
      <c r="E131" s="372">
        <v>2.0</v>
      </c>
      <c r="F131" s="372">
        <v>2.0</v>
      </c>
      <c r="G131" s="370">
        <v>6.0</v>
      </c>
      <c r="H131" s="360"/>
      <c r="I131" s="168">
        <v>20.0</v>
      </c>
    </row>
    <row r="132" spans="8:8">
      <c r="A132" s="480" t="s">
        <v>445</v>
      </c>
      <c r="B132" s="4" t="s">
        <v>65</v>
      </c>
      <c r="C132" s="93">
        <v>1.0</v>
      </c>
      <c r="D132" s="93">
        <v>19.0</v>
      </c>
      <c r="E132" s="372">
        <v>2.0</v>
      </c>
      <c r="F132" s="372">
        <v>2.0</v>
      </c>
      <c r="G132" s="370">
        <v>6.0</v>
      </c>
      <c r="H132" s="360"/>
      <c r="I132" s="168">
        <v>30.0</v>
      </c>
    </row>
    <row r="133" spans="8:8">
      <c r="A133" s="480" t="s">
        <v>444</v>
      </c>
      <c r="B133" s="4" t="s">
        <v>65</v>
      </c>
      <c r="C133" s="93">
        <v>1.0</v>
      </c>
      <c r="D133" s="93">
        <v>29.0</v>
      </c>
      <c r="E133" s="372">
        <v>2.0</v>
      </c>
      <c r="F133" s="372">
        <v>2.0</v>
      </c>
      <c r="G133" s="370">
        <v>6.0</v>
      </c>
      <c r="H133" s="360"/>
      <c r="I133" s="168">
        <v>40.0</v>
      </c>
    </row>
    <row r="134" spans="8:8">
      <c r="A134" s="526" t="s">
        <v>139</v>
      </c>
      <c r="B134" s="4" t="s">
        <v>65</v>
      </c>
      <c r="C134" s="118">
        <v>1.0</v>
      </c>
      <c r="D134" s="118">
        <v>4.0</v>
      </c>
      <c r="E134" s="370">
        <v>2.0</v>
      </c>
      <c r="F134" s="370">
        <v>2.0</v>
      </c>
      <c r="G134" s="370">
        <v>6.0</v>
      </c>
      <c r="H134" s="395"/>
      <c r="I134" s="168">
        <v>15.0</v>
      </c>
    </row>
    <row r="135" spans="8:8">
      <c r="A135" s="526" t="s">
        <v>140</v>
      </c>
      <c r="B135" s="4" t="s">
        <v>65</v>
      </c>
      <c r="C135" s="93">
        <v>1.0</v>
      </c>
      <c r="D135" s="93">
        <v>9.0</v>
      </c>
      <c r="E135" s="372">
        <v>2.0</v>
      </c>
      <c r="F135" s="372">
        <v>2.0</v>
      </c>
      <c r="G135" s="370">
        <v>6.0</v>
      </c>
      <c r="H135" s="360"/>
      <c r="I135" s="168">
        <v>20.0</v>
      </c>
    </row>
    <row r="136" spans="8:8">
      <c r="A136" s="526" t="s">
        <v>141</v>
      </c>
      <c r="B136" s="4" t="s">
        <v>65</v>
      </c>
      <c r="C136" s="93">
        <v>1.0</v>
      </c>
      <c r="D136" s="93">
        <v>14.0</v>
      </c>
      <c r="E136" s="372">
        <v>2.0</v>
      </c>
      <c r="F136" s="372">
        <v>2.0</v>
      </c>
      <c r="G136" s="370">
        <v>6.0</v>
      </c>
      <c r="H136" s="360"/>
      <c r="I136" s="168">
        <v>25.0</v>
      </c>
    </row>
    <row r="137" spans="8:8">
      <c r="A137" s="526" t="s">
        <v>142</v>
      </c>
      <c r="B137" s="4" t="s">
        <v>65</v>
      </c>
      <c r="C137" s="93">
        <v>1.0</v>
      </c>
      <c r="D137" s="93">
        <v>19.0</v>
      </c>
      <c r="E137" s="372">
        <v>2.0</v>
      </c>
      <c r="F137" s="372">
        <v>2.0</v>
      </c>
      <c r="G137" s="370">
        <v>6.0</v>
      </c>
      <c r="H137" s="360"/>
      <c r="I137" s="168">
        <v>30.0</v>
      </c>
    </row>
    <row r="138" spans="8:8">
      <c r="A138" s="526" t="s">
        <v>143</v>
      </c>
      <c r="B138" s="4" t="s">
        <v>65</v>
      </c>
      <c r="C138" s="93">
        <v>1.0</v>
      </c>
      <c r="D138" s="93">
        <v>29.0</v>
      </c>
      <c r="E138" s="372">
        <v>2.0</v>
      </c>
      <c r="F138" s="372">
        <v>2.0</v>
      </c>
      <c r="G138" s="370">
        <v>6.0</v>
      </c>
      <c r="H138" s="360"/>
      <c r="I138" s="168">
        <v>40.0</v>
      </c>
    </row>
    <row r="139" spans="8:8">
      <c r="A139" s="526" t="s">
        <v>144</v>
      </c>
      <c r="B139" s="4" t="s">
        <v>65</v>
      </c>
      <c r="C139" s="93">
        <v>1.0</v>
      </c>
      <c r="D139" s="93">
        <v>39.0</v>
      </c>
      <c r="E139" s="372">
        <v>2.0</v>
      </c>
      <c r="F139" s="372">
        <v>2.0</v>
      </c>
      <c r="G139" s="370">
        <v>6.0</v>
      </c>
      <c r="H139" s="360"/>
      <c r="I139" s="168">
        <v>50.0</v>
      </c>
    </row>
    <row r="140" spans="8:8">
      <c r="A140" s="526" t="s">
        <v>145</v>
      </c>
      <c r="B140" s="4" t="s">
        <v>65</v>
      </c>
      <c r="C140" s="118">
        <v>1.0</v>
      </c>
      <c r="D140" s="118">
        <v>4.0</v>
      </c>
      <c r="E140" s="370">
        <v>2.0</v>
      </c>
      <c r="F140" s="370">
        <v>2.0</v>
      </c>
      <c r="G140" s="370">
        <v>6.0</v>
      </c>
      <c r="H140" s="395"/>
      <c r="I140" s="168">
        <v>15.0</v>
      </c>
    </row>
    <row r="141" spans="8:8">
      <c r="A141" s="526" t="s">
        <v>146</v>
      </c>
      <c r="B141" s="4" t="s">
        <v>65</v>
      </c>
      <c r="C141" s="93">
        <v>1.0</v>
      </c>
      <c r="D141" s="93">
        <v>9.0</v>
      </c>
      <c r="E141" s="372">
        <v>2.0</v>
      </c>
      <c r="F141" s="372">
        <v>2.0</v>
      </c>
      <c r="G141" s="370">
        <v>6.0</v>
      </c>
      <c r="H141" s="360"/>
      <c r="I141" s="168">
        <v>20.0</v>
      </c>
    </row>
    <row r="142" spans="8:8">
      <c r="A142" s="526" t="s">
        <v>147</v>
      </c>
      <c r="B142" s="4" t="s">
        <v>65</v>
      </c>
      <c r="C142" s="93">
        <v>1.0</v>
      </c>
      <c r="D142" s="93">
        <v>14.0</v>
      </c>
      <c r="E142" s="372">
        <v>2.0</v>
      </c>
      <c r="F142" s="372">
        <v>2.0</v>
      </c>
      <c r="G142" s="370">
        <v>6.0</v>
      </c>
      <c r="H142" s="360"/>
      <c r="I142" s="168">
        <v>25.0</v>
      </c>
    </row>
    <row r="143" spans="8:8">
      <c r="A143" s="526" t="s">
        <v>148</v>
      </c>
      <c r="B143" s="4" t="s">
        <v>65</v>
      </c>
      <c r="C143" s="93">
        <v>1.0</v>
      </c>
      <c r="D143" s="93">
        <v>24.0</v>
      </c>
      <c r="E143" s="372">
        <v>2.0</v>
      </c>
      <c r="F143" s="372">
        <v>2.0</v>
      </c>
      <c r="G143" s="370">
        <v>6.0</v>
      </c>
      <c r="H143" s="360"/>
      <c r="I143" s="168">
        <f t="shared" si="6" ref="I143:I176">SUM(C143:H143)</f>
        <v>35.0</v>
      </c>
    </row>
    <row r="144" spans="8:8">
      <c r="A144" s="526" t="s">
        <v>149</v>
      </c>
      <c r="B144" s="4" t="s">
        <v>65</v>
      </c>
      <c r="C144" s="93">
        <v>1.0</v>
      </c>
      <c r="D144" s="93">
        <v>34.0</v>
      </c>
      <c r="E144" s="372">
        <v>2.0</v>
      </c>
      <c r="F144" s="372">
        <v>2.0</v>
      </c>
      <c r="G144" s="370">
        <v>6.0</v>
      </c>
      <c r="H144" s="360"/>
      <c r="I144" s="168">
        <f t="shared" si="6"/>
        <v>45.0</v>
      </c>
    </row>
    <row r="145" spans="8:8">
      <c r="A145" s="526" t="s">
        <v>150</v>
      </c>
      <c r="B145" s="4" t="s">
        <v>65</v>
      </c>
      <c r="C145" s="93">
        <v>1.0</v>
      </c>
      <c r="D145" s="93">
        <v>29.0</v>
      </c>
      <c r="E145" s="372">
        <v>2.0</v>
      </c>
      <c r="F145" s="372">
        <v>2.0</v>
      </c>
      <c r="G145" s="370">
        <v>6.0</v>
      </c>
      <c r="H145" s="360"/>
      <c r="I145" s="168">
        <v>40.0</v>
      </c>
    </row>
    <row r="146" spans="8:8">
      <c r="A146" s="526" t="s">
        <v>151</v>
      </c>
      <c r="B146" s="4" t="s">
        <v>65</v>
      </c>
      <c r="C146" s="93">
        <v>1.0</v>
      </c>
      <c r="D146" s="93">
        <v>29.0</v>
      </c>
      <c r="E146" s="372">
        <v>2.0</v>
      </c>
      <c r="F146" s="372">
        <v>2.0</v>
      </c>
      <c r="G146" s="370">
        <v>6.0</v>
      </c>
      <c r="H146" s="360"/>
      <c r="I146" s="168">
        <v>40.0</v>
      </c>
    </row>
    <row r="147" spans="8:8">
      <c r="A147" s="526" t="s">
        <v>152</v>
      </c>
      <c r="B147" s="4" t="s">
        <v>65</v>
      </c>
      <c r="C147" s="93">
        <v>1.0</v>
      </c>
      <c r="D147" s="93">
        <v>39.0</v>
      </c>
      <c r="E147" s="372">
        <v>2.0</v>
      </c>
      <c r="F147" s="372">
        <v>2.0</v>
      </c>
      <c r="G147" s="370">
        <v>6.0</v>
      </c>
      <c r="H147" s="360"/>
      <c r="I147" s="168">
        <v>50.0</v>
      </c>
    </row>
    <row r="148" spans="8:8">
      <c r="A148" s="526" t="s">
        <v>153</v>
      </c>
      <c r="B148" s="4" t="s">
        <v>65</v>
      </c>
      <c r="C148" s="93">
        <v>1.0</v>
      </c>
      <c r="D148" s="93">
        <v>89.0</v>
      </c>
      <c r="E148" s="372">
        <v>2.0</v>
      </c>
      <c r="F148" s="372">
        <v>2.0</v>
      </c>
      <c r="G148" s="370">
        <v>6.0</v>
      </c>
      <c r="H148" s="360"/>
      <c r="I148" s="168">
        <f t="shared" si="7" ref="I148">SUM(C148:H148)</f>
        <v>100.0</v>
      </c>
    </row>
    <row r="149" spans="8:8">
      <c r="A149" s="526" t="s">
        <v>154</v>
      </c>
      <c r="B149" s="4" t="s">
        <v>65</v>
      </c>
      <c r="C149" s="93">
        <v>1.0</v>
      </c>
      <c r="D149" s="93">
        <v>19.0</v>
      </c>
      <c r="E149" s="372">
        <v>2.0</v>
      </c>
      <c r="F149" s="372">
        <v>2.0</v>
      </c>
      <c r="G149" s="370">
        <v>6.0</v>
      </c>
      <c r="H149" s="360"/>
      <c r="I149" s="168">
        <f t="shared" si="6"/>
        <v>30.0</v>
      </c>
    </row>
    <row r="150" spans="8:8">
      <c r="A150" s="526" t="s">
        <v>155</v>
      </c>
      <c r="B150" s="4" t="s">
        <v>65</v>
      </c>
      <c r="C150" s="118">
        <v>1.0</v>
      </c>
      <c r="D150" s="118">
        <v>4.0</v>
      </c>
      <c r="E150" s="370">
        <v>2.0</v>
      </c>
      <c r="F150" s="370">
        <v>2.0</v>
      </c>
      <c r="G150" s="370">
        <v>6.0</v>
      </c>
      <c r="H150" s="395"/>
      <c r="I150" s="168">
        <v>15.0</v>
      </c>
    </row>
    <row r="151" spans="8:8">
      <c r="A151" s="526" t="s">
        <v>156</v>
      </c>
      <c r="B151" s="4" t="s">
        <v>65</v>
      </c>
      <c r="C151" s="93">
        <v>1.0</v>
      </c>
      <c r="D151" s="93">
        <v>9.0</v>
      </c>
      <c r="E151" s="372">
        <v>2.0</v>
      </c>
      <c r="F151" s="372">
        <v>2.0</v>
      </c>
      <c r="G151" s="370">
        <v>6.0</v>
      </c>
      <c r="H151" s="360"/>
      <c r="I151" s="168">
        <v>20.0</v>
      </c>
    </row>
    <row r="152" spans="8:8">
      <c r="A152" s="526" t="s">
        <v>157</v>
      </c>
      <c r="B152" s="4" t="s">
        <v>65</v>
      </c>
      <c r="C152" s="118">
        <v>1.0</v>
      </c>
      <c r="D152" s="118">
        <v>4.0</v>
      </c>
      <c r="E152" s="370">
        <v>2.0</v>
      </c>
      <c r="F152" s="370">
        <v>2.0</v>
      </c>
      <c r="G152" s="370">
        <v>6.0</v>
      </c>
      <c r="H152" s="395"/>
      <c r="I152" s="168">
        <v>15.0</v>
      </c>
    </row>
    <row r="153" spans="8:8">
      <c r="A153" s="526" t="s">
        <v>158</v>
      </c>
      <c r="B153" s="4" t="s">
        <v>65</v>
      </c>
      <c r="C153" s="93">
        <v>1.0</v>
      </c>
      <c r="D153" s="93">
        <v>9.0</v>
      </c>
      <c r="E153" s="372">
        <v>2.0</v>
      </c>
      <c r="F153" s="372">
        <v>2.0</v>
      </c>
      <c r="G153" s="370">
        <v>6.0</v>
      </c>
      <c r="H153" s="360"/>
      <c r="I153" s="168">
        <v>20.0</v>
      </c>
    </row>
    <row r="154" spans="8:8">
      <c r="A154" s="526" t="s">
        <v>159</v>
      </c>
      <c r="B154" s="4" t="s">
        <v>65</v>
      </c>
      <c r="C154" s="93">
        <v>1.0</v>
      </c>
      <c r="D154" s="93">
        <v>14.0</v>
      </c>
      <c r="E154" s="372">
        <v>2.0</v>
      </c>
      <c r="F154" s="372">
        <v>2.0</v>
      </c>
      <c r="G154" s="370">
        <v>6.0</v>
      </c>
      <c r="H154" s="360"/>
      <c r="I154" s="168">
        <v>25.0</v>
      </c>
    </row>
    <row r="155" spans="8:8">
      <c r="A155" s="526" t="s">
        <v>160</v>
      </c>
      <c r="B155" s="4" t="s">
        <v>65</v>
      </c>
      <c r="C155" s="93">
        <v>1.0</v>
      </c>
      <c r="D155" s="93">
        <v>9.0</v>
      </c>
      <c r="E155" s="372">
        <v>2.0</v>
      </c>
      <c r="F155" s="372">
        <v>2.0</v>
      </c>
      <c r="G155" s="370">
        <v>6.0</v>
      </c>
      <c r="H155" s="360"/>
      <c r="I155" s="168">
        <v>20.0</v>
      </c>
    </row>
    <row r="156" spans="8:8">
      <c r="A156" s="543" t="s">
        <v>161</v>
      </c>
      <c r="B156" s="16" t="s">
        <v>65</v>
      </c>
      <c r="C156" s="93">
        <v>1.0</v>
      </c>
      <c r="D156" s="93">
        <v>14.0</v>
      </c>
      <c r="E156" s="372">
        <v>2.0</v>
      </c>
      <c r="F156" s="372">
        <v>2.0</v>
      </c>
      <c r="G156" s="370">
        <v>6.0</v>
      </c>
      <c r="H156" s="360"/>
      <c r="I156" s="168">
        <v>25.0</v>
      </c>
    </row>
    <row r="157" spans="8:8">
      <c r="A157" s="543" t="s">
        <v>162</v>
      </c>
      <c r="B157" s="16" t="s">
        <v>65</v>
      </c>
      <c r="C157" s="93">
        <v>1.0</v>
      </c>
      <c r="D157" s="93">
        <v>29.0</v>
      </c>
      <c r="E157" s="372">
        <v>2.0</v>
      </c>
      <c r="F157" s="372">
        <v>2.0</v>
      </c>
      <c r="G157" s="370">
        <v>6.0</v>
      </c>
      <c r="H157" s="360"/>
      <c r="I157" s="168">
        <v>40.0</v>
      </c>
    </row>
    <row r="158" spans="8:8">
      <c r="A158" s="543" t="s">
        <v>163</v>
      </c>
      <c r="B158" s="16" t="s">
        <v>65</v>
      </c>
      <c r="C158" s="93">
        <v>1.0</v>
      </c>
      <c r="D158" s="93">
        <v>39.0</v>
      </c>
      <c r="E158" s="372">
        <v>2.0</v>
      </c>
      <c r="F158" s="372">
        <v>2.0</v>
      </c>
      <c r="G158" s="370">
        <v>6.0</v>
      </c>
      <c r="H158" s="360"/>
      <c r="I158" s="168">
        <v>50.0</v>
      </c>
    </row>
    <row r="159" spans="8:8">
      <c r="A159" s="526" t="s">
        <v>164</v>
      </c>
      <c r="B159" s="4" t="s">
        <v>65</v>
      </c>
      <c r="C159" s="93">
        <v>1.0</v>
      </c>
      <c r="D159" s="93">
        <v>19.0</v>
      </c>
      <c r="E159" s="372">
        <v>2.0</v>
      </c>
      <c r="F159" s="372">
        <v>2.0</v>
      </c>
      <c r="G159" s="370">
        <v>6.0</v>
      </c>
      <c r="H159" s="360"/>
      <c r="I159" s="168">
        <f t="shared" si="6"/>
        <v>30.0</v>
      </c>
    </row>
    <row r="160" spans="8:8">
      <c r="A160" s="526" t="s">
        <v>165</v>
      </c>
      <c r="B160" s="4" t="s">
        <v>65</v>
      </c>
      <c r="C160" s="93">
        <v>1.0</v>
      </c>
      <c r="D160" s="93">
        <v>9.0</v>
      </c>
      <c r="E160" s="372">
        <v>2.0</v>
      </c>
      <c r="F160" s="372">
        <v>2.0</v>
      </c>
      <c r="G160" s="370">
        <v>6.0</v>
      </c>
      <c r="H160" s="360"/>
      <c r="I160" s="168">
        <v>20.0</v>
      </c>
    </row>
    <row r="161" spans="8:8">
      <c r="A161" s="526" t="s">
        <v>166</v>
      </c>
      <c r="B161" s="4" t="s">
        <v>65</v>
      </c>
      <c r="C161" s="118">
        <v>1.0</v>
      </c>
      <c r="D161" s="118">
        <v>4.0</v>
      </c>
      <c r="E161" s="370">
        <v>2.0</v>
      </c>
      <c r="F161" s="370">
        <v>2.0</v>
      </c>
      <c r="G161" s="370">
        <v>6.0</v>
      </c>
      <c r="H161" s="395"/>
      <c r="I161" s="168">
        <v>15.0</v>
      </c>
    </row>
    <row r="162" spans="8:8">
      <c r="A162" s="526" t="s">
        <v>167</v>
      </c>
      <c r="B162" s="4" t="s">
        <v>65</v>
      </c>
      <c r="C162" s="93">
        <v>1.0</v>
      </c>
      <c r="D162" s="93">
        <v>9.0</v>
      </c>
      <c r="E162" s="372">
        <v>2.0</v>
      </c>
      <c r="F162" s="372">
        <v>2.0</v>
      </c>
      <c r="G162" s="370">
        <v>6.0</v>
      </c>
      <c r="H162" s="360"/>
      <c r="I162" s="168">
        <v>20.0</v>
      </c>
    </row>
    <row r="163" spans="8:8">
      <c r="A163" s="526" t="s">
        <v>168</v>
      </c>
      <c r="B163" s="4" t="s">
        <v>65</v>
      </c>
      <c r="C163" s="93">
        <v>1.0</v>
      </c>
      <c r="D163" s="93">
        <v>19.0</v>
      </c>
      <c r="E163" s="372">
        <v>2.0</v>
      </c>
      <c r="F163" s="372">
        <v>2.0</v>
      </c>
      <c r="G163" s="370">
        <v>6.0</v>
      </c>
      <c r="H163" s="360"/>
      <c r="I163" s="168">
        <v>30.0</v>
      </c>
    </row>
    <row r="164" spans="8:8">
      <c r="A164" s="526" t="s">
        <v>169</v>
      </c>
      <c r="B164" s="4" t="s">
        <v>65</v>
      </c>
      <c r="C164" s="93">
        <v>1.0</v>
      </c>
      <c r="D164" s="93">
        <v>29.0</v>
      </c>
      <c r="E164" s="372">
        <v>2.0</v>
      </c>
      <c r="F164" s="372">
        <v>2.0</v>
      </c>
      <c r="G164" s="370">
        <v>6.0</v>
      </c>
      <c r="H164" s="360"/>
      <c r="I164" s="168">
        <v>40.0</v>
      </c>
    </row>
    <row r="165" spans="8:8">
      <c r="A165" s="526" t="s">
        <v>170</v>
      </c>
      <c r="B165" s="4" t="s">
        <v>65</v>
      </c>
      <c r="C165" s="118">
        <v>1.0</v>
      </c>
      <c r="D165" s="118">
        <v>4.0</v>
      </c>
      <c r="E165" s="370">
        <v>2.0</v>
      </c>
      <c r="F165" s="370">
        <v>2.0</v>
      </c>
      <c r="G165" s="370">
        <v>6.0</v>
      </c>
      <c r="H165" s="395"/>
      <c r="I165" s="168">
        <v>15.0</v>
      </c>
    </row>
    <row r="166" spans="8:8">
      <c r="A166" s="526" t="s">
        <v>171</v>
      </c>
      <c r="B166" s="4" t="s">
        <v>65</v>
      </c>
      <c r="C166" s="93">
        <v>1.0</v>
      </c>
      <c r="D166" s="93">
        <v>9.0</v>
      </c>
      <c r="E166" s="372">
        <v>2.0</v>
      </c>
      <c r="F166" s="372">
        <v>2.0</v>
      </c>
      <c r="G166" s="370">
        <v>6.0</v>
      </c>
      <c r="H166" s="360"/>
      <c r="I166" s="168">
        <v>20.0</v>
      </c>
    </row>
    <row r="167" spans="8:8">
      <c r="A167" s="526" t="s">
        <v>172</v>
      </c>
      <c r="B167" s="4" t="s">
        <v>65</v>
      </c>
      <c r="C167" s="93">
        <v>1.0</v>
      </c>
      <c r="D167" s="93">
        <v>14.0</v>
      </c>
      <c r="E167" s="372">
        <v>2.0</v>
      </c>
      <c r="F167" s="372">
        <v>2.0</v>
      </c>
      <c r="G167" s="370">
        <v>6.0</v>
      </c>
      <c r="H167" s="360"/>
      <c r="I167" s="168">
        <v>25.0</v>
      </c>
    </row>
    <row r="168" spans="8:8">
      <c r="A168" s="526" t="s">
        <v>173</v>
      </c>
      <c r="B168" s="4" t="s">
        <v>65</v>
      </c>
      <c r="C168" s="93">
        <v>1.0</v>
      </c>
      <c r="D168" s="93">
        <v>19.0</v>
      </c>
      <c r="E168" s="372">
        <v>2.0</v>
      </c>
      <c r="F168" s="372">
        <v>2.0</v>
      </c>
      <c r="G168" s="370">
        <v>6.0</v>
      </c>
      <c r="H168" s="360"/>
      <c r="I168" s="168">
        <f t="shared" si="6"/>
        <v>30.0</v>
      </c>
    </row>
    <row r="169" spans="8:8">
      <c r="A169" s="526" t="s">
        <v>174</v>
      </c>
      <c r="B169" s="4" t="s">
        <v>65</v>
      </c>
      <c r="C169" s="93">
        <v>1.0</v>
      </c>
      <c r="D169" s="93">
        <v>29.0</v>
      </c>
      <c r="E169" s="372">
        <v>2.0</v>
      </c>
      <c r="F169" s="372">
        <v>2.0</v>
      </c>
      <c r="G169" s="370">
        <v>6.0</v>
      </c>
      <c r="H169" s="360"/>
      <c r="I169" s="168">
        <v>40.0</v>
      </c>
    </row>
    <row r="170" spans="8:8">
      <c r="A170" s="526" t="s">
        <v>175</v>
      </c>
      <c r="B170" s="4" t="s">
        <v>65</v>
      </c>
      <c r="C170" s="93">
        <v>1.0</v>
      </c>
      <c r="D170" s="93">
        <v>39.0</v>
      </c>
      <c r="E170" s="372">
        <v>2.0</v>
      </c>
      <c r="F170" s="372">
        <v>2.0</v>
      </c>
      <c r="G170" s="370">
        <v>6.0</v>
      </c>
      <c r="H170" s="360"/>
      <c r="I170" s="168">
        <v>50.0</v>
      </c>
    </row>
    <row r="171" spans="8:8">
      <c r="A171" s="526" t="s">
        <v>176</v>
      </c>
      <c r="B171" s="4" t="s">
        <v>65</v>
      </c>
      <c r="C171" s="93">
        <v>1.0</v>
      </c>
      <c r="D171" s="93">
        <v>19.0</v>
      </c>
      <c r="E171" s="372">
        <v>2.0</v>
      </c>
      <c r="F171" s="372">
        <v>2.0</v>
      </c>
      <c r="G171" s="370">
        <v>6.0</v>
      </c>
      <c r="H171" s="360"/>
      <c r="I171" s="168">
        <f t="shared" si="6"/>
        <v>30.0</v>
      </c>
    </row>
    <row r="172" spans="8:8">
      <c r="A172" s="526" t="s">
        <v>177</v>
      </c>
      <c r="B172" s="4" t="s">
        <v>65</v>
      </c>
      <c r="C172" s="93">
        <v>1.0</v>
      </c>
      <c r="D172" s="93">
        <v>14.0</v>
      </c>
      <c r="E172" s="372">
        <v>2.0</v>
      </c>
      <c r="F172" s="372">
        <v>2.0</v>
      </c>
      <c r="G172" s="370">
        <v>6.0</v>
      </c>
      <c r="H172" s="360"/>
      <c r="I172" s="168">
        <v>25.0</v>
      </c>
    </row>
    <row r="173" spans="8:8">
      <c r="A173" s="526" t="s">
        <v>178</v>
      </c>
      <c r="B173" s="4" t="s">
        <v>65</v>
      </c>
      <c r="C173" s="93">
        <v>1.0</v>
      </c>
      <c r="D173" s="93">
        <v>169.0</v>
      </c>
      <c r="E173" s="372">
        <v>2.0</v>
      </c>
      <c r="F173" s="372">
        <v>2.0</v>
      </c>
      <c r="G173" s="370">
        <v>6.0</v>
      </c>
      <c r="H173" s="360"/>
      <c r="I173" s="168">
        <f t="shared" si="6"/>
        <v>180.0</v>
      </c>
    </row>
    <row r="174" spans="8:8">
      <c r="A174" s="526" t="s">
        <v>179</v>
      </c>
      <c r="B174" s="4" t="s">
        <v>65</v>
      </c>
      <c r="C174" s="93">
        <v>1.0</v>
      </c>
      <c r="D174" s="93">
        <v>44.0</v>
      </c>
      <c r="E174" s="372">
        <v>2.0</v>
      </c>
      <c r="F174" s="372">
        <v>2.0</v>
      </c>
      <c r="G174" s="370">
        <v>6.0</v>
      </c>
      <c r="H174" s="360"/>
      <c r="I174" s="168">
        <f t="shared" si="6"/>
        <v>55.0</v>
      </c>
    </row>
    <row r="175" spans="8:8">
      <c r="A175" s="480" t="s">
        <v>449</v>
      </c>
      <c r="B175" s="4" t="s">
        <v>65</v>
      </c>
      <c r="C175" s="93">
        <v>1.0</v>
      </c>
      <c r="D175" s="93">
        <v>9.0</v>
      </c>
      <c r="E175" s="372">
        <v>2.0</v>
      </c>
      <c r="F175" s="372">
        <v>2.0</v>
      </c>
      <c r="G175" s="370">
        <v>6.0</v>
      </c>
      <c r="H175" s="360"/>
      <c r="I175" s="168">
        <v>20.0</v>
      </c>
    </row>
    <row r="176" spans="8:8">
      <c r="A176" s="480" t="s">
        <v>448</v>
      </c>
      <c r="B176" s="4" t="s">
        <v>65</v>
      </c>
      <c r="C176" s="93">
        <v>1.0</v>
      </c>
      <c r="D176" s="93">
        <v>49.0</v>
      </c>
      <c r="E176" s="372">
        <v>2.0</v>
      </c>
      <c r="F176" s="372">
        <v>2.0</v>
      </c>
      <c r="G176" s="370">
        <v>6.0</v>
      </c>
      <c r="H176" s="360"/>
      <c r="I176" s="168">
        <f t="shared" si="6"/>
        <v>60.0</v>
      </c>
    </row>
    <row r="177" spans="8:8">
      <c r="A177" s="526" t="s">
        <v>182</v>
      </c>
      <c r="B177" s="4" t="s">
        <v>65</v>
      </c>
      <c r="C177" s="118">
        <v>1.0</v>
      </c>
      <c r="D177" s="118">
        <v>4.0</v>
      </c>
      <c r="E177" s="370">
        <v>2.0</v>
      </c>
      <c r="F177" s="370">
        <v>2.0</v>
      </c>
      <c r="G177" s="370">
        <v>6.0</v>
      </c>
      <c r="H177" s="395"/>
      <c r="I177" s="168">
        <v>15.0</v>
      </c>
    </row>
    <row r="178" spans="8:8">
      <c r="A178" s="526" t="s">
        <v>183</v>
      </c>
      <c r="B178" s="4" t="s">
        <v>65</v>
      </c>
      <c r="C178" s="93">
        <v>1.0</v>
      </c>
      <c r="D178" s="93">
        <v>9.0</v>
      </c>
      <c r="E178" s="372">
        <v>2.0</v>
      </c>
      <c r="F178" s="372">
        <v>2.0</v>
      </c>
      <c r="G178" s="370">
        <v>6.0</v>
      </c>
      <c r="H178" s="360"/>
      <c r="I178" s="168">
        <v>20.0</v>
      </c>
    </row>
    <row r="179" spans="8:8">
      <c r="A179" s="526" t="s">
        <v>184</v>
      </c>
      <c r="B179" s="4" t="s">
        <v>65</v>
      </c>
      <c r="C179" s="93">
        <v>1.0</v>
      </c>
      <c r="D179" s="93">
        <v>14.0</v>
      </c>
      <c r="E179" s="372">
        <v>2.0</v>
      </c>
      <c r="F179" s="372">
        <v>2.0</v>
      </c>
      <c r="G179" s="370">
        <v>6.0</v>
      </c>
      <c r="H179" s="360"/>
      <c r="I179" s="168">
        <v>25.0</v>
      </c>
    </row>
    <row r="180" spans="8:8">
      <c r="A180" s="526" t="s">
        <v>185</v>
      </c>
      <c r="B180" s="4" t="s">
        <v>65</v>
      </c>
      <c r="C180" s="93">
        <v>1.0</v>
      </c>
      <c r="D180" s="93">
        <v>19.0</v>
      </c>
      <c r="E180" s="372">
        <v>2.0</v>
      </c>
      <c r="F180" s="372">
        <v>2.0</v>
      </c>
      <c r="G180" s="370">
        <v>6.0</v>
      </c>
      <c r="H180" s="360"/>
      <c r="I180" s="168">
        <v>30.0</v>
      </c>
    </row>
    <row r="181" spans="8:8">
      <c r="A181" s="526" t="s">
        <v>186</v>
      </c>
      <c r="B181" s="4" t="s">
        <v>65</v>
      </c>
      <c r="C181" s="93">
        <v>1.0</v>
      </c>
      <c r="D181" s="93">
        <v>29.0</v>
      </c>
      <c r="E181" s="372">
        <v>2.0</v>
      </c>
      <c r="F181" s="372">
        <v>2.0</v>
      </c>
      <c r="G181" s="370">
        <v>6.0</v>
      </c>
      <c r="H181" s="360"/>
      <c r="I181" s="168">
        <v>40.0</v>
      </c>
    </row>
    <row r="182" spans="8:8">
      <c r="A182" s="526" t="s">
        <v>187</v>
      </c>
      <c r="B182" s="4" t="s">
        <v>65</v>
      </c>
      <c r="C182" s="93">
        <v>1.0</v>
      </c>
      <c r="D182" s="93">
        <v>39.0</v>
      </c>
      <c r="E182" s="372">
        <v>2.0</v>
      </c>
      <c r="F182" s="372">
        <v>2.0</v>
      </c>
      <c r="G182" s="370">
        <v>6.0</v>
      </c>
      <c r="H182" s="360"/>
      <c r="I182" s="168">
        <v>50.0</v>
      </c>
    </row>
    <row r="183" spans="8:8" s="49" ht="15.0" customFormat="1">
      <c r="A183" s="543" t="s">
        <v>188</v>
      </c>
      <c r="B183" s="16" t="s">
        <v>65</v>
      </c>
      <c r="C183" s="118">
        <v>1.0</v>
      </c>
      <c r="D183" s="118">
        <v>4.0</v>
      </c>
      <c r="E183" s="370">
        <v>2.0</v>
      </c>
      <c r="F183" s="370">
        <v>2.0</v>
      </c>
      <c r="G183" s="370">
        <v>6.0</v>
      </c>
      <c r="H183" s="395"/>
      <c r="I183" s="168">
        <f>SUM(C183:H183)</f>
        <v>15.0</v>
      </c>
    </row>
    <row r="184" spans="8:8" s="49" ht="15.0" customFormat="1">
      <c r="A184" s="543" t="s">
        <v>189</v>
      </c>
      <c r="B184" s="16" t="s">
        <v>65</v>
      </c>
      <c r="C184" s="118">
        <v>1.0</v>
      </c>
      <c r="D184" s="118">
        <v>9.0</v>
      </c>
      <c r="E184" s="370">
        <v>2.0</v>
      </c>
      <c r="F184" s="370">
        <v>2.0</v>
      </c>
      <c r="G184" s="370">
        <v>6.0</v>
      </c>
      <c r="H184" s="395"/>
      <c r="I184" s="168">
        <f>SUM(C184:H184)</f>
        <v>20.0</v>
      </c>
    </row>
    <row r="185" spans="8:8">
      <c r="A185" s="526" t="s">
        <v>190</v>
      </c>
      <c r="B185" s="16" t="s">
        <v>65</v>
      </c>
      <c r="C185" s="118">
        <v>1.0</v>
      </c>
      <c r="D185" s="118">
        <v>4.0</v>
      </c>
      <c r="E185" s="370">
        <v>2.0</v>
      </c>
      <c r="F185" s="370">
        <v>2.0</v>
      </c>
      <c r="G185" s="370">
        <v>6.0</v>
      </c>
      <c r="H185" s="395"/>
      <c r="I185" s="168">
        <v>15.0</v>
      </c>
    </row>
    <row r="186" spans="8:8" s="49" ht="15.0" customFormat="1">
      <c r="A186" s="526" t="s">
        <v>191</v>
      </c>
      <c r="B186" s="4" t="s">
        <v>65</v>
      </c>
      <c r="C186" s="93">
        <v>1.0</v>
      </c>
      <c r="D186" s="93">
        <v>9.0</v>
      </c>
      <c r="E186" s="372">
        <v>2.0</v>
      </c>
      <c r="F186" s="372">
        <v>2.0</v>
      </c>
      <c r="G186" s="370">
        <v>6.0</v>
      </c>
      <c r="H186" s="360"/>
      <c r="I186" s="168">
        <v>20.0</v>
      </c>
    </row>
    <row r="187" spans="8:8">
      <c r="A187" s="526" t="s">
        <v>192</v>
      </c>
      <c r="B187" s="4" t="s">
        <v>65</v>
      </c>
      <c r="C187" s="93">
        <v>1.0</v>
      </c>
      <c r="D187" s="93">
        <v>14.0</v>
      </c>
      <c r="E187" s="372">
        <v>2.0</v>
      </c>
      <c r="F187" s="372">
        <v>2.0</v>
      </c>
      <c r="G187" s="370">
        <v>6.0</v>
      </c>
      <c r="H187" s="360"/>
      <c r="I187" s="168">
        <v>25.0</v>
      </c>
    </row>
    <row r="188" spans="8:8">
      <c r="A188" s="526" t="s">
        <v>193</v>
      </c>
      <c r="B188" s="4" t="s">
        <v>65</v>
      </c>
      <c r="C188" s="118">
        <v>1.0</v>
      </c>
      <c r="D188" s="118">
        <v>4.0</v>
      </c>
      <c r="E188" s="370">
        <v>2.0</v>
      </c>
      <c r="F188" s="370">
        <v>2.0</v>
      </c>
      <c r="G188" s="370">
        <v>6.0</v>
      </c>
      <c r="H188" s="395"/>
      <c r="I188" s="168">
        <v>15.0</v>
      </c>
    </row>
    <row r="189" spans="8:8" ht="15.75">
      <c r="A189" s="549" t="s">
        <v>194</v>
      </c>
      <c r="B189" s="30" t="s">
        <v>65</v>
      </c>
      <c r="C189" s="132">
        <v>1.0</v>
      </c>
      <c r="D189" s="132">
        <v>9.0</v>
      </c>
      <c r="E189" s="550">
        <v>2.0</v>
      </c>
      <c r="F189" s="550">
        <v>2.0</v>
      </c>
      <c r="G189" s="551">
        <v>6.0</v>
      </c>
      <c r="H189" s="552"/>
      <c r="I189" s="199">
        <v>20.0</v>
      </c>
    </row>
    <row r="190" spans="8:8" s="445" ht="18.75" customFormat="1" customHeight="1">
      <c r="A190" s="553" t="s">
        <v>443</v>
      </c>
      <c r="B190" s="554"/>
      <c r="C190" s="554"/>
      <c r="D190" s="554"/>
      <c r="E190" s="554"/>
      <c r="F190" s="554"/>
      <c r="G190" s="554"/>
      <c r="H190" s="554"/>
      <c r="I190" s="555"/>
    </row>
    <row r="191" spans="8:8">
      <c r="A191" s="525" t="s">
        <v>197</v>
      </c>
      <c r="B191" s="11" t="s">
        <v>196</v>
      </c>
      <c r="C191" s="118">
        <v>1.0</v>
      </c>
      <c r="D191" s="118">
        <v>85.0</v>
      </c>
      <c r="E191" s="370">
        <v>2.0</v>
      </c>
      <c r="F191" s="370">
        <v>2.0</v>
      </c>
      <c r="G191" s="395"/>
      <c r="H191" s="395"/>
      <c r="I191" s="168">
        <f t="shared" si="8" ref="I191:I254">SUM(C191:H191)</f>
        <v>90.0</v>
      </c>
    </row>
    <row r="192" spans="8:8">
      <c r="A192" s="526" t="s">
        <v>198</v>
      </c>
      <c r="B192" s="4" t="s">
        <v>196</v>
      </c>
      <c r="C192" s="93">
        <v>1.0</v>
      </c>
      <c r="D192" s="93">
        <v>255.0</v>
      </c>
      <c r="E192" s="372">
        <v>2.0</v>
      </c>
      <c r="F192" s="372">
        <v>2.0</v>
      </c>
      <c r="G192" s="360"/>
      <c r="H192" s="360"/>
      <c r="I192" s="168">
        <f t="shared" si="8"/>
        <v>260.0</v>
      </c>
    </row>
    <row r="193" spans="8:8">
      <c r="A193" s="526" t="s">
        <v>199</v>
      </c>
      <c r="B193" s="4" t="s">
        <v>196</v>
      </c>
      <c r="C193" s="93">
        <v>1.0</v>
      </c>
      <c r="D193" s="93">
        <v>85.0</v>
      </c>
      <c r="E193" s="372">
        <v>2.0</v>
      </c>
      <c r="F193" s="372">
        <v>2.0</v>
      </c>
      <c r="G193" s="360"/>
      <c r="H193" s="360"/>
      <c r="I193" s="168">
        <f t="shared" si="8"/>
        <v>90.0</v>
      </c>
    </row>
    <row r="194" spans="8:8">
      <c r="A194" s="526" t="s">
        <v>201</v>
      </c>
      <c r="B194" s="4" t="s">
        <v>196</v>
      </c>
      <c r="C194" s="93">
        <v>1.0</v>
      </c>
      <c r="D194" s="93">
        <v>85.0</v>
      </c>
      <c r="E194" s="372">
        <v>2.0</v>
      </c>
      <c r="F194" s="372">
        <v>2.0</v>
      </c>
      <c r="G194" s="360"/>
      <c r="H194" s="360"/>
      <c r="I194" s="168">
        <f t="shared" si="8"/>
        <v>90.0</v>
      </c>
    </row>
    <row r="195" spans="8:8">
      <c r="A195" s="526" t="s">
        <v>202</v>
      </c>
      <c r="B195" s="16" t="s">
        <v>196</v>
      </c>
      <c r="C195" s="93">
        <v>1.0</v>
      </c>
      <c r="D195" s="93">
        <v>85.0</v>
      </c>
      <c r="E195" s="372">
        <v>2.0</v>
      </c>
      <c r="F195" s="372">
        <v>2.0</v>
      </c>
      <c r="G195" s="360"/>
      <c r="H195" s="360"/>
      <c r="I195" s="168">
        <f t="shared" si="8"/>
        <v>90.0</v>
      </c>
    </row>
    <row r="196" spans="8:8">
      <c r="A196" s="526" t="s">
        <v>203</v>
      </c>
      <c r="B196" s="4" t="s">
        <v>196</v>
      </c>
      <c r="C196" s="93">
        <v>1.0</v>
      </c>
      <c r="D196" s="93">
        <v>85.0</v>
      </c>
      <c r="E196" s="372">
        <v>2.0</v>
      </c>
      <c r="F196" s="372">
        <v>2.0</v>
      </c>
      <c r="G196" s="360"/>
      <c r="H196" s="360"/>
      <c r="I196" s="168">
        <f t="shared" si="8"/>
        <v>90.0</v>
      </c>
    </row>
    <row r="197" spans="8:8">
      <c r="A197" s="526" t="s">
        <v>204</v>
      </c>
      <c r="B197" s="4" t="s">
        <v>196</v>
      </c>
      <c r="C197" s="93">
        <v>1.0</v>
      </c>
      <c r="D197" s="93">
        <v>85.0</v>
      </c>
      <c r="E197" s="372">
        <v>2.0</v>
      </c>
      <c r="F197" s="372">
        <v>2.0</v>
      </c>
      <c r="G197" s="360"/>
      <c r="H197" s="360"/>
      <c r="I197" s="168">
        <f t="shared" si="8"/>
        <v>90.0</v>
      </c>
    </row>
    <row r="198" spans="8:8">
      <c r="A198" s="526" t="s">
        <v>206</v>
      </c>
      <c r="B198" s="4" t="s">
        <v>196</v>
      </c>
      <c r="C198" s="93">
        <v>1.0</v>
      </c>
      <c r="D198" s="93">
        <v>85.0</v>
      </c>
      <c r="E198" s="372">
        <v>2.0</v>
      </c>
      <c r="F198" s="372">
        <v>2.0</v>
      </c>
      <c r="G198" s="360"/>
      <c r="H198" s="360"/>
      <c r="I198" s="168">
        <f t="shared" si="8"/>
        <v>90.0</v>
      </c>
    </row>
    <row r="199" spans="8:8">
      <c r="A199" s="526" t="s">
        <v>207</v>
      </c>
      <c r="B199" s="4" t="s">
        <v>196</v>
      </c>
      <c r="C199" s="93">
        <v>1.0</v>
      </c>
      <c r="D199" s="93">
        <v>85.0</v>
      </c>
      <c r="E199" s="372">
        <v>2.0</v>
      </c>
      <c r="F199" s="372">
        <v>2.0</v>
      </c>
      <c r="G199" s="360"/>
      <c r="H199" s="360"/>
      <c r="I199" s="168">
        <f t="shared" si="8"/>
        <v>90.0</v>
      </c>
    </row>
    <row r="200" spans="8:8">
      <c r="A200" s="526" t="s">
        <v>208</v>
      </c>
      <c r="B200" s="4" t="s">
        <v>196</v>
      </c>
      <c r="C200" s="93">
        <v>1.0</v>
      </c>
      <c r="D200" s="93">
        <v>85.0</v>
      </c>
      <c r="E200" s="372">
        <v>2.0</v>
      </c>
      <c r="F200" s="372">
        <v>2.0</v>
      </c>
      <c r="G200" s="360"/>
      <c r="H200" s="360"/>
      <c r="I200" s="168">
        <f t="shared" si="8"/>
        <v>90.0</v>
      </c>
    </row>
    <row r="201" spans="8:8">
      <c r="A201" s="526" t="s">
        <v>209</v>
      </c>
      <c r="B201" s="4" t="s">
        <v>196</v>
      </c>
      <c r="C201" s="93">
        <v>1.0</v>
      </c>
      <c r="D201" s="93">
        <v>85.0</v>
      </c>
      <c r="E201" s="372">
        <v>2.0</v>
      </c>
      <c r="F201" s="372">
        <v>2.0</v>
      </c>
      <c r="G201" s="360"/>
      <c r="H201" s="360"/>
      <c r="I201" s="168">
        <f t="shared" si="8"/>
        <v>90.0</v>
      </c>
    </row>
    <row r="202" spans="8:8">
      <c r="A202" s="526" t="s">
        <v>210</v>
      </c>
      <c r="B202" s="4" t="s">
        <v>196</v>
      </c>
      <c r="C202" s="93">
        <v>1.0</v>
      </c>
      <c r="D202" s="93">
        <v>85.0</v>
      </c>
      <c r="E202" s="372">
        <v>2.0</v>
      </c>
      <c r="F202" s="372">
        <v>2.0</v>
      </c>
      <c r="G202" s="360"/>
      <c r="H202" s="360"/>
      <c r="I202" s="168">
        <f t="shared" si="8"/>
        <v>90.0</v>
      </c>
    </row>
    <row r="203" spans="8:8">
      <c r="A203" s="526" t="s">
        <v>211</v>
      </c>
      <c r="B203" s="4" t="s">
        <v>196</v>
      </c>
      <c r="C203" s="93">
        <v>1.0</v>
      </c>
      <c r="D203" s="93">
        <v>85.0</v>
      </c>
      <c r="E203" s="372">
        <v>2.0</v>
      </c>
      <c r="F203" s="372">
        <v>2.0</v>
      </c>
      <c r="G203" s="360"/>
      <c r="H203" s="360"/>
      <c r="I203" s="168">
        <f t="shared" si="8"/>
        <v>90.0</v>
      </c>
    </row>
    <row r="204" spans="8:8">
      <c r="A204" s="526" t="s">
        <v>212</v>
      </c>
      <c r="B204" s="4" t="s">
        <v>196</v>
      </c>
      <c r="C204" s="93">
        <v>1.0</v>
      </c>
      <c r="D204" s="93">
        <v>85.0</v>
      </c>
      <c r="E204" s="372">
        <v>2.0</v>
      </c>
      <c r="F204" s="372">
        <v>2.0</v>
      </c>
      <c r="G204" s="360"/>
      <c r="H204" s="360"/>
      <c r="I204" s="168">
        <f t="shared" si="8"/>
        <v>90.0</v>
      </c>
    </row>
    <row r="205" spans="8:8">
      <c r="A205" s="526" t="s">
        <v>214</v>
      </c>
      <c r="B205" s="4" t="s">
        <v>196</v>
      </c>
      <c r="C205" s="93">
        <v>1.0</v>
      </c>
      <c r="D205" s="93">
        <v>85.0</v>
      </c>
      <c r="E205" s="372">
        <v>2.0</v>
      </c>
      <c r="F205" s="372">
        <v>2.0</v>
      </c>
      <c r="G205" s="360"/>
      <c r="H205" s="360"/>
      <c r="I205" s="168">
        <f t="shared" si="8"/>
        <v>90.0</v>
      </c>
    </row>
    <row r="206" spans="8:8">
      <c r="A206" s="526" t="s">
        <v>215</v>
      </c>
      <c r="B206" s="4" t="s">
        <v>196</v>
      </c>
      <c r="C206" s="93">
        <v>1.0</v>
      </c>
      <c r="D206" s="93">
        <v>85.0</v>
      </c>
      <c r="E206" s="372">
        <v>2.0</v>
      </c>
      <c r="F206" s="372">
        <v>2.0</v>
      </c>
      <c r="G206" s="360"/>
      <c r="H206" s="360"/>
      <c r="I206" s="168">
        <f t="shared" si="8"/>
        <v>90.0</v>
      </c>
    </row>
    <row r="207" spans="8:8">
      <c r="A207" s="526" t="s">
        <v>216</v>
      </c>
      <c r="B207" s="4" t="s">
        <v>196</v>
      </c>
      <c r="C207" s="93">
        <v>1.0</v>
      </c>
      <c r="D207" s="93">
        <v>85.0</v>
      </c>
      <c r="E207" s="372">
        <v>2.0</v>
      </c>
      <c r="F207" s="372">
        <v>2.0</v>
      </c>
      <c r="G207" s="360"/>
      <c r="H207" s="360"/>
      <c r="I207" s="168">
        <f t="shared" si="8"/>
        <v>90.0</v>
      </c>
    </row>
    <row r="208" spans="8:8">
      <c r="A208" s="526" t="s">
        <v>217</v>
      </c>
      <c r="B208" s="4" t="s">
        <v>196</v>
      </c>
      <c r="C208" s="93">
        <v>1.0</v>
      </c>
      <c r="D208" s="93">
        <v>85.0</v>
      </c>
      <c r="E208" s="372">
        <v>2.0</v>
      </c>
      <c r="F208" s="372">
        <v>2.0</v>
      </c>
      <c r="G208" s="360"/>
      <c r="H208" s="360"/>
      <c r="I208" s="168">
        <f t="shared" si="8"/>
        <v>90.0</v>
      </c>
    </row>
    <row r="209" spans="8:8">
      <c r="A209" s="526" t="s">
        <v>218</v>
      </c>
      <c r="B209" s="4" t="s">
        <v>196</v>
      </c>
      <c r="C209" s="93">
        <v>1.0</v>
      </c>
      <c r="D209" s="93">
        <v>85.0</v>
      </c>
      <c r="E209" s="372">
        <v>2.0</v>
      </c>
      <c r="F209" s="372">
        <v>2.0</v>
      </c>
      <c r="G209" s="360"/>
      <c r="H209" s="360"/>
      <c r="I209" s="168">
        <f t="shared" si="8"/>
        <v>90.0</v>
      </c>
    </row>
    <row r="210" spans="8:8">
      <c r="A210" s="526" t="s">
        <v>219</v>
      </c>
      <c r="B210" s="4" t="s">
        <v>196</v>
      </c>
      <c r="C210" s="93">
        <v>1.0</v>
      </c>
      <c r="D210" s="93">
        <v>85.0</v>
      </c>
      <c r="E210" s="372">
        <v>2.0</v>
      </c>
      <c r="F210" s="372">
        <v>2.0</v>
      </c>
      <c r="G210" s="360"/>
      <c r="H210" s="360"/>
      <c r="I210" s="168">
        <f t="shared" si="8"/>
        <v>90.0</v>
      </c>
    </row>
    <row r="211" spans="8:8">
      <c r="A211" s="526" t="s">
        <v>220</v>
      </c>
      <c r="B211" s="4" t="s">
        <v>196</v>
      </c>
      <c r="C211" s="93">
        <v>1.0</v>
      </c>
      <c r="D211" s="93">
        <v>85.0</v>
      </c>
      <c r="E211" s="372">
        <v>2.0</v>
      </c>
      <c r="F211" s="372">
        <v>2.0</v>
      </c>
      <c r="G211" s="360"/>
      <c r="H211" s="360"/>
      <c r="I211" s="168">
        <f t="shared" si="8"/>
        <v>90.0</v>
      </c>
    </row>
    <row r="212" spans="8:8">
      <c r="A212" s="543" t="s">
        <v>221</v>
      </c>
      <c r="B212" s="4" t="s">
        <v>196</v>
      </c>
      <c r="C212" s="93">
        <v>1.0</v>
      </c>
      <c r="D212" s="93">
        <v>85.0</v>
      </c>
      <c r="E212" s="372">
        <v>2.0</v>
      </c>
      <c r="F212" s="372">
        <v>2.0</v>
      </c>
      <c r="G212" s="360"/>
      <c r="H212" s="360"/>
      <c r="I212" s="168">
        <f t="shared" si="8"/>
        <v>90.0</v>
      </c>
    </row>
    <row r="213" spans="8:8">
      <c r="A213" s="526" t="s">
        <v>222</v>
      </c>
      <c r="B213" s="4" t="s">
        <v>196</v>
      </c>
      <c r="C213" s="93">
        <v>1.0</v>
      </c>
      <c r="D213" s="93">
        <v>135.0</v>
      </c>
      <c r="E213" s="372">
        <v>2.0</v>
      </c>
      <c r="F213" s="372">
        <v>2.0</v>
      </c>
      <c r="G213" s="360"/>
      <c r="H213" s="360"/>
      <c r="I213" s="168">
        <f t="shared" si="8"/>
        <v>140.0</v>
      </c>
    </row>
    <row r="214" spans="8:8">
      <c r="A214" s="526" t="s">
        <v>223</v>
      </c>
      <c r="B214" s="4" t="s">
        <v>196</v>
      </c>
      <c r="C214" s="93">
        <v>1.0</v>
      </c>
      <c r="D214" s="93">
        <v>95.0</v>
      </c>
      <c r="E214" s="372">
        <v>2.0</v>
      </c>
      <c r="F214" s="372">
        <v>2.0</v>
      </c>
      <c r="G214" s="360"/>
      <c r="H214" s="360"/>
      <c r="I214" s="168">
        <f t="shared" si="8"/>
        <v>100.0</v>
      </c>
    </row>
    <row r="215" spans="8:8">
      <c r="A215" s="526" t="s">
        <v>224</v>
      </c>
      <c r="B215" s="4" t="s">
        <v>196</v>
      </c>
      <c r="C215" s="93">
        <v>1.0</v>
      </c>
      <c r="D215" s="93">
        <v>85.0</v>
      </c>
      <c r="E215" s="372">
        <v>2.0</v>
      </c>
      <c r="F215" s="372">
        <v>2.0</v>
      </c>
      <c r="G215" s="360"/>
      <c r="H215" s="360"/>
      <c r="I215" s="168">
        <f t="shared" si="8"/>
        <v>90.0</v>
      </c>
    </row>
    <row r="216" spans="8:8">
      <c r="A216" s="526" t="s">
        <v>225</v>
      </c>
      <c r="B216" s="4" t="s">
        <v>196</v>
      </c>
      <c r="C216" s="93">
        <v>1.0</v>
      </c>
      <c r="D216" s="93">
        <v>85.0</v>
      </c>
      <c r="E216" s="372">
        <v>2.0</v>
      </c>
      <c r="F216" s="372">
        <v>2.0</v>
      </c>
      <c r="G216" s="360"/>
      <c r="H216" s="360"/>
      <c r="I216" s="168">
        <f t="shared" si="8"/>
        <v>90.0</v>
      </c>
    </row>
    <row r="217" spans="8:8" ht="30.0">
      <c r="A217" s="526" t="s">
        <v>226</v>
      </c>
      <c r="B217" s="4" t="s">
        <v>196</v>
      </c>
      <c r="C217" s="93">
        <v>1.0</v>
      </c>
      <c r="D217" s="93">
        <v>85.0</v>
      </c>
      <c r="E217" s="372">
        <v>2.0</v>
      </c>
      <c r="F217" s="372">
        <v>2.0</v>
      </c>
      <c r="G217" s="360"/>
      <c r="H217" s="360"/>
      <c r="I217" s="168">
        <f t="shared" si="8"/>
        <v>90.0</v>
      </c>
    </row>
    <row r="218" spans="8:8">
      <c r="A218" s="526" t="s">
        <v>228</v>
      </c>
      <c r="B218" s="4" t="s">
        <v>196</v>
      </c>
      <c r="C218" s="93">
        <v>1.0</v>
      </c>
      <c r="D218" s="93">
        <v>85.0</v>
      </c>
      <c r="E218" s="372">
        <v>2.0</v>
      </c>
      <c r="F218" s="372">
        <v>2.0</v>
      </c>
      <c r="G218" s="360"/>
      <c r="H218" s="360"/>
      <c r="I218" s="168">
        <f t="shared" si="8"/>
        <v>90.0</v>
      </c>
    </row>
    <row r="219" spans="8:8">
      <c r="A219" s="526" t="s">
        <v>229</v>
      </c>
      <c r="B219" s="4" t="s">
        <v>196</v>
      </c>
      <c r="C219" s="93">
        <v>1.0</v>
      </c>
      <c r="D219" s="93">
        <v>85.0</v>
      </c>
      <c r="E219" s="372">
        <v>2.0</v>
      </c>
      <c r="F219" s="372">
        <v>2.0</v>
      </c>
      <c r="G219" s="360"/>
      <c r="H219" s="360"/>
      <c r="I219" s="168">
        <f t="shared" si="8"/>
        <v>90.0</v>
      </c>
    </row>
    <row r="220" spans="8:8">
      <c r="A220" s="526" t="s">
        <v>230</v>
      </c>
      <c r="B220" s="4" t="s">
        <v>196</v>
      </c>
      <c r="C220" s="93">
        <v>1.0</v>
      </c>
      <c r="D220" s="93">
        <v>85.0</v>
      </c>
      <c r="E220" s="372">
        <v>2.0</v>
      </c>
      <c r="F220" s="372">
        <v>2.0</v>
      </c>
      <c r="G220" s="360"/>
      <c r="H220" s="360"/>
      <c r="I220" s="168">
        <f t="shared" si="8"/>
        <v>90.0</v>
      </c>
    </row>
    <row r="221" spans="8:8">
      <c r="A221" s="526" t="s">
        <v>231</v>
      </c>
      <c r="B221" s="4" t="s">
        <v>196</v>
      </c>
      <c r="C221" s="93">
        <v>1.0</v>
      </c>
      <c r="D221" s="93">
        <v>85.0</v>
      </c>
      <c r="E221" s="372">
        <v>2.0</v>
      </c>
      <c r="F221" s="372">
        <v>2.0</v>
      </c>
      <c r="G221" s="360"/>
      <c r="H221" s="360"/>
      <c r="I221" s="168">
        <f t="shared" si="8"/>
        <v>90.0</v>
      </c>
    </row>
    <row r="222" spans="8:8">
      <c r="A222" s="526" t="s">
        <v>232</v>
      </c>
      <c r="B222" s="4" t="s">
        <v>196</v>
      </c>
      <c r="C222" s="93">
        <v>1.0</v>
      </c>
      <c r="D222" s="93">
        <v>85.0</v>
      </c>
      <c r="E222" s="372">
        <v>2.0</v>
      </c>
      <c r="F222" s="372">
        <v>2.0</v>
      </c>
      <c r="G222" s="360"/>
      <c r="H222" s="360"/>
      <c r="I222" s="168">
        <f t="shared" si="8"/>
        <v>90.0</v>
      </c>
    </row>
    <row r="223" spans="8:8">
      <c r="A223" s="526" t="s">
        <v>233</v>
      </c>
      <c r="B223" s="4" t="s">
        <v>196</v>
      </c>
      <c r="C223" s="93">
        <v>1.0</v>
      </c>
      <c r="D223" s="93">
        <v>85.0</v>
      </c>
      <c r="E223" s="372">
        <v>2.0</v>
      </c>
      <c r="F223" s="372">
        <v>2.0</v>
      </c>
      <c r="G223" s="360"/>
      <c r="H223" s="360"/>
      <c r="I223" s="168">
        <f t="shared" si="8"/>
        <v>90.0</v>
      </c>
    </row>
    <row r="224" spans="8:8">
      <c r="A224" s="526" t="s">
        <v>234</v>
      </c>
      <c r="B224" s="4" t="s">
        <v>196</v>
      </c>
      <c r="C224" s="93">
        <v>1.0</v>
      </c>
      <c r="D224" s="93">
        <v>85.0</v>
      </c>
      <c r="E224" s="372">
        <v>2.0</v>
      </c>
      <c r="F224" s="372">
        <v>2.0</v>
      </c>
      <c r="G224" s="360"/>
      <c r="H224" s="360"/>
      <c r="I224" s="168">
        <f t="shared" si="8"/>
        <v>90.0</v>
      </c>
    </row>
    <row r="225" spans="8:8">
      <c r="A225" s="526" t="s">
        <v>235</v>
      </c>
      <c r="B225" s="4" t="s">
        <v>196</v>
      </c>
      <c r="C225" s="93">
        <v>1.0</v>
      </c>
      <c r="D225" s="93">
        <v>85.0</v>
      </c>
      <c r="E225" s="372">
        <v>2.0</v>
      </c>
      <c r="F225" s="372">
        <v>2.0</v>
      </c>
      <c r="G225" s="360"/>
      <c r="H225" s="360"/>
      <c r="I225" s="168">
        <f t="shared" si="8"/>
        <v>90.0</v>
      </c>
    </row>
    <row r="226" spans="8:8">
      <c r="A226" s="526" t="s">
        <v>236</v>
      </c>
      <c r="B226" s="4" t="s">
        <v>196</v>
      </c>
      <c r="C226" s="93">
        <v>1.0</v>
      </c>
      <c r="D226" s="93">
        <v>85.0</v>
      </c>
      <c r="E226" s="372">
        <v>2.0</v>
      </c>
      <c r="F226" s="372">
        <v>2.0</v>
      </c>
      <c r="G226" s="360"/>
      <c r="H226" s="360"/>
      <c r="I226" s="168">
        <f t="shared" si="8"/>
        <v>90.0</v>
      </c>
    </row>
    <row r="227" spans="8:8">
      <c r="A227" s="526" t="s">
        <v>237</v>
      </c>
      <c r="B227" s="4" t="s">
        <v>196</v>
      </c>
      <c r="C227" s="93">
        <v>1.0</v>
      </c>
      <c r="D227" s="93">
        <v>85.0</v>
      </c>
      <c r="E227" s="372">
        <v>2.0</v>
      </c>
      <c r="F227" s="372">
        <v>2.0</v>
      </c>
      <c r="G227" s="360"/>
      <c r="H227" s="360"/>
      <c r="I227" s="168">
        <f t="shared" si="8"/>
        <v>90.0</v>
      </c>
    </row>
    <row r="228" spans="8:8">
      <c r="A228" s="526" t="s">
        <v>238</v>
      </c>
      <c r="B228" s="4" t="s">
        <v>196</v>
      </c>
      <c r="C228" s="93">
        <v>1.0</v>
      </c>
      <c r="D228" s="93">
        <v>85.0</v>
      </c>
      <c r="E228" s="372">
        <v>2.0</v>
      </c>
      <c r="F228" s="372">
        <v>2.0</v>
      </c>
      <c r="G228" s="360"/>
      <c r="H228" s="360"/>
      <c r="I228" s="168">
        <f t="shared" si="8"/>
        <v>90.0</v>
      </c>
    </row>
    <row r="229" spans="8:8">
      <c r="A229" s="526" t="s">
        <v>239</v>
      </c>
      <c r="B229" s="4" t="s">
        <v>196</v>
      </c>
      <c r="C229" s="93">
        <v>1.0</v>
      </c>
      <c r="D229" s="93">
        <v>85.0</v>
      </c>
      <c r="E229" s="372">
        <v>2.0</v>
      </c>
      <c r="F229" s="372">
        <v>2.0</v>
      </c>
      <c r="G229" s="360"/>
      <c r="H229" s="360"/>
      <c r="I229" s="168">
        <f t="shared" si="8"/>
        <v>90.0</v>
      </c>
    </row>
    <row r="230" spans="8:8">
      <c r="A230" s="526" t="s">
        <v>240</v>
      </c>
      <c r="B230" s="4" t="s">
        <v>196</v>
      </c>
      <c r="C230" s="93">
        <v>1.0</v>
      </c>
      <c r="D230" s="93">
        <v>85.0</v>
      </c>
      <c r="E230" s="372">
        <v>2.0</v>
      </c>
      <c r="F230" s="372">
        <v>2.0</v>
      </c>
      <c r="G230" s="360"/>
      <c r="H230" s="360"/>
      <c r="I230" s="168">
        <f t="shared" si="8"/>
        <v>90.0</v>
      </c>
    </row>
    <row r="231" spans="8:8">
      <c r="A231" s="526" t="s">
        <v>241</v>
      </c>
      <c r="B231" s="16" t="s">
        <v>196</v>
      </c>
      <c r="C231" s="93">
        <v>1.0</v>
      </c>
      <c r="D231" s="93">
        <v>85.0</v>
      </c>
      <c r="E231" s="372">
        <v>2.0</v>
      </c>
      <c r="F231" s="372">
        <v>2.0</v>
      </c>
      <c r="G231" s="360"/>
      <c r="H231" s="360"/>
      <c r="I231" s="168">
        <f t="shared" si="8"/>
        <v>90.0</v>
      </c>
    </row>
    <row r="232" spans="8:8">
      <c r="A232" s="526" t="s">
        <v>242</v>
      </c>
      <c r="B232" s="4" t="s">
        <v>196</v>
      </c>
      <c r="C232" s="93">
        <v>1.0</v>
      </c>
      <c r="D232" s="93">
        <v>85.0</v>
      </c>
      <c r="E232" s="372">
        <v>2.0</v>
      </c>
      <c r="F232" s="372">
        <v>2.0</v>
      </c>
      <c r="G232" s="360"/>
      <c r="H232" s="360"/>
      <c r="I232" s="168">
        <f t="shared" si="8"/>
        <v>90.0</v>
      </c>
    </row>
    <row r="233" spans="8:8">
      <c r="A233" s="526" t="s">
        <v>243</v>
      </c>
      <c r="B233" s="4" t="s">
        <v>196</v>
      </c>
      <c r="C233" s="93">
        <v>1.0</v>
      </c>
      <c r="D233" s="93">
        <v>85.0</v>
      </c>
      <c r="E233" s="372">
        <v>2.0</v>
      </c>
      <c r="F233" s="372">
        <v>2.0</v>
      </c>
      <c r="G233" s="360"/>
      <c r="H233" s="360"/>
      <c r="I233" s="168">
        <f t="shared" si="8"/>
        <v>90.0</v>
      </c>
    </row>
    <row r="234" spans="8:8" s="49" ht="15.0" customFormat="1">
      <c r="A234" s="526" t="s">
        <v>244</v>
      </c>
      <c r="B234" s="4" t="s">
        <v>196</v>
      </c>
      <c r="C234" s="93">
        <v>1.0</v>
      </c>
      <c r="D234" s="93">
        <v>85.0</v>
      </c>
      <c r="E234" s="372">
        <v>2.0</v>
      </c>
      <c r="F234" s="372">
        <v>2.0</v>
      </c>
      <c r="G234" s="360"/>
      <c r="H234" s="360"/>
      <c r="I234" s="168">
        <f t="shared" si="8"/>
        <v>90.0</v>
      </c>
    </row>
    <row r="235" spans="8:8">
      <c r="A235" s="526" t="s">
        <v>246</v>
      </c>
      <c r="B235" s="4" t="s">
        <v>196</v>
      </c>
      <c r="C235" s="93">
        <v>1.0</v>
      </c>
      <c r="D235" s="93">
        <v>85.0</v>
      </c>
      <c r="E235" s="372">
        <v>2.0</v>
      </c>
      <c r="F235" s="372">
        <v>2.0</v>
      </c>
      <c r="G235" s="360"/>
      <c r="H235" s="360"/>
      <c r="I235" s="168">
        <f t="shared" si="8"/>
        <v>90.0</v>
      </c>
    </row>
    <row r="236" spans="8:8">
      <c r="A236" s="526" t="s">
        <v>247</v>
      </c>
      <c r="B236" s="4" t="s">
        <v>196</v>
      </c>
      <c r="C236" s="93">
        <v>1.0</v>
      </c>
      <c r="D236" s="93">
        <v>85.0</v>
      </c>
      <c r="E236" s="372">
        <v>2.0</v>
      </c>
      <c r="F236" s="372">
        <v>2.0</v>
      </c>
      <c r="G236" s="360"/>
      <c r="H236" s="360"/>
      <c r="I236" s="168">
        <f t="shared" si="8"/>
        <v>90.0</v>
      </c>
    </row>
    <row r="237" spans="8:8">
      <c r="A237" s="526" t="s">
        <v>248</v>
      </c>
      <c r="B237" s="4" t="s">
        <v>196</v>
      </c>
      <c r="C237" s="93">
        <v>1.0</v>
      </c>
      <c r="D237" s="93">
        <v>85.0</v>
      </c>
      <c r="E237" s="372">
        <v>2.0</v>
      </c>
      <c r="F237" s="372">
        <v>2.0</v>
      </c>
      <c r="G237" s="360"/>
      <c r="H237" s="360"/>
      <c r="I237" s="168">
        <f t="shared" si="8"/>
        <v>90.0</v>
      </c>
    </row>
    <row r="238" spans="8:8">
      <c r="A238" s="526" t="s">
        <v>249</v>
      </c>
      <c r="B238" s="4" t="s">
        <v>196</v>
      </c>
      <c r="C238" s="93">
        <v>1.0</v>
      </c>
      <c r="D238" s="93">
        <v>85.0</v>
      </c>
      <c r="E238" s="372">
        <v>2.0</v>
      </c>
      <c r="F238" s="372">
        <v>2.0</v>
      </c>
      <c r="G238" s="360"/>
      <c r="H238" s="360"/>
      <c r="I238" s="168">
        <f t="shared" si="8"/>
        <v>90.0</v>
      </c>
    </row>
    <row r="239" spans="8:8">
      <c r="A239" s="526" t="s">
        <v>250</v>
      </c>
      <c r="B239" s="4" t="s">
        <v>196</v>
      </c>
      <c r="C239" s="93">
        <v>1.0</v>
      </c>
      <c r="D239" s="93">
        <v>85.0</v>
      </c>
      <c r="E239" s="372">
        <v>2.0</v>
      </c>
      <c r="F239" s="372">
        <v>2.0</v>
      </c>
      <c r="G239" s="360"/>
      <c r="H239" s="360"/>
      <c r="I239" s="168">
        <f t="shared" si="8"/>
        <v>90.0</v>
      </c>
    </row>
    <row r="240" spans="8:8">
      <c r="A240" s="526" t="s">
        <v>251</v>
      </c>
      <c r="B240" s="4" t="s">
        <v>196</v>
      </c>
      <c r="C240" s="93">
        <v>1.0</v>
      </c>
      <c r="D240" s="93">
        <v>85.0</v>
      </c>
      <c r="E240" s="372">
        <v>2.0</v>
      </c>
      <c r="F240" s="372">
        <v>2.0</v>
      </c>
      <c r="G240" s="360"/>
      <c r="H240" s="360"/>
      <c r="I240" s="168">
        <f t="shared" si="8"/>
        <v>90.0</v>
      </c>
    </row>
    <row r="241" spans="8:8">
      <c r="A241" s="526" t="s">
        <v>252</v>
      </c>
      <c r="B241" s="4" t="s">
        <v>196</v>
      </c>
      <c r="C241" s="93">
        <v>1.0</v>
      </c>
      <c r="D241" s="93">
        <v>85.0</v>
      </c>
      <c r="E241" s="372">
        <v>2.0</v>
      </c>
      <c r="F241" s="372">
        <v>2.0</v>
      </c>
      <c r="G241" s="360"/>
      <c r="H241" s="360"/>
      <c r="I241" s="168">
        <f t="shared" si="8"/>
        <v>90.0</v>
      </c>
    </row>
    <row r="242" spans="8:8">
      <c r="A242" s="526" t="s">
        <v>253</v>
      </c>
      <c r="B242" s="4" t="s">
        <v>196</v>
      </c>
      <c r="C242" s="93">
        <v>1.0</v>
      </c>
      <c r="D242" s="93">
        <v>85.0</v>
      </c>
      <c r="E242" s="372">
        <v>2.0</v>
      </c>
      <c r="F242" s="372">
        <v>2.0</v>
      </c>
      <c r="G242" s="360"/>
      <c r="H242" s="360"/>
      <c r="I242" s="168">
        <f t="shared" si="8"/>
        <v>90.0</v>
      </c>
    </row>
    <row r="243" spans="8:8">
      <c r="A243" s="526" t="s">
        <v>254</v>
      </c>
      <c r="B243" s="4" t="s">
        <v>196</v>
      </c>
      <c r="C243" s="93">
        <v>1.0</v>
      </c>
      <c r="D243" s="93">
        <v>85.0</v>
      </c>
      <c r="E243" s="372">
        <v>2.0</v>
      </c>
      <c r="F243" s="372">
        <v>2.0</v>
      </c>
      <c r="G243" s="360"/>
      <c r="H243" s="360"/>
      <c r="I243" s="168">
        <f t="shared" si="8"/>
        <v>90.0</v>
      </c>
    </row>
    <row r="244" spans="8:8">
      <c r="A244" s="526" t="s">
        <v>255</v>
      </c>
      <c r="B244" s="4" t="s">
        <v>196</v>
      </c>
      <c r="C244" s="93">
        <v>1.0</v>
      </c>
      <c r="D244" s="93">
        <v>85.0</v>
      </c>
      <c r="E244" s="372">
        <v>2.0</v>
      </c>
      <c r="F244" s="372">
        <v>2.0</v>
      </c>
      <c r="G244" s="360"/>
      <c r="H244" s="360"/>
      <c r="I244" s="168">
        <f t="shared" si="8"/>
        <v>90.0</v>
      </c>
    </row>
    <row r="245" spans="8:8">
      <c r="A245" s="526" t="s">
        <v>256</v>
      </c>
      <c r="B245" s="4" t="s">
        <v>196</v>
      </c>
      <c r="C245" s="93">
        <v>1.0</v>
      </c>
      <c r="D245" s="93">
        <v>85.0</v>
      </c>
      <c r="E245" s="372">
        <v>2.0</v>
      </c>
      <c r="F245" s="372">
        <v>2.0</v>
      </c>
      <c r="G245" s="360"/>
      <c r="H245" s="360"/>
      <c r="I245" s="168">
        <f t="shared" si="8"/>
        <v>90.0</v>
      </c>
    </row>
    <row r="246" spans="8:8">
      <c r="A246" s="526" t="s">
        <v>257</v>
      </c>
      <c r="B246" s="4" t="s">
        <v>196</v>
      </c>
      <c r="C246" s="93">
        <v>1.0</v>
      </c>
      <c r="D246" s="93">
        <v>85.0</v>
      </c>
      <c r="E246" s="372">
        <v>2.0</v>
      </c>
      <c r="F246" s="372">
        <v>2.0</v>
      </c>
      <c r="G246" s="360"/>
      <c r="H246" s="360"/>
      <c r="I246" s="168">
        <f t="shared" si="8"/>
        <v>90.0</v>
      </c>
    </row>
    <row r="247" spans="8:8">
      <c r="A247" s="526" t="s">
        <v>258</v>
      </c>
      <c r="B247" s="4" t="s">
        <v>196</v>
      </c>
      <c r="C247" s="93">
        <v>1.0</v>
      </c>
      <c r="D247" s="93">
        <v>85.0</v>
      </c>
      <c r="E247" s="372">
        <v>2.0</v>
      </c>
      <c r="F247" s="372">
        <v>2.0</v>
      </c>
      <c r="G247" s="360"/>
      <c r="H247" s="360"/>
      <c r="I247" s="168">
        <f t="shared" si="8"/>
        <v>90.0</v>
      </c>
    </row>
    <row r="248" spans="8:8">
      <c r="A248" s="526" t="s">
        <v>259</v>
      </c>
      <c r="B248" s="4" t="s">
        <v>196</v>
      </c>
      <c r="C248" s="93">
        <v>1.0</v>
      </c>
      <c r="D248" s="93">
        <v>85.0</v>
      </c>
      <c r="E248" s="372">
        <v>2.0</v>
      </c>
      <c r="F248" s="372">
        <v>2.0</v>
      </c>
      <c r="G248" s="360"/>
      <c r="H248" s="360"/>
      <c r="I248" s="168">
        <f t="shared" si="8"/>
        <v>90.0</v>
      </c>
    </row>
    <row r="249" spans="8:8">
      <c r="A249" s="526" t="s">
        <v>260</v>
      </c>
      <c r="B249" s="4" t="s">
        <v>196</v>
      </c>
      <c r="C249" s="93">
        <v>1.0</v>
      </c>
      <c r="D249" s="93">
        <v>125.0</v>
      </c>
      <c r="E249" s="372">
        <v>2.0</v>
      </c>
      <c r="F249" s="372">
        <v>2.0</v>
      </c>
      <c r="G249" s="360"/>
      <c r="H249" s="360"/>
      <c r="I249" s="168">
        <f t="shared" si="8"/>
        <v>130.0</v>
      </c>
    </row>
    <row r="250" spans="8:8">
      <c r="A250" s="526" t="s">
        <v>262</v>
      </c>
      <c r="B250" s="4" t="s">
        <v>196</v>
      </c>
      <c r="C250" s="93">
        <v>1.0</v>
      </c>
      <c r="D250" s="93">
        <v>105.0</v>
      </c>
      <c r="E250" s="372">
        <v>2.0</v>
      </c>
      <c r="F250" s="372">
        <v>2.0</v>
      </c>
      <c r="G250" s="360"/>
      <c r="H250" s="360"/>
      <c r="I250" s="168">
        <f t="shared" si="8"/>
        <v>110.0</v>
      </c>
    </row>
    <row r="251" spans="8:8">
      <c r="A251" s="526" t="s">
        <v>265</v>
      </c>
      <c r="B251" s="4" t="s">
        <v>196</v>
      </c>
      <c r="C251" s="93">
        <v>1.0</v>
      </c>
      <c r="D251" s="93">
        <v>85.0</v>
      </c>
      <c r="E251" s="372">
        <v>2.0</v>
      </c>
      <c r="F251" s="372">
        <v>2.0</v>
      </c>
      <c r="G251" s="360"/>
      <c r="H251" s="360"/>
      <c r="I251" s="168">
        <f t="shared" si="8"/>
        <v>90.0</v>
      </c>
    </row>
    <row r="252" spans="8:8">
      <c r="A252" s="526" t="s">
        <v>266</v>
      </c>
      <c r="B252" s="4" t="s">
        <v>196</v>
      </c>
      <c r="C252" s="93">
        <v>1.0</v>
      </c>
      <c r="D252" s="93">
        <v>95.0</v>
      </c>
      <c r="E252" s="372">
        <v>2.0</v>
      </c>
      <c r="F252" s="372">
        <v>2.0</v>
      </c>
      <c r="G252" s="360"/>
      <c r="H252" s="360"/>
      <c r="I252" s="168">
        <f t="shared" si="8"/>
        <v>100.0</v>
      </c>
    </row>
    <row r="253" spans="8:8">
      <c r="A253" s="526" t="s">
        <v>267</v>
      </c>
      <c r="B253" s="4" t="s">
        <v>196</v>
      </c>
      <c r="C253" s="93">
        <v>1.0</v>
      </c>
      <c r="D253" s="93">
        <v>95.0</v>
      </c>
      <c r="E253" s="372">
        <v>2.0</v>
      </c>
      <c r="F253" s="372">
        <v>2.0</v>
      </c>
      <c r="G253" s="360"/>
      <c r="H253" s="360"/>
      <c r="I253" s="168">
        <f t="shared" si="8"/>
        <v>100.0</v>
      </c>
    </row>
    <row r="254" spans="8:8">
      <c r="A254" s="526" t="s">
        <v>268</v>
      </c>
      <c r="B254" s="4" t="s">
        <v>196</v>
      </c>
      <c r="C254" s="93">
        <v>1.0</v>
      </c>
      <c r="D254" s="93">
        <v>95.0</v>
      </c>
      <c r="E254" s="372">
        <v>2.0</v>
      </c>
      <c r="F254" s="372">
        <v>2.0</v>
      </c>
      <c r="G254" s="360"/>
      <c r="H254" s="360"/>
      <c r="I254" s="168">
        <f t="shared" si="8"/>
        <v>100.0</v>
      </c>
    </row>
    <row r="255" spans="8:8">
      <c r="A255" s="526" t="s">
        <v>269</v>
      </c>
      <c r="B255" s="4" t="s">
        <v>196</v>
      </c>
      <c r="C255" s="93">
        <v>1.0</v>
      </c>
      <c r="D255" s="93">
        <v>95.0</v>
      </c>
      <c r="E255" s="372">
        <v>2.0</v>
      </c>
      <c r="F255" s="372">
        <v>2.0</v>
      </c>
      <c r="G255" s="360"/>
      <c r="H255" s="360"/>
      <c r="I255" s="168">
        <f t="shared" si="9" ref="I255:I263">SUM(C255:H255)</f>
        <v>100.0</v>
      </c>
    </row>
    <row r="256" spans="8:8">
      <c r="A256" s="526" t="s">
        <v>270</v>
      </c>
      <c r="B256" s="4" t="s">
        <v>196</v>
      </c>
      <c r="C256" s="93">
        <v>1.0</v>
      </c>
      <c r="D256" s="93">
        <v>95.0</v>
      </c>
      <c r="E256" s="372">
        <v>2.0</v>
      </c>
      <c r="F256" s="372">
        <v>2.0</v>
      </c>
      <c r="G256" s="360"/>
      <c r="H256" s="360"/>
      <c r="I256" s="168">
        <f t="shared" si="9"/>
        <v>100.0</v>
      </c>
    </row>
    <row r="257" spans="8:8">
      <c r="A257" s="526" t="s">
        <v>271</v>
      </c>
      <c r="B257" s="4" t="s">
        <v>196</v>
      </c>
      <c r="C257" s="93">
        <v>1.0</v>
      </c>
      <c r="D257" s="93">
        <v>95.0</v>
      </c>
      <c r="E257" s="372">
        <v>2.0</v>
      </c>
      <c r="F257" s="372">
        <v>2.0</v>
      </c>
      <c r="G257" s="360"/>
      <c r="H257" s="360"/>
      <c r="I257" s="168">
        <f t="shared" si="9"/>
        <v>100.0</v>
      </c>
    </row>
    <row r="258" spans="8:8">
      <c r="A258" s="526" t="s">
        <v>272</v>
      </c>
      <c r="B258" s="4" t="s">
        <v>196</v>
      </c>
      <c r="C258" s="93">
        <v>1.0</v>
      </c>
      <c r="D258" s="93">
        <v>95.0</v>
      </c>
      <c r="E258" s="372">
        <v>2.0</v>
      </c>
      <c r="F258" s="372">
        <v>2.0</v>
      </c>
      <c r="G258" s="360"/>
      <c r="H258" s="360"/>
      <c r="I258" s="168">
        <f t="shared" si="9"/>
        <v>100.0</v>
      </c>
    </row>
    <row r="259" spans="8:8">
      <c r="A259" s="526" t="s">
        <v>273</v>
      </c>
      <c r="B259" s="4" t="s">
        <v>196</v>
      </c>
      <c r="C259" s="93">
        <v>1.0</v>
      </c>
      <c r="D259" s="93">
        <v>95.0</v>
      </c>
      <c r="E259" s="372">
        <v>2.0</v>
      </c>
      <c r="F259" s="372">
        <v>2.0</v>
      </c>
      <c r="G259" s="360"/>
      <c r="H259" s="360"/>
      <c r="I259" s="168">
        <f t="shared" si="9"/>
        <v>100.0</v>
      </c>
    </row>
    <row r="260" spans="8:8">
      <c r="A260" s="526" t="s">
        <v>274</v>
      </c>
      <c r="B260" s="4" t="s">
        <v>196</v>
      </c>
      <c r="C260" s="93">
        <v>1.0</v>
      </c>
      <c r="D260" s="93">
        <v>95.0</v>
      </c>
      <c r="E260" s="372">
        <v>2.0</v>
      </c>
      <c r="F260" s="372">
        <v>2.0</v>
      </c>
      <c r="G260" s="360"/>
      <c r="H260" s="360"/>
      <c r="I260" s="168">
        <f t="shared" si="9"/>
        <v>100.0</v>
      </c>
    </row>
    <row r="261" spans="8:8">
      <c r="A261" s="526" t="s">
        <v>275</v>
      </c>
      <c r="B261" s="4" t="s">
        <v>196</v>
      </c>
      <c r="C261" s="93">
        <v>1.0</v>
      </c>
      <c r="D261" s="93">
        <v>95.0</v>
      </c>
      <c r="E261" s="372">
        <v>2.0</v>
      </c>
      <c r="F261" s="372">
        <v>2.0</v>
      </c>
      <c r="G261" s="360"/>
      <c r="H261" s="360"/>
      <c r="I261" s="168">
        <f t="shared" si="9"/>
        <v>100.0</v>
      </c>
    </row>
    <row r="262" spans="8:8">
      <c r="A262" s="526" t="s">
        <v>276</v>
      </c>
      <c r="B262" s="4" t="s">
        <v>196</v>
      </c>
      <c r="C262" s="93">
        <v>1.0</v>
      </c>
      <c r="D262" s="93">
        <v>105.0</v>
      </c>
      <c r="E262" s="372">
        <v>2.0</v>
      </c>
      <c r="F262" s="372">
        <v>2.0</v>
      </c>
      <c r="G262" s="360"/>
      <c r="H262" s="360"/>
      <c r="I262" s="168">
        <f t="shared" si="9"/>
        <v>110.0</v>
      </c>
    </row>
    <row r="263" spans="8:8">
      <c r="A263" s="543" t="s">
        <v>277</v>
      </c>
      <c r="B263" s="4" t="s">
        <v>196</v>
      </c>
      <c r="C263" s="93">
        <v>1.0</v>
      </c>
      <c r="D263" s="93">
        <v>85.0</v>
      </c>
      <c r="E263" s="372">
        <v>2.0</v>
      </c>
      <c r="F263" s="372">
        <v>2.0</v>
      </c>
      <c r="G263" s="360"/>
      <c r="H263" s="360"/>
      <c r="I263" s="168">
        <f t="shared" si="9"/>
        <v>90.0</v>
      </c>
    </row>
    <row r="264" spans="8:8" ht="15.75">
      <c r="A264" s="527" t="s">
        <v>280</v>
      </c>
      <c r="B264" s="528" t="s">
        <v>196</v>
      </c>
      <c r="C264" s="109">
        <v>38.0</v>
      </c>
      <c r="D264" s="109">
        <v>118.0</v>
      </c>
      <c r="E264" s="463">
        <v>2.0</v>
      </c>
      <c r="F264" s="463">
        <v>2.0</v>
      </c>
      <c r="G264" s="545"/>
      <c r="H264" s="545"/>
      <c r="I264" s="529">
        <f>SUM(C264:H264)</f>
        <v>160.0</v>
      </c>
    </row>
    <row r="265" spans="8:8">
      <c r="A265" s="556" t="s">
        <v>281</v>
      </c>
      <c r="B265" s="399" t="s">
        <v>282</v>
      </c>
      <c r="C265" s="440">
        <v>250.0</v>
      </c>
      <c r="D265" s="440"/>
      <c r="E265" s="370"/>
      <c r="F265" s="370"/>
      <c r="G265" s="395"/>
      <c r="H265" s="395"/>
      <c r="I265" s="225">
        <f t="shared" si="10" ref="I265:I275">SUM(C265:H265)</f>
        <v>250.0</v>
      </c>
    </row>
    <row r="266" spans="8:8" ht="15.75">
      <c r="A266" s="557" t="s">
        <v>283</v>
      </c>
      <c r="B266" s="401" t="s">
        <v>282</v>
      </c>
      <c r="C266" s="441">
        <v>250.0</v>
      </c>
      <c r="D266" s="441"/>
      <c r="E266" s="392"/>
      <c r="F266" s="392"/>
      <c r="G266" s="397"/>
      <c r="H266" s="397"/>
      <c r="I266" s="403">
        <f t="shared" si="10"/>
        <v>250.0</v>
      </c>
    </row>
    <row r="267" spans="8:8" ht="15.75">
      <c r="A267" s="556" t="s">
        <v>284</v>
      </c>
      <c r="B267" s="399" t="s">
        <v>285</v>
      </c>
      <c r="C267" s="440">
        <v>2.0</v>
      </c>
      <c r="D267" s="440"/>
      <c r="E267" s="370"/>
      <c r="F267" s="370"/>
      <c r="G267" s="395"/>
      <c r="H267" s="395"/>
      <c r="I267" s="225">
        <f t="shared" si="10"/>
        <v>2.0</v>
      </c>
    </row>
    <row r="268" spans="8:8">
      <c r="A268" s="547" t="s">
        <v>286</v>
      </c>
      <c r="B268" s="208" t="s">
        <v>285</v>
      </c>
      <c r="C268" s="442">
        <v>2.0</v>
      </c>
      <c r="D268" s="442"/>
      <c r="E268" s="372"/>
      <c r="F268" s="372"/>
      <c r="G268" s="360"/>
      <c r="H268" s="360"/>
      <c r="I268" s="210">
        <f t="shared" si="10"/>
        <v>2.0</v>
      </c>
    </row>
    <row r="269" spans="8:8">
      <c r="A269" s="543" t="s">
        <v>4</v>
      </c>
      <c r="B269" s="16" t="s">
        <v>285</v>
      </c>
      <c r="C269" s="442">
        <v>2.0</v>
      </c>
      <c r="D269" s="442"/>
      <c r="E269" s="372"/>
      <c r="F269" s="372"/>
      <c r="G269" s="360"/>
      <c r="H269" s="360"/>
      <c r="I269" s="210">
        <f t="shared" si="10"/>
        <v>2.0</v>
      </c>
    </row>
    <row r="270" spans="8:8">
      <c r="A270" s="543" t="s">
        <v>406</v>
      </c>
      <c r="B270" s="16" t="s">
        <v>285</v>
      </c>
      <c r="C270" s="442">
        <v>5.0</v>
      </c>
      <c r="D270" s="442"/>
      <c r="E270" s="372"/>
      <c r="F270" s="372"/>
      <c r="G270" s="360"/>
      <c r="H270" s="360"/>
      <c r="I270" s="210">
        <f t="shared" si="10"/>
        <v>5.0</v>
      </c>
    </row>
    <row r="271" spans="8:8">
      <c r="A271" s="547" t="s">
        <v>287</v>
      </c>
      <c r="B271" s="16" t="s">
        <v>285</v>
      </c>
      <c r="C271" s="442">
        <v>4.0</v>
      </c>
      <c r="D271" s="442"/>
      <c r="E271" s="372"/>
      <c r="F271" s="372"/>
      <c r="G271" s="360"/>
      <c r="H271" s="360"/>
      <c r="I271" s="210">
        <f t="shared" si="10"/>
        <v>4.0</v>
      </c>
    </row>
    <row r="272" spans="8:8">
      <c r="A272" s="543" t="s">
        <v>319</v>
      </c>
      <c r="B272" s="16" t="s">
        <v>285</v>
      </c>
      <c r="C272" s="442">
        <v>3.0</v>
      </c>
      <c r="D272" s="442"/>
      <c r="E272" s="372"/>
      <c r="F272" s="372"/>
      <c r="G272" s="360"/>
      <c r="H272" s="360"/>
      <c r="I272" s="210">
        <f t="shared" si="10"/>
        <v>3.0</v>
      </c>
    </row>
    <row r="273" spans="8:8">
      <c r="A273" s="543" t="s">
        <v>5</v>
      </c>
      <c r="B273" s="16" t="s">
        <v>285</v>
      </c>
      <c r="C273" s="442">
        <v>2.0</v>
      </c>
      <c r="D273" s="442"/>
      <c r="E273" s="372"/>
      <c r="F273" s="372"/>
      <c r="G273" s="360"/>
      <c r="H273" s="360"/>
      <c r="I273" s="210">
        <f t="shared" si="10"/>
        <v>2.0</v>
      </c>
    </row>
    <row r="274" spans="8:8" ht="15.75">
      <c r="A274" s="558" t="s">
        <v>288</v>
      </c>
      <c r="B274" s="396" t="s">
        <v>285</v>
      </c>
      <c r="C274" s="441">
        <v>6.0</v>
      </c>
      <c r="D274" s="441"/>
      <c r="E274" s="392"/>
      <c r="F274" s="392"/>
      <c r="G274" s="397"/>
      <c r="H274" s="397"/>
      <c r="I274" s="403">
        <f t="shared" si="10"/>
        <v>6.0</v>
      </c>
    </row>
    <row r="275" spans="8:8" ht="15.75">
      <c r="A275" s="556" t="s">
        <v>291</v>
      </c>
      <c r="B275" s="399" t="s">
        <v>290</v>
      </c>
      <c r="C275" s="440">
        <v>20.0</v>
      </c>
      <c r="D275" s="440">
        <v>36.0</v>
      </c>
      <c r="E275" s="370">
        <v>2.0</v>
      </c>
      <c r="F275" s="370">
        <v>2.0</v>
      </c>
      <c r="G275" s="395"/>
      <c r="H275" s="395"/>
      <c r="I275" s="225">
        <f t="shared" si="10"/>
        <v>60.0</v>
      </c>
    </row>
    <row r="276" spans="8:8">
      <c r="A276" s="445"/>
      <c r="C276" s="161"/>
    </row>
    <row r="277" spans="8:8">
      <c r="A277" s="445"/>
      <c r="C277" s="161"/>
    </row>
    <row r="278" spans="8:8">
      <c r="A278" s="445"/>
    </row>
    <row r="279" spans="8:8">
      <c r="A279" s="445"/>
    </row>
    <row r="281" spans="8:8">
      <c r="A281" s="523" t="s">
        <v>351</v>
      </c>
    </row>
    <row r="290" spans="8:8">
      <c r="H290" s="351"/>
    </row>
    <row r="291" spans="8:8" s="49" ht="15.0" customFormat="1">
      <c r="A291" s="523"/>
      <c r="B291" s="39"/>
      <c r="C291" s="40"/>
      <c r="D291" s="163"/>
      <c r="E291" s="163"/>
      <c r="F291" s="163"/>
      <c r="G291" s="314"/>
      <c r="H291" s="351"/>
    </row>
    <row r="299" spans="8:8" s="49" ht="15.0" customFormat="1">
      <c r="A299" s="523"/>
      <c r="B299" s="39"/>
      <c r="C299" s="40"/>
      <c r="D299" s="163"/>
      <c r="E299" s="163"/>
      <c r="F299" s="163"/>
      <c r="G299" s="314"/>
      <c r="H299" s="351"/>
    </row>
    <row r="302" spans="8:8" s="49" ht="15.0" customFormat="1">
      <c r="A302" s="523"/>
      <c r="B302" s="39"/>
      <c r="C302" s="40"/>
      <c r="D302" s="163"/>
      <c r="E302" s="163"/>
      <c r="F302" s="163"/>
      <c r="G302" s="314"/>
      <c r="H302" s="351"/>
    </row>
    <row r="303" spans="8:8" s="49" ht="15.0" customFormat="1">
      <c r="A303" s="523"/>
      <c r="B303" s="39"/>
      <c r="C303" s="40"/>
      <c r="D303" s="163"/>
      <c r="E303" s="163"/>
      <c r="F303" s="163"/>
      <c r="G303" s="314"/>
      <c r="H303" s="351"/>
    </row>
    <row r="304" spans="8:8">
      <c r="H304" s="248"/>
    </row>
    <row r="305" spans="8:8">
      <c r="H305" s="248"/>
    </row>
  </sheetData>
  <mergeCells count="1">
    <mergeCell ref="A190:I190"/>
  </mergeCells>
  <pageMargins left="0.71" right="0.7" top="0.42" bottom="0.46" header="0.16" footer="0.3"/>
  <legacyDrawing r:id="rId1"/>
</worksheet>
</file>

<file path=xl/worksheets/sheet37.xml><?xml version="1.0" encoding="utf-8"?>
<worksheet xmlns:r="http://schemas.openxmlformats.org/officeDocument/2006/relationships" xmlns="http://schemas.openxmlformats.org/spreadsheetml/2006/main">
  <dimension ref="A1:O299"/>
  <sheetViews>
    <sheetView tabSelected="1" workbookViewId="0">
      <pane ySplit="1" topLeftCell="A118" state="frozen" activePane="bottomLeft"/>
      <selection pane="bottomLeft" activeCell="A136" sqref="A136:XFD136"/>
    </sheetView>
  </sheetViews>
  <sheetFormatPr defaultRowHeight="15.0" defaultColWidth="10"/>
  <cols>
    <col min="1" max="1" customWidth="1" width="60.140625" style="523"/>
    <col min="2" max="2" customWidth="1" width="14.140625" style="192"/>
    <col min="3" max="3" customWidth="1" width="14.5703125" style="40"/>
    <col min="4" max="5" customWidth="1" width="18.140625" style="163"/>
    <col min="6" max="6" customWidth="1" width="19.710938" style="163"/>
    <col min="7" max="7" customWidth="1" width="12.5703125" style="314"/>
    <col min="8" max="8" customWidth="1" width="11.140625" style="244"/>
    <col min="9" max="9" customWidth="1" width="17.0" style="39"/>
    <col min="10" max="11" customWidth="1" bestFit="1" width="16.0" style="39"/>
    <col min="12" max="12" customWidth="1" bestFit="1" width="17.285156" style="39"/>
    <col min="13" max="13" customWidth="0" width="11.425781" style="39"/>
    <col min="14" max="14" customWidth="1" bestFit="1" width="14.140625" style="39"/>
    <col min="15" max="16384" customWidth="0" width="11.425781" style="39"/>
  </cols>
  <sheetData>
    <row r="1" spans="8:8" s="559" ht="48.0" customFormat="1">
      <c r="A1" s="560" t="s">
        <v>0</v>
      </c>
      <c r="B1" s="561" t="s">
        <v>1</v>
      </c>
      <c r="C1" s="562" t="s">
        <v>416</v>
      </c>
      <c r="D1" s="562" t="s">
        <v>3</v>
      </c>
      <c r="E1" s="563" t="s">
        <v>4</v>
      </c>
      <c r="F1" s="563" t="s">
        <v>5</v>
      </c>
      <c r="G1" s="563" t="s">
        <v>406</v>
      </c>
      <c r="H1" s="564" t="s">
        <v>319</v>
      </c>
      <c r="I1" s="565" t="s">
        <v>434</v>
      </c>
    </row>
    <row r="2" spans="8:8" ht="30.0">
      <c r="A2" s="566" t="s">
        <v>469</v>
      </c>
      <c r="B2" s="567" t="s">
        <v>8</v>
      </c>
      <c r="C2" s="118">
        <v>1.0</v>
      </c>
      <c r="D2" s="118">
        <v>15.0</v>
      </c>
      <c r="E2" s="370">
        <v>2.0</v>
      </c>
      <c r="F2" s="370">
        <v>2.0</v>
      </c>
      <c r="G2" s="316"/>
      <c r="H2" s="362"/>
      <c r="I2" s="568">
        <f>SUM(C2:H2)</f>
        <v>20.0</v>
      </c>
    </row>
    <row r="3" spans="8:8" ht="14.25" customHeight="1">
      <c r="A3" s="526" t="s">
        <v>9</v>
      </c>
      <c r="B3" s="569" t="s">
        <v>8</v>
      </c>
      <c r="C3" s="93">
        <v>1.0</v>
      </c>
      <c r="D3" s="93">
        <v>15.0</v>
      </c>
      <c r="E3" s="372">
        <v>2.0</v>
      </c>
      <c r="F3" s="372">
        <v>2.0</v>
      </c>
      <c r="G3" s="329"/>
      <c r="H3" s="329"/>
      <c r="I3" s="568">
        <f t="shared" si="0" ref="I3:I5">SUM(C3:H3)</f>
        <v>20.0</v>
      </c>
    </row>
    <row r="4" spans="8:8" ht="14.25" customHeight="1">
      <c r="A4" s="526" t="s">
        <v>10</v>
      </c>
      <c r="B4" s="569" t="s">
        <v>8</v>
      </c>
      <c r="C4" s="93">
        <v>1.0</v>
      </c>
      <c r="D4" s="93">
        <v>15.0</v>
      </c>
      <c r="E4" s="372">
        <v>2.0</v>
      </c>
      <c r="F4" s="372">
        <v>2.0</v>
      </c>
      <c r="G4" s="329"/>
      <c r="H4" s="329"/>
      <c r="I4" s="568">
        <f t="shared" si="0"/>
        <v>20.0</v>
      </c>
    </row>
    <row r="5" spans="8:8" ht="14.25" customHeight="1">
      <c r="A5" s="527" t="s">
        <v>11</v>
      </c>
      <c r="B5" s="570" t="s">
        <v>8</v>
      </c>
      <c r="C5" s="109">
        <v>1.0</v>
      </c>
      <c r="D5" s="109">
        <v>15.0</v>
      </c>
      <c r="E5" s="463">
        <v>2.0</v>
      </c>
      <c r="F5" s="463">
        <v>2.0</v>
      </c>
      <c r="G5" s="464"/>
      <c r="H5" s="464"/>
      <c r="I5" s="571">
        <f t="shared" si="0"/>
        <v>20.0</v>
      </c>
    </row>
    <row r="6" spans="8:8" s="572" ht="30.75" customFormat="1" customHeight="1">
      <c r="A6" s="573" t="s">
        <v>441</v>
      </c>
      <c r="B6" s="567" t="s">
        <v>435</v>
      </c>
      <c r="C6" s="574">
        <v>8.0</v>
      </c>
      <c r="D6" s="574">
        <v>17.0</v>
      </c>
      <c r="E6" s="575">
        <v>6.0</v>
      </c>
      <c r="F6" s="575">
        <v>6.0</v>
      </c>
      <c r="G6" s="576"/>
      <c r="H6" s="577">
        <v>3.0</v>
      </c>
      <c r="I6" s="578">
        <f>SUM(C6:H6)</f>
        <v>40.0</v>
      </c>
      <c r="J6" s="579"/>
    </row>
    <row r="7" spans="8:8" s="572" ht="32.25" customFormat="1" customHeight="1">
      <c r="A7" s="580" t="s">
        <v>465</v>
      </c>
      <c r="B7" s="569" t="s">
        <v>435</v>
      </c>
      <c r="C7" s="581">
        <v>2.0</v>
      </c>
      <c r="D7" s="581">
        <v>17.0</v>
      </c>
      <c r="E7" s="582">
        <v>4.0</v>
      </c>
      <c r="F7" s="582">
        <v>4.0</v>
      </c>
      <c r="G7" s="583"/>
      <c r="H7" s="542">
        <v>3.0</v>
      </c>
      <c r="I7" s="416">
        <f>SUM(C7:H7)</f>
        <v>30.0</v>
      </c>
      <c r="J7" s="579"/>
    </row>
    <row r="8" spans="8:8">
      <c r="A8" s="537" t="s">
        <v>426</v>
      </c>
      <c r="B8" s="584" t="s">
        <v>13</v>
      </c>
      <c r="C8" s="118">
        <v>18.0</v>
      </c>
      <c r="D8" s="118">
        <v>15.0</v>
      </c>
      <c r="E8" s="370">
        <v>2.0</v>
      </c>
      <c r="F8" s="370">
        <v>2.0</v>
      </c>
      <c r="G8" s="395"/>
      <c r="H8" s="370">
        <v>3.0</v>
      </c>
      <c r="I8" s="168">
        <f t="shared" si="1" ref="I8:I57">SUM(C8:H8)</f>
        <v>40.0</v>
      </c>
    </row>
    <row r="9" spans="8:8" ht="30.0">
      <c r="A9" s="537" t="s">
        <v>470</v>
      </c>
      <c r="B9" s="584" t="s">
        <v>13</v>
      </c>
      <c r="C9" s="118">
        <v>28.0</v>
      </c>
      <c r="D9" s="118">
        <v>25.0</v>
      </c>
      <c r="E9" s="370">
        <v>2.0</v>
      </c>
      <c r="F9" s="370">
        <v>2.0</v>
      </c>
      <c r="G9" s="395"/>
      <c r="H9" s="370">
        <v>3.0</v>
      </c>
      <c r="I9" s="568">
        <f t="shared" si="2" ref="I9">SUM(C9:H9)</f>
        <v>60.0</v>
      </c>
    </row>
    <row r="10" spans="8:8">
      <c r="A10" s="525" t="s">
        <v>15</v>
      </c>
      <c r="B10" s="567" t="s">
        <v>13</v>
      </c>
      <c r="C10" s="93">
        <v>18.0</v>
      </c>
      <c r="D10" s="93">
        <v>15.0</v>
      </c>
      <c r="E10" s="372">
        <v>2.0</v>
      </c>
      <c r="F10" s="372">
        <v>2.0</v>
      </c>
      <c r="G10" s="360"/>
      <c r="H10" s="372">
        <v>3.0</v>
      </c>
      <c r="I10" s="17">
        <f t="shared" si="1"/>
        <v>40.0</v>
      </c>
    </row>
    <row r="11" spans="8:8" s="49" ht="15.0" customFormat="1">
      <c r="A11" s="526" t="s">
        <v>16</v>
      </c>
      <c r="B11" s="569" t="s">
        <v>13</v>
      </c>
      <c r="C11" s="93">
        <v>18.0</v>
      </c>
      <c r="D11" s="93">
        <v>15.0</v>
      </c>
      <c r="E11" s="372">
        <v>2.0</v>
      </c>
      <c r="F11" s="372">
        <v>2.0</v>
      </c>
      <c r="G11" s="360"/>
      <c r="H11" s="372">
        <v>3.0</v>
      </c>
      <c r="I11" s="17">
        <f t="shared" si="1"/>
        <v>40.0</v>
      </c>
      <c r="J11" s="39"/>
      <c r="K11" s="39"/>
      <c r="L11" s="39"/>
      <c r="M11" s="39"/>
      <c r="N11" s="39"/>
    </row>
    <row r="12" spans="8:8">
      <c r="A12" s="526" t="s">
        <v>17</v>
      </c>
      <c r="B12" s="569" t="s">
        <v>13</v>
      </c>
      <c r="C12" s="93">
        <v>25.0</v>
      </c>
      <c r="D12" s="93">
        <v>33.0</v>
      </c>
      <c r="E12" s="372">
        <v>2.0</v>
      </c>
      <c r="F12" s="372">
        <v>2.0</v>
      </c>
      <c r="G12" s="360"/>
      <c r="H12" s="372">
        <v>3.0</v>
      </c>
      <c r="I12" s="17">
        <f t="shared" si="1"/>
        <v>65.0</v>
      </c>
    </row>
    <row r="13" spans="8:8">
      <c r="A13" s="526" t="s">
        <v>18</v>
      </c>
      <c r="B13" s="569" t="s">
        <v>13</v>
      </c>
      <c r="C13" s="93">
        <v>22.0</v>
      </c>
      <c r="D13" s="93">
        <v>21.0</v>
      </c>
      <c r="E13" s="372">
        <v>2.0</v>
      </c>
      <c r="F13" s="372">
        <v>2.0</v>
      </c>
      <c r="G13" s="360"/>
      <c r="H13" s="372">
        <v>3.0</v>
      </c>
      <c r="I13" s="17">
        <f t="shared" si="1"/>
        <v>50.0</v>
      </c>
    </row>
    <row r="14" spans="8:8">
      <c r="A14" s="526" t="s">
        <v>19</v>
      </c>
      <c r="B14" s="569" t="s">
        <v>13</v>
      </c>
      <c r="C14" s="93">
        <v>22.0</v>
      </c>
      <c r="D14" s="93">
        <v>21.0</v>
      </c>
      <c r="E14" s="372">
        <v>2.0</v>
      </c>
      <c r="F14" s="372">
        <v>2.0</v>
      </c>
      <c r="G14" s="360"/>
      <c r="H14" s="372">
        <v>3.0</v>
      </c>
      <c r="I14" s="17">
        <f t="shared" si="1"/>
        <v>50.0</v>
      </c>
    </row>
    <row r="15" spans="8:8">
      <c r="A15" s="538" t="s">
        <v>21</v>
      </c>
      <c r="B15" s="569" t="s">
        <v>13</v>
      </c>
      <c r="C15" s="93">
        <v>22.0</v>
      </c>
      <c r="D15" s="93">
        <v>21.0</v>
      </c>
      <c r="E15" s="372">
        <v>2.0</v>
      </c>
      <c r="F15" s="372">
        <v>2.0</v>
      </c>
      <c r="G15" s="360"/>
      <c r="H15" s="372">
        <v>3.0</v>
      </c>
      <c r="I15" s="17">
        <f>SUM(C15:H15)</f>
        <v>50.0</v>
      </c>
    </row>
    <row r="16" spans="8:8">
      <c r="A16" s="538" t="s">
        <v>23</v>
      </c>
      <c r="B16" s="585" t="s">
        <v>13</v>
      </c>
      <c r="C16" s="93">
        <v>22.0</v>
      </c>
      <c r="D16" s="93">
        <v>21.0</v>
      </c>
      <c r="E16" s="372">
        <v>2.0</v>
      </c>
      <c r="F16" s="372">
        <v>2.0</v>
      </c>
      <c r="G16" s="360"/>
      <c r="H16" s="372">
        <v>3.0</v>
      </c>
      <c r="I16" s="17">
        <f>SUM(C16:H16)</f>
        <v>50.0</v>
      </c>
    </row>
    <row r="17" spans="8:8" s="530" ht="30.0" customFormat="1">
      <c r="A17" s="586" t="s">
        <v>471</v>
      </c>
      <c r="B17" s="587" t="s">
        <v>13</v>
      </c>
      <c r="C17" s="209">
        <v>12.0</v>
      </c>
      <c r="D17" s="209">
        <v>11.0</v>
      </c>
      <c r="E17" s="431">
        <v>2.0</v>
      </c>
      <c r="F17" s="431">
        <v>2.0</v>
      </c>
      <c r="G17" s="548"/>
      <c r="H17" s="431">
        <v>3.0</v>
      </c>
      <c r="I17" s="588">
        <f t="shared" si="1"/>
        <v>30.0</v>
      </c>
    </row>
    <row r="18" spans="8:8" s="530" ht="30.0" customFormat="1">
      <c r="A18" s="531" t="s">
        <v>467</v>
      </c>
      <c r="B18" s="587" t="s">
        <v>13</v>
      </c>
      <c r="C18" s="209">
        <v>12.0</v>
      </c>
      <c r="D18" s="209">
        <v>11.0</v>
      </c>
      <c r="E18" s="431">
        <v>2.0</v>
      </c>
      <c r="F18" s="431">
        <v>2.0</v>
      </c>
      <c r="G18" s="548"/>
      <c r="H18" s="431">
        <v>3.0</v>
      </c>
      <c r="I18" s="588">
        <f t="shared" si="1"/>
        <v>30.0</v>
      </c>
    </row>
    <row r="19" spans="8:8">
      <c r="A19" s="526" t="s">
        <v>24</v>
      </c>
      <c r="B19" s="585" t="s">
        <v>13</v>
      </c>
      <c r="C19" s="93">
        <v>22.0</v>
      </c>
      <c r="D19" s="93">
        <v>21.0</v>
      </c>
      <c r="E19" s="372">
        <v>2.0</v>
      </c>
      <c r="F19" s="372">
        <v>2.0</v>
      </c>
      <c r="G19" s="360"/>
      <c r="H19" s="372">
        <v>3.0</v>
      </c>
      <c r="I19" s="17">
        <f t="shared" si="1"/>
        <v>50.0</v>
      </c>
    </row>
    <row r="20" spans="8:8">
      <c r="A20" s="526" t="s">
        <v>25</v>
      </c>
      <c r="B20" s="569" t="s">
        <v>13</v>
      </c>
      <c r="C20" s="93">
        <v>22.0</v>
      </c>
      <c r="D20" s="93">
        <v>21.0</v>
      </c>
      <c r="E20" s="372">
        <v>2.0</v>
      </c>
      <c r="F20" s="372">
        <v>2.0</v>
      </c>
      <c r="G20" s="360"/>
      <c r="H20" s="372">
        <v>3.0</v>
      </c>
      <c r="I20" s="17">
        <f t="shared" si="1"/>
        <v>50.0</v>
      </c>
    </row>
    <row r="21" spans="8:8">
      <c r="A21" s="526" t="s">
        <v>26</v>
      </c>
      <c r="B21" s="569" t="s">
        <v>13</v>
      </c>
      <c r="C21" s="93">
        <v>22.0</v>
      </c>
      <c r="D21" s="93">
        <v>21.0</v>
      </c>
      <c r="E21" s="372">
        <v>2.0</v>
      </c>
      <c r="F21" s="372">
        <v>2.0</v>
      </c>
      <c r="G21" s="360"/>
      <c r="H21" s="372">
        <v>3.0</v>
      </c>
      <c r="I21" s="17">
        <f t="shared" si="1"/>
        <v>50.0</v>
      </c>
    </row>
    <row r="22" spans="8:8">
      <c r="A22" s="526" t="s">
        <v>27</v>
      </c>
      <c r="B22" s="569" t="s">
        <v>13</v>
      </c>
      <c r="C22" s="93">
        <v>22.0</v>
      </c>
      <c r="D22" s="93">
        <v>21.0</v>
      </c>
      <c r="E22" s="372">
        <v>2.0</v>
      </c>
      <c r="F22" s="372">
        <v>2.0</v>
      </c>
      <c r="G22" s="360"/>
      <c r="H22" s="372">
        <v>3.0</v>
      </c>
      <c r="I22" s="17">
        <f t="shared" si="1"/>
        <v>50.0</v>
      </c>
    </row>
    <row r="23" spans="8:8">
      <c r="A23" s="526" t="s">
        <v>28</v>
      </c>
      <c r="B23" s="569" t="s">
        <v>13</v>
      </c>
      <c r="C23" s="93">
        <v>22.0</v>
      </c>
      <c r="D23" s="93">
        <v>21.0</v>
      </c>
      <c r="E23" s="372">
        <v>2.0</v>
      </c>
      <c r="F23" s="372">
        <v>2.0</v>
      </c>
      <c r="G23" s="360"/>
      <c r="H23" s="372">
        <v>3.0</v>
      </c>
      <c r="I23" s="17">
        <f t="shared" si="1"/>
        <v>50.0</v>
      </c>
    </row>
    <row r="24" spans="8:8">
      <c r="A24" s="526" t="s">
        <v>29</v>
      </c>
      <c r="B24" s="569" t="s">
        <v>13</v>
      </c>
      <c r="C24" s="93">
        <v>22.0</v>
      </c>
      <c r="D24" s="93">
        <v>21.0</v>
      </c>
      <c r="E24" s="372">
        <v>2.0</v>
      </c>
      <c r="F24" s="372">
        <v>2.0</v>
      </c>
      <c r="G24" s="360"/>
      <c r="H24" s="372">
        <v>3.0</v>
      </c>
      <c r="I24" s="17">
        <f t="shared" si="1"/>
        <v>50.0</v>
      </c>
    </row>
    <row r="25" spans="8:8" ht="30.0">
      <c r="A25" s="539" t="s">
        <v>472</v>
      </c>
      <c r="B25" s="569" t="s">
        <v>13</v>
      </c>
      <c r="C25" s="93">
        <v>22.0</v>
      </c>
      <c r="D25" s="93">
        <v>21.0</v>
      </c>
      <c r="E25" s="372">
        <v>2.0</v>
      </c>
      <c r="F25" s="372">
        <v>2.0</v>
      </c>
      <c r="G25" s="360"/>
      <c r="H25" s="372">
        <v>3.0</v>
      </c>
      <c r="I25" s="17">
        <f t="shared" si="1"/>
        <v>50.0</v>
      </c>
    </row>
    <row r="26" spans="8:8">
      <c r="A26" s="526" t="s">
        <v>31</v>
      </c>
      <c r="B26" s="569" t="s">
        <v>13</v>
      </c>
      <c r="C26" s="93">
        <v>22.0</v>
      </c>
      <c r="D26" s="93">
        <v>21.0</v>
      </c>
      <c r="E26" s="372">
        <v>2.0</v>
      </c>
      <c r="F26" s="372">
        <v>2.0</v>
      </c>
      <c r="G26" s="360"/>
      <c r="H26" s="372">
        <v>3.0</v>
      </c>
      <c r="I26" s="17">
        <f t="shared" si="1"/>
        <v>50.0</v>
      </c>
    </row>
    <row r="27" spans="8:8">
      <c r="A27" s="526" t="s">
        <v>32</v>
      </c>
      <c r="B27" s="569" t="s">
        <v>13</v>
      </c>
      <c r="C27" s="93">
        <v>28.0</v>
      </c>
      <c r="D27" s="93">
        <v>25.0</v>
      </c>
      <c r="E27" s="372">
        <v>2.0</v>
      </c>
      <c r="F27" s="372">
        <v>2.0</v>
      </c>
      <c r="G27" s="360"/>
      <c r="H27" s="372">
        <v>3.0</v>
      </c>
      <c r="I27" s="17">
        <f t="shared" si="1"/>
        <v>60.0</v>
      </c>
    </row>
    <row r="28" spans="8:8">
      <c r="A28" s="526" t="s">
        <v>33</v>
      </c>
      <c r="B28" s="569" t="s">
        <v>13</v>
      </c>
      <c r="C28" s="93">
        <v>22.0</v>
      </c>
      <c r="D28" s="93">
        <v>21.0</v>
      </c>
      <c r="E28" s="372">
        <v>2.0</v>
      </c>
      <c r="F28" s="372">
        <v>2.0</v>
      </c>
      <c r="G28" s="360"/>
      <c r="H28" s="372">
        <v>3.0</v>
      </c>
      <c r="I28" s="17">
        <f t="shared" si="1"/>
        <v>50.0</v>
      </c>
    </row>
    <row r="29" spans="8:8">
      <c r="A29" s="526" t="s">
        <v>34</v>
      </c>
      <c r="B29" s="569" t="s">
        <v>13</v>
      </c>
      <c r="C29" s="93">
        <v>18.0</v>
      </c>
      <c r="D29" s="93">
        <v>15.0</v>
      </c>
      <c r="E29" s="372">
        <v>2.0</v>
      </c>
      <c r="F29" s="372">
        <v>2.0</v>
      </c>
      <c r="G29" s="360"/>
      <c r="H29" s="372">
        <v>3.0</v>
      </c>
      <c r="I29" s="17">
        <f t="shared" si="1"/>
        <v>40.0</v>
      </c>
    </row>
    <row r="30" spans="8:8">
      <c r="A30" s="526" t="s">
        <v>35</v>
      </c>
      <c r="B30" s="569" t="s">
        <v>13</v>
      </c>
      <c r="C30" s="93">
        <v>18.0</v>
      </c>
      <c r="D30" s="93">
        <v>15.0</v>
      </c>
      <c r="E30" s="372">
        <v>2.0</v>
      </c>
      <c r="F30" s="372">
        <v>2.0</v>
      </c>
      <c r="G30" s="360"/>
      <c r="H30" s="372">
        <v>3.0</v>
      </c>
      <c r="I30" s="17">
        <f t="shared" si="1"/>
        <v>40.0</v>
      </c>
    </row>
    <row r="31" spans="8:8">
      <c r="A31" s="526" t="s">
        <v>36</v>
      </c>
      <c r="B31" s="569" t="s">
        <v>13</v>
      </c>
      <c r="C31" s="93">
        <v>18.0</v>
      </c>
      <c r="D31" s="93">
        <v>15.0</v>
      </c>
      <c r="E31" s="372">
        <v>2.0</v>
      </c>
      <c r="F31" s="372">
        <v>2.0</v>
      </c>
      <c r="G31" s="360"/>
      <c r="H31" s="372">
        <v>3.0</v>
      </c>
      <c r="I31" s="17">
        <f t="shared" si="1"/>
        <v>40.0</v>
      </c>
    </row>
    <row r="32" spans="8:8" ht="30.0">
      <c r="A32" s="539" t="s">
        <v>466</v>
      </c>
      <c r="B32" s="569" t="s">
        <v>13</v>
      </c>
      <c r="C32" s="93">
        <v>11.0</v>
      </c>
      <c r="D32" s="93">
        <v>12.0</v>
      </c>
      <c r="E32" s="372">
        <v>2.0</v>
      </c>
      <c r="F32" s="372">
        <v>2.0</v>
      </c>
      <c r="G32" s="360"/>
      <c r="H32" s="372">
        <v>3.0</v>
      </c>
      <c r="I32" s="589">
        <f t="shared" si="1"/>
        <v>30.0</v>
      </c>
    </row>
    <row r="33" spans="8:8">
      <c r="A33" s="526" t="s">
        <v>38</v>
      </c>
      <c r="B33" s="569" t="s">
        <v>13</v>
      </c>
      <c r="C33" s="93">
        <v>18.0</v>
      </c>
      <c r="D33" s="93">
        <v>10.0</v>
      </c>
      <c r="E33" s="372">
        <v>2.0</v>
      </c>
      <c r="F33" s="372">
        <v>2.0</v>
      </c>
      <c r="G33" s="360"/>
      <c r="H33" s="372">
        <v>3.0</v>
      </c>
      <c r="I33" s="17">
        <f t="shared" si="1"/>
        <v>35.0</v>
      </c>
    </row>
    <row r="34" spans="8:8">
      <c r="A34" s="543" t="s">
        <v>39</v>
      </c>
      <c r="B34" s="569" t="s">
        <v>13</v>
      </c>
      <c r="C34" s="93">
        <v>18.0</v>
      </c>
      <c r="D34" s="93">
        <v>15.0</v>
      </c>
      <c r="E34" s="372">
        <v>2.0</v>
      </c>
      <c r="F34" s="372">
        <v>2.0</v>
      </c>
      <c r="G34" s="360"/>
      <c r="H34" s="372">
        <v>3.0</v>
      </c>
      <c r="I34" s="17">
        <f t="shared" si="1"/>
        <v>40.0</v>
      </c>
    </row>
    <row r="35" spans="8:8">
      <c r="A35" s="526" t="s">
        <v>40</v>
      </c>
      <c r="B35" s="585" t="s">
        <v>13</v>
      </c>
      <c r="C35" s="93">
        <v>18.0</v>
      </c>
      <c r="D35" s="93">
        <v>15.0</v>
      </c>
      <c r="E35" s="372">
        <v>2.0</v>
      </c>
      <c r="F35" s="372">
        <v>2.0</v>
      </c>
      <c r="G35" s="360"/>
      <c r="H35" s="372">
        <v>3.0</v>
      </c>
      <c r="I35" s="17">
        <f t="shared" si="1"/>
        <v>40.0</v>
      </c>
      <c r="J35" s="49"/>
      <c r="K35" s="49"/>
      <c r="L35" s="49"/>
      <c r="M35" s="49"/>
      <c r="N35" s="49"/>
    </row>
    <row r="36" spans="8:8">
      <c r="A36" s="543" t="s">
        <v>41</v>
      </c>
      <c r="B36" s="585" t="s">
        <v>13</v>
      </c>
      <c r="C36" s="93">
        <v>18.0</v>
      </c>
      <c r="D36" s="93">
        <v>15.0</v>
      </c>
      <c r="E36" s="372">
        <v>2.0</v>
      </c>
      <c r="F36" s="372">
        <v>2.0</v>
      </c>
      <c r="G36" s="360"/>
      <c r="H36" s="372">
        <v>3.0</v>
      </c>
      <c r="I36" s="17">
        <f t="shared" si="1"/>
        <v>40.0</v>
      </c>
    </row>
    <row r="37" spans="8:8">
      <c r="A37" s="539" t="s">
        <v>429</v>
      </c>
      <c r="B37" s="585" t="s">
        <v>13</v>
      </c>
      <c r="C37" s="93">
        <v>18.0</v>
      </c>
      <c r="D37" s="93">
        <v>15.0</v>
      </c>
      <c r="E37" s="372">
        <v>2.0</v>
      </c>
      <c r="F37" s="372">
        <v>2.0</v>
      </c>
      <c r="G37" s="360"/>
      <c r="H37" s="372">
        <v>3.0</v>
      </c>
      <c r="I37" s="17">
        <f t="shared" si="1"/>
        <v>40.0</v>
      </c>
      <c r="J37" s="49"/>
      <c r="K37" s="49"/>
      <c r="L37" s="49"/>
      <c r="M37" s="49"/>
      <c r="N37" s="49"/>
    </row>
    <row r="38" spans="8:8">
      <c r="A38" s="526" t="s">
        <v>43</v>
      </c>
      <c r="B38" s="569" t="s">
        <v>13</v>
      </c>
      <c r="C38" s="93">
        <v>18.0</v>
      </c>
      <c r="D38" s="93">
        <v>15.0</v>
      </c>
      <c r="E38" s="372">
        <v>2.0</v>
      </c>
      <c r="F38" s="372">
        <v>2.0</v>
      </c>
      <c r="G38" s="360"/>
      <c r="H38" s="372">
        <v>3.0</v>
      </c>
      <c r="I38" s="17">
        <f t="shared" si="1"/>
        <v>40.0</v>
      </c>
    </row>
    <row r="39" spans="8:8" s="49" ht="15.0" customFormat="1">
      <c r="A39" s="539" t="s">
        <v>430</v>
      </c>
      <c r="B39" s="569" t="s">
        <v>13</v>
      </c>
      <c r="C39" s="93">
        <v>18.0</v>
      </c>
      <c r="D39" s="93">
        <v>15.0</v>
      </c>
      <c r="E39" s="372">
        <v>2.0</v>
      </c>
      <c r="F39" s="372">
        <v>2.0</v>
      </c>
      <c r="G39" s="360"/>
      <c r="H39" s="372">
        <v>3.0</v>
      </c>
      <c r="I39" s="17">
        <f t="shared" si="1"/>
        <v>40.0</v>
      </c>
      <c r="J39" s="39"/>
      <c r="K39" s="39"/>
      <c r="L39" s="39"/>
      <c r="M39" s="39"/>
      <c r="N39" s="39"/>
    </row>
    <row r="40" spans="8:8">
      <c r="A40" s="526" t="s">
        <v>45</v>
      </c>
      <c r="B40" s="569" t="s">
        <v>13</v>
      </c>
      <c r="C40" s="93">
        <v>40.0</v>
      </c>
      <c r="D40" s="93">
        <v>33.0</v>
      </c>
      <c r="E40" s="372">
        <v>2.0</v>
      </c>
      <c r="F40" s="372">
        <v>2.0</v>
      </c>
      <c r="G40" s="360"/>
      <c r="H40" s="372">
        <v>3.0</v>
      </c>
      <c r="I40" s="17">
        <f t="shared" si="1"/>
        <v>80.0</v>
      </c>
    </row>
    <row r="41" spans="8:8" s="49" ht="18.0" customFormat="1" customHeight="1">
      <c r="A41" s="526" t="s">
        <v>46</v>
      </c>
      <c r="B41" s="569" t="s">
        <v>13</v>
      </c>
      <c r="C41" s="93">
        <v>59.0</v>
      </c>
      <c r="D41" s="93">
        <v>14.0</v>
      </c>
      <c r="E41" s="372">
        <v>2.0</v>
      </c>
      <c r="F41" s="372">
        <v>2.0</v>
      </c>
      <c r="G41" s="360"/>
      <c r="H41" s="372">
        <v>3.0</v>
      </c>
      <c r="I41" s="17">
        <f t="shared" si="1"/>
        <v>80.0</v>
      </c>
      <c r="J41" s="39"/>
      <c r="K41" s="39"/>
      <c r="L41" s="39"/>
      <c r="M41" s="39"/>
      <c r="N41" s="39"/>
    </row>
    <row r="42" spans="8:8">
      <c r="A42" s="526" t="s">
        <v>47</v>
      </c>
      <c r="B42" s="569" t="s">
        <v>13</v>
      </c>
      <c r="C42" s="93">
        <v>59.0</v>
      </c>
      <c r="D42" s="93">
        <v>34.0</v>
      </c>
      <c r="E42" s="372">
        <v>2.0</v>
      </c>
      <c r="F42" s="372">
        <v>2.0</v>
      </c>
      <c r="G42" s="360"/>
      <c r="H42" s="372">
        <v>3.0</v>
      </c>
      <c r="I42" s="17">
        <f t="shared" si="1"/>
        <v>100.0</v>
      </c>
    </row>
    <row r="43" spans="8:8">
      <c r="A43" s="526" t="s">
        <v>48</v>
      </c>
      <c r="B43" s="569" t="s">
        <v>13</v>
      </c>
      <c r="C43" s="93">
        <v>20.0</v>
      </c>
      <c r="D43" s="93">
        <v>33.0</v>
      </c>
      <c r="E43" s="372">
        <v>2.0</v>
      </c>
      <c r="F43" s="372">
        <v>2.0</v>
      </c>
      <c r="G43" s="360"/>
      <c r="H43" s="372">
        <v>3.0</v>
      </c>
      <c r="I43" s="17">
        <f t="shared" si="1"/>
        <v>60.0</v>
      </c>
    </row>
    <row r="44" spans="8:8">
      <c r="A44" s="526" t="s">
        <v>49</v>
      </c>
      <c r="B44" s="569" t="s">
        <v>13</v>
      </c>
      <c r="C44" s="93">
        <v>18.0</v>
      </c>
      <c r="D44" s="93">
        <v>15.0</v>
      </c>
      <c r="E44" s="372">
        <v>2.0</v>
      </c>
      <c r="F44" s="372">
        <v>2.0</v>
      </c>
      <c r="G44" s="360"/>
      <c r="H44" s="372">
        <v>3.0</v>
      </c>
      <c r="I44" s="17">
        <f t="shared" si="1"/>
        <v>40.0</v>
      </c>
    </row>
    <row r="45" spans="8:8">
      <c r="A45" s="540" t="s">
        <v>431</v>
      </c>
      <c r="B45" s="569" t="s">
        <v>13</v>
      </c>
      <c r="C45" s="93">
        <v>18.0</v>
      </c>
      <c r="D45" s="93">
        <v>15.0</v>
      </c>
      <c r="E45" s="372">
        <v>2.0</v>
      </c>
      <c r="F45" s="372">
        <v>2.0</v>
      </c>
      <c r="G45" s="360"/>
      <c r="H45" s="372">
        <v>3.0</v>
      </c>
      <c r="I45" s="17">
        <f t="shared" si="1"/>
        <v>40.0</v>
      </c>
    </row>
    <row r="46" spans="8:8" ht="30.75">
      <c r="A46" s="590" t="s">
        <v>473</v>
      </c>
      <c r="B46" s="585" t="s">
        <v>13</v>
      </c>
      <c r="C46" s="93">
        <v>18.0</v>
      </c>
      <c r="D46" s="93">
        <v>15.0</v>
      </c>
      <c r="E46" s="372">
        <v>2.0</v>
      </c>
      <c r="F46" s="372">
        <v>2.0</v>
      </c>
      <c r="G46" s="360"/>
      <c r="H46" s="372">
        <v>3.0</v>
      </c>
      <c r="I46" s="17"/>
      <c r="J46" s="49"/>
      <c r="K46" s="49"/>
      <c r="L46" s="49"/>
      <c r="M46" s="49"/>
      <c r="N46" s="49"/>
    </row>
    <row r="47" spans="8:8">
      <c r="A47" s="526" t="s">
        <v>52</v>
      </c>
      <c r="B47" s="569" t="s">
        <v>13</v>
      </c>
      <c r="C47" s="93">
        <v>18.0</v>
      </c>
      <c r="D47" s="93">
        <v>15.0</v>
      </c>
      <c r="E47" s="372">
        <v>2.0</v>
      </c>
      <c r="F47" s="372">
        <v>2.0</v>
      </c>
      <c r="G47" s="360"/>
      <c r="H47" s="372">
        <v>3.0</v>
      </c>
      <c r="I47" s="17">
        <f t="shared" si="1"/>
        <v>40.0</v>
      </c>
    </row>
    <row r="48" spans="8:8">
      <c r="A48" s="526" t="s">
        <v>53</v>
      </c>
      <c r="B48" s="569" t="s">
        <v>13</v>
      </c>
      <c r="C48" s="93">
        <v>18.0</v>
      </c>
      <c r="D48" s="93">
        <v>15.0</v>
      </c>
      <c r="E48" s="372">
        <v>2.0</v>
      </c>
      <c r="F48" s="372">
        <v>2.0</v>
      </c>
      <c r="G48" s="360"/>
      <c r="H48" s="372">
        <v>3.0</v>
      </c>
      <c r="I48" s="17">
        <f t="shared" si="1"/>
        <v>40.0</v>
      </c>
    </row>
    <row r="49" spans="8:8">
      <c r="A49" s="526" t="s">
        <v>54</v>
      </c>
      <c r="B49" s="569" t="s">
        <v>13</v>
      </c>
      <c r="C49" s="93">
        <v>18.0</v>
      </c>
      <c r="D49" s="93">
        <v>15.0</v>
      </c>
      <c r="E49" s="372">
        <v>2.0</v>
      </c>
      <c r="F49" s="372">
        <v>2.0</v>
      </c>
      <c r="G49" s="360"/>
      <c r="H49" s="372">
        <v>3.0</v>
      </c>
      <c r="I49" s="17">
        <f t="shared" si="1"/>
        <v>40.0</v>
      </c>
    </row>
    <row r="50" spans="8:8" s="49" ht="15.0" customFormat="1">
      <c r="A50" s="543" t="s">
        <v>55</v>
      </c>
      <c r="B50" s="569" t="s">
        <v>13</v>
      </c>
      <c r="C50" s="93">
        <v>18.0</v>
      </c>
      <c r="D50" s="93">
        <v>15.0</v>
      </c>
      <c r="E50" s="372">
        <v>2.0</v>
      </c>
      <c r="F50" s="372">
        <v>2.0</v>
      </c>
      <c r="G50" s="360"/>
      <c r="H50" s="372">
        <v>3.0</v>
      </c>
      <c r="I50" s="17">
        <f t="shared" si="1"/>
        <v>40.0</v>
      </c>
      <c r="J50" s="39"/>
      <c r="K50" s="39"/>
      <c r="L50" s="39"/>
      <c r="M50" s="39"/>
      <c r="N50" s="39"/>
    </row>
    <row r="51" spans="8:8" ht="18.0" customHeight="1">
      <c r="A51" s="526" t="s">
        <v>56</v>
      </c>
      <c r="B51" s="585" t="s">
        <v>13</v>
      </c>
      <c r="C51" s="93">
        <v>18.0</v>
      </c>
      <c r="D51" s="93">
        <v>15.0</v>
      </c>
      <c r="E51" s="372">
        <v>2.0</v>
      </c>
      <c r="F51" s="372">
        <v>2.0</v>
      </c>
      <c r="G51" s="360"/>
      <c r="H51" s="372">
        <v>3.0</v>
      </c>
      <c r="I51" s="17">
        <f t="shared" si="1"/>
        <v>40.0</v>
      </c>
      <c r="J51" s="49"/>
      <c r="K51" s="49"/>
      <c r="L51" s="49"/>
      <c r="M51" s="49"/>
      <c r="N51" s="49"/>
    </row>
    <row r="52" spans="8:8">
      <c r="A52" s="526" t="s">
        <v>57</v>
      </c>
      <c r="B52" s="569" t="s">
        <v>60</v>
      </c>
      <c r="C52" s="93">
        <v>1.0</v>
      </c>
      <c r="D52" s="93">
        <v>25.0</v>
      </c>
      <c r="E52" s="372">
        <v>2.0</v>
      </c>
      <c r="F52" s="372">
        <v>2.0</v>
      </c>
      <c r="G52" s="360"/>
      <c r="H52" s="360"/>
      <c r="I52" s="17">
        <f t="shared" si="1"/>
        <v>30.0</v>
      </c>
    </row>
    <row r="53" spans="8:8">
      <c r="A53" s="526" t="s">
        <v>58</v>
      </c>
      <c r="B53" s="569" t="s">
        <v>60</v>
      </c>
      <c r="C53" s="93">
        <v>1.0</v>
      </c>
      <c r="D53" s="93">
        <v>25.0</v>
      </c>
      <c r="E53" s="372">
        <v>2.0</v>
      </c>
      <c r="F53" s="372">
        <v>2.0</v>
      </c>
      <c r="G53" s="360"/>
      <c r="H53" s="360"/>
      <c r="I53" s="17">
        <f t="shared" si="1"/>
        <v>30.0</v>
      </c>
    </row>
    <row r="54" spans="8:8">
      <c r="A54" s="526" t="s">
        <v>59</v>
      </c>
      <c r="B54" s="569" t="s">
        <v>60</v>
      </c>
      <c r="C54" s="93">
        <v>1.0</v>
      </c>
      <c r="D54" s="93">
        <v>15.0</v>
      </c>
      <c r="E54" s="372">
        <v>2.0</v>
      </c>
      <c r="F54" s="372">
        <v>2.0</v>
      </c>
      <c r="G54" s="360"/>
      <c r="H54" s="360"/>
      <c r="I54" s="17">
        <f t="shared" si="1"/>
        <v>20.0</v>
      </c>
    </row>
    <row r="55" spans="8:8" s="49" ht="15.0" customFormat="1">
      <c r="A55" s="549" t="s">
        <v>61</v>
      </c>
      <c r="B55" s="591" t="s">
        <v>60</v>
      </c>
      <c r="C55" s="132">
        <v>1.0</v>
      </c>
      <c r="D55" s="132">
        <v>15.0</v>
      </c>
      <c r="E55" s="550">
        <v>2.0</v>
      </c>
      <c r="F55" s="550">
        <v>2.0</v>
      </c>
      <c r="G55" s="552"/>
      <c r="H55" s="552"/>
      <c r="I55" s="37">
        <f t="shared" si="1"/>
        <v>20.0</v>
      </c>
      <c r="J55" s="39"/>
      <c r="K55" s="39"/>
      <c r="L55" s="39"/>
      <c r="M55" s="39"/>
      <c r="N55" s="39"/>
    </row>
    <row r="56" spans="8:8" ht="15.75">
      <c r="A56" s="527" t="s">
        <v>62</v>
      </c>
      <c r="B56" s="570" t="s">
        <v>60</v>
      </c>
      <c r="C56" s="109">
        <v>1.0</v>
      </c>
      <c r="D56" s="109">
        <v>15.0</v>
      </c>
      <c r="E56" s="463">
        <v>2.0</v>
      </c>
      <c r="F56" s="463">
        <v>2.0</v>
      </c>
      <c r="G56" s="545"/>
      <c r="H56" s="545"/>
      <c r="I56" s="529">
        <f t="shared" si="1"/>
        <v>20.0</v>
      </c>
    </row>
    <row r="57" spans="8:8">
      <c r="A57" s="525" t="s">
        <v>63</v>
      </c>
      <c r="B57" s="567" t="s">
        <v>60</v>
      </c>
      <c r="C57" s="118">
        <v>1.0</v>
      </c>
      <c r="D57" s="118">
        <v>15.0</v>
      </c>
      <c r="E57" s="370">
        <v>2.0</v>
      </c>
      <c r="F57" s="370">
        <v>2.0</v>
      </c>
      <c r="G57" s="395"/>
      <c r="H57" s="395"/>
      <c r="I57" s="168">
        <f t="shared" si="1"/>
        <v>20.0</v>
      </c>
      <c r="J57" s="49"/>
      <c r="K57" s="49"/>
      <c r="L57" s="49"/>
      <c r="M57" s="49"/>
    </row>
    <row r="58" spans="8:8">
      <c r="A58" s="543" t="s">
        <v>64</v>
      </c>
      <c r="B58" s="585" t="s">
        <v>65</v>
      </c>
      <c r="C58" s="93">
        <v>1.0</v>
      </c>
      <c r="D58" s="93">
        <v>4.0</v>
      </c>
      <c r="E58" s="372">
        <v>2.0</v>
      </c>
      <c r="F58" s="372">
        <v>2.0</v>
      </c>
      <c r="G58" s="372">
        <v>6.0</v>
      </c>
      <c r="H58" s="360"/>
      <c r="I58" s="17">
        <v>15.0</v>
      </c>
      <c r="J58" s="414"/>
      <c r="K58" s="414"/>
      <c r="L58" s="414"/>
      <c r="M58" s="49"/>
      <c r="N58" s="415">
        <f>SUM(J58:M58)</f>
        <v>0.0</v>
      </c>
    </row>
    <row r="59" spans="8:8" ht="14.25" customHeight="1">
      <c r="A59" s="373" t="s">
        <v>432</v>
      </c>
      <c r="B59" s="569" t="s">
        <v>65</v>
      </c>
      <c r="C59" s="93">
        <v>1.0</v>
      </c>
      <c r="D59" s="93">
        <v>9.0</v>
      </c>
      <c r="E59" s="372">
        <v>2.0</v>
      </c>
      <c r="F59" s="372">
        <v>2.0</v>
      </c>
      <c r="G59" s="372">
        <v>6.0</v>
      </c>
      <c r="H59" s="360"/>
      <c r="I59" s="168">
        <v>20.0</v>
      </c>
    </row>
    <row r="60" spans="8:8">
      <c r="A60" s="526" t="s">
        <v>67</v>
      </c>
      <c r="B60" s="585" t="s">
        <v>65</v>
      </c>
      <c r="C60" s="93">
        <v>1.0</v>
      </c>
      <c r="D60" s="93">
        <v>4.0</v>
      </c>
      <c r="E60" s="372">
        <v>2.0</v>
      </c>
      <c r="F60" s="372">
        <v>2.0</v>
      </c>
      <c r="G60" s="372">
        <v>6.0</v>
      </c>
      <c r="H60" s="360"/>
      <c r="I60" s="168">
        <v>15.0</v>
      </c>
    </row>
    <row r="61" spans="8:8">
      <c r="A61" s="526" t="s">
        <v>68</v>
      </c>
      <c r="B61" s="569" t="s">
        <v>65</v>
      </c>
      <c r="C61" s="93">
        <v>1.0</v>
      </c>
      <c r="D61" s="93">
        <v>9.0</v>
      </c>
      <c r="E61" s="372">
        <v>2.0</v>
      </c>
      <c r="F61" s="372">
        <v>2.0</v>
      </c>
      <c r="G61" s="372">
        <v>6.0</v>
      </c>
      <c r="H61" s="360"/>
      <c r="I61" s="168">
        <v>20.0</v>
      </c>
    </row>
    <row r="62" spans="8:8" s="49" ht="15.0" customFormat="1">
      <c r="A62" s="526" t="s">
        <v>69</v>
      </c>
      <c r="B62" s="569" t="s">
        <v>65</v>
      </c>
      <c r="C62" s="93">
        <v>1.0</v>
      </c>
      <c r="D62" s="93">
        <v>39.0</v>
      </c>
      <c r="E62" s="372">
        <v>2.0</v>
      </c>
      <c r="F62" s="372">
        <v>2.0</v>
      </c>
      <c r="G62" s="372">
        <v>6.0</v>
      </c>
      <c r="H62" s="360"/>
      <c r="I62" s="168">
        <f>SUM(C62:H62)</f>
        <v>50.0</v>
      </c>
      <c r="N62" s="39"/>
    </row>
    <row r="63" spans="8:8">
      <c r="A63" s="526" t="s">
        <v>70</v>
      </c>
      <c r="B63" s="569" t="s">
        <v>65</v>
      </c>
      <c r="C63" s="93">
        <v>1.0</v>
      </c>
      <c r="D63" s="93">
        <v>4.0</v>
      </c>
      <c r="E63" s="372">
        <v>2.0</v>
      </c>
      <c r="F63" s="372">
        <v>2.0</v>
      </c>
      <c r="G63" s="370">
        <v>6.0</v>
      </c>
      <c r="H63" s="360"/>
      <c r="I63" s="168">
        <v>15.0</v>
      </c>
    </row>
    <row r="64" spans="8:8">
      <c r="A64" s="543" t="s">
        <v>72</v>
      </c>
      <c r="B64" s="584" t="s">
        <v>65</v>
      </c>
      <c r="C64" s="118">
        <v>1.0</v>
      </c>
      <c r="D64" s="118">
        <v>9.0</v>
      </c>
      <c r="E64" s="370">
        <v>2.0</v>
      </c>
      <c r="F64" s="370">
        <v>2.0</v>
      </c>
      <c r="G64" s="370">
        <v>6.0</v>
      </c>
      <c r="H64" s="395"/>
      <c r="I64" s="168">
        <v>20.0</v>
      </c>
    </row>
    <row r="65" spans="8:8">
      <c r="A65" s="543" t="s">
        <v>71</v>
      </c>
      <c r="B65" s="585" t="s">
        <v>65</v>
      </c>
      <c r="C65" s="93">
        <v>1.0</v>
      </c>
      <c r="D65" s="93">
        <v>14.0</v>
      </c>
      <c r="E65" s="372">
        <v>2.0</v>
      </c>
      <c r="F65" s="372">
        <v>2.0</v>
      </c>
      <c r="G65" s="370">
        <v>6.0</v>
      </c>
      <c r="H65" s="360"/>
      <c r="I65" s="168">
        <f>SUM(C65:H65)</f>
        <v>25.0</v>
      </c>
    </row>
    <row r="66" spans="8:8">
      <c r="A66" s="526" t="s">
        <v>73</v>
      </c>
      <c r="B66" s="569" t="s">
        <v>65</v>
      </c>
      <c r="C66" s="93">
        <v>1.0</v>
      </c>
      <c r="D66" s="93">
        <v>4.0</v>
      </c>
      <c r="E66" s="372">
        <v>2.0</v>
      </c>
      <c r="F66" s="372">
        <v>2.0</v>
      </c>
      <c r="G66" s="370">
        <v>6.0</v>
      </c>
      <c r="H66" s="360"/>
      <c r="I66" s="168">
        <v>15.0</v>
      </c>
    </row>
    <row r="67" spans="8:8">
      <c r="A67" s="526" t="s">
        <v>74</v>
      </c>
      <c r="B67" s="569" t="s">
        <v>65</v>
      </c>
      <c r="C67" s="118">
        <v>1.0</v>
      </c>
      <c r="D67" s="118">
        <v>9.0</v>
      </c>
      <c r="E67" s="370">
        <v>2.0</v>
      </c>
      <c r="F67" s="370">
        <v>2.0</v>
      </c>
      <c r="G67" s="370">
        <v>6.0</v>
      </c>
      <c r="H67" s="395"/>
      <c r="I67" s="168">
        <v>20.0</v>
      </c>
    </row>
    <row r="68" spans="8:8">
      <c r="A68" s="526" t="s">
        <v>75</v>
      </c>
      <c r="B68" s="569" t="s">
        <v>65</v>
      </c>
      <c r="C68" s="93">
        <v>1.0</v>
      </c>
      <c r="D68" s="93">
        <v>29.0</v>
      </c>
      <c r="E68" s="372">
        <v>2.0</v>
      </c>
      <c r="F68" s="372">
        <v>2.0</v>
      </c>
      <c r="G68" s="370">
        <v>6.0</v>
      </c>
      <c r="H68" s="360"/>
      <c r="I68" s="168">
        <f>SUM(C68:H68)</f>
        <v>40.0</v>
      </c>
    </row>
    <row r="69" spans="8:8">
      <c r="A69" s="526" t="s">
        <v>76</v>
      </c>
      <c r="B69" s="569" t="s">
        <v>65</v>
      </c>
      <c r="C69" s="93">
        <v>1.0</v>
      </c>
      <c r="D69" s="93">
        <v>4.0</v>
      </c>
      <c r="E69" s="372">
        <v>2.0</v>
      </c>
      <c r="F69" s="372">
        <v>2.0</v>
      </c>
      <c r="G69" s="370">
        <v>6.0</v>
      </c>
      <c r="H69" s="360"/>
      <c r="I69" s="168">
        <v>15.0</v>
      </c>
    </row>
    <row r="70" spans="8:8">
      <c r="A70" s="526" t="s">
        <v>77</v>
      </c>
      <c r="B70" s="569" t="s">
        <v>65</v>
      </c>
      <c r="C70" s="118">
        <v>1.0</v>
      </c>
      <c r="D70" s="118">
        <v>9.0</v>
      </c>
      <c r="E70" s="370">
        <v>2.0</v>
      </c>
      <c r="F70" s="370">
        <v>2.0</v>
      </c>
      <c r="G70" s="370">
        <v>6.0</v>
      </c>
      <c r="H70" s="395"/>
      <c r="I70" s="168">
        <v>20.0</v>
      </c>
    </row>
    <row r="71" spans="8:8">
      <c r="A71" s="526" t="s">
        <v>78</v>
      </c>
      <c r="B71" s="569" t="s">
        <v>65</v>
      </c>
      <c r="C71" s="93">
        <v>1.0</v>
      </c>
      <c r="D71" s="93">
        <v>14.0</v>
      </c>
      <c r="E71" s="372">
        <v>2.0</v>
      </c>
      <c r="F71" s="372">
        <v>2.0</v>
      </c>
      <c r="G71" s="370">
        <v>6.0</v>
      </c>
      <c r="H71" s="360"/>
      <c r="I71" s="168">
        <v>25.0</v>
      </c>
    </row>
    <row r="72" spans="8:8">
      <c r="A72" s="526" t="s">
        <v>79</v>
      </c>
      <c r="B72" s="569" t="s">
        <v>65</v>
      </c>
      <c r="C72" s="93">
        <v>1.0</v>
      </c>
      <c r="D72" s="93">
        <v>19.0</v>
      </c>
      <c r="E72" s="372">
        <v>2.0</v>
      </c>
      <c r="F72" s="372">
        <v>2.0</v>
      </c>
      <c r="G72" s="370">
        <v>6.0</v>
      </c>
      <c r="H72" s="360"/>
      <c r="I72" s="168">
        <f>SUM(C72:H72)</f>
        <v>30.0</v>
      </c>
    </row>
    <row r="73" spans="8:8">
      <c r="A73" s="526" t="s">
        <v>80</v>
      </c>
      <c r="B73" s="569" t="s">
        <v>65</v>
      </c>
      <c r="C73" s="118">
        <v>1.0</v>
      </c>
      <c r="D73" s="118">
        <v>4.0</v>
      </c>
      <c r="E73" s="370">
        <v>2.0</v>
      </c>
      <c r="F73" s="370">
        <v>2.0</v>
      </c>
      <c r="G73" s="370">
        <v>6.0</v>
      </c>
      <c r="H73" s="395"/>
      <c r="I73" s="168">
        <v>15.0</v>
      </c>
    </row>
    <row r="74" spans="8:8">
      <c r="A74" s="526" t="s">
        <v>81</v>
      </c>
      <c r="B74" s="569" t="s">
        <v>65</v>
      </c>
      <c r="C74" s="93">
        <v>1.0</v>
      </c>
      <c r="D74" s="93">
        <v>9.0</v>
      </c>
      <c r="E74" s="372">
        <v>2.0</v>
      </c>
      <c r="F74" s="372">
        <v>2.0</v>
      </c>
      <c r="G74" s="370">
        <v>6.0</v>
      </c>
      <c r="H74" s="360"/>
      <c r="I74" s="168">
        <v>20.0</v>
      </c>
    </row>
    <row r="75" spans="8:8">
      <c r="A75" s="526" t="s">
        <v>82</v>
      </c>
      <c r="B75" s="569" t="s">
        <v>65</v>
      </c>
      <c r="C75" s="93">
        <v>1.0</v>
      </c>
      <c r="D75" s="93">
        <v>19.0</v>
      </c>
      <c r="E75" s="372">
        <v>2.0</v>
      </c>
      <c r="F75" s="372">
        <v>2.0</v>
      </c>
      <c r="G75" s="370">
        <v>6.0</v>
      </c>
      <c r="H75" s="360"/>
      <c r="I75" s="168">
        <f>SUM(C75:H75)</f>
        <v>30.0</v>
      </c>
    </row>
    <row r="76" spans="8:8">
      <c r="A76" s="526" t="s">
        <v>83</v>
      </c>
      <c r="B76" s="569" t="s">
        <v>65</v>
      </c>
      <c r="C76" s="93">
        <v>1.0</v>
      </c>
      <c r="D76" s="93">
        <v>29.0</v>
      </c>
      <c r="E76" s="372">
        <v>2.0</v>
      </c>
      <c r="F76" s="372">
        <v>2.0</v>
      </c>
      <c r="G76" s="370">
        <v>6.0</v>
      </c>
      <c r="H76" s="360"/>
      <c r="I76" s="168">
        <v>40.0</v>
      </c>
    </row>
    <row r="77" spans="8:8">
      <c r="A77" s="526" t="s">
        <v>84</v>
      </c>
      <c r="B77" s="569" t="s">
        <v>65</v>
      </c>
      <c r="C77" s="118">
        <v>1.0</v>
      </c>
      <c r="D77" s="118">
        <v>9.0</v>
      </c>
      <c r="E77" s="370">
        <v>2.0</v>
      </c>
      <c r="F77" s="370">
        <v>2.0</v>
      </c>
      <c r="G77" s="370">
        <v>6.0</v>
      </c>
      <c r="H77" s="395"/>
      <c r="I77" s="168">
        <v>20.0</v>
      </c>
    </row>
    <row r="78" spans="8:8" ht="15.75">
      <c r="A78" s="526" t="s">
        <v>85</v>
      </c>
      <c r="B78" s="569" t="s">
        <v>65</v>
      </c>
      <c r="C78" s="93">
        <v>1.0</v>
      </c>
      <c r="D78" s="93">
        <v>29.0</v>
      </c>
      <c r="E78" s="372">
        <v>2.0</v>
      </c>
      <c r="F78" s="372">
        <v>2.0</v>
      </c>
      <c r="G78" s="370">
        <v>6.0</v>
      </c>
      <c r="H78" s="360"/>
      <c r="I78" s="168">
        <f>SUM(C78:H78)</f>
        <v>40.0</v>
      </c>
    </row>
    <row r="79" spans="8:8" ht="36.0" customHeight="1">
      <c r="A79" s="592" t="s">
        <v>464</v>
      </c>
      <c r="B79" s="593"/>
      <c r="C79" s="593"/>
      <c r="D79" s="593"/>
      <c r="E79" s="593"/>
      <c r="F79" s="593"/>
      <c r="G79" s="593"/>
      <c r="H79" s="593"/>
      <c r="I79" s="594"/>
    </row>
    <row r="80" spans="8:8">
      <c r="A80" s="543" t="s">
        <v>86</v>
      </c>
      <c r="B80" s="585" t="s">
        <v>65</v>
      </c>
      <c r="C80" s="93">
        <v>1.0</v>
      </c>
      <c r="D80" s="93">
        <v>9.0</v>
      </c>
      <c r="E80" s="372">
        <v>2.0</v>
      </c>
      <c r="F80" s="372">
        <v>2.0</v>
      </c>
      <c r="G80" s="370">
        <v>6.0</v>
      </c>
      <c r="H80" s="360"/>
      <c r="I80" s="168">
        <v>20.0</v>
      </c>
    </row>
    <row r="81" spans="8:8">
      <c r="A81" s="543" t="s">
        <v>87</v>
      </c>
      <c r="B81" s="585" t="s">
        <v>65</v>
      </c>
      <c r="C81" s="93">
        <v>1.0</v>
      </c>
      <c r="D81" s="93">
        <v>14.0</v>
      </c>
      <c r="E81" s="372">
        <v>2.0</v>
      </c>
      <c r="F81" s="372">
        <v>2.0</v>
      </c>
      <c r="G81" s="370">
        <v>6.0</v>
      </c>
      <c r="H81" s="360"/>
      <c r="I81" s="168">
        <v>25.0</v>
      </c>
      <c r="J81" s="49"/>
      <c r="K81" s="49"/>
      <c r="L81" s="49"/>
      <c r="M81" s="49"/>
      <c r="N81" s="49"/>
    </row>
    <row r="82" spans="8:8">
      <c r="A82" s="543" t="s">
        <v>88</v>
      </c>
      <c r="B82" s="585" t="s">
        <v>65</v>
      </c>
      <c r="C82" s="93">
        <v>1.0</v>
      </c>
      <c r="D82" s="93">
        <v>19.0</v>
      </c>
      <c r="E82" s="372">
        <v>2.0</v>
      </c>
      <c r="F82" s="372">
        <v>2.0</v>
      </c>
      <c r="G82" s="370">
        <v>6.0</v>
      </c>
      <c r="H82" s="360"/>
      <c r="I82" s="168">
        <v>30.0</v>
      </c>
    </row>
    <row r="83" spans="8:8">
      <c r="A83" s="543" t="s">
        <v>89</v>
      </c>
      <c r="B83" s="585" t="s">
        <v>65</v>
      </c>
      <c r="C83" s="93">
        <v>1.0</v>
      </c>
      <c r="D83" s="93">
        <v>24.0</v>
      </c>
      <c r="E83" s="372">
        <v>2.0</v>
      </c>
      <c r="F83" s="372">
        <v>2.0</v>
      </c>
      <c r="G83" s="370">
        <v>6.0</v>
      </c>
      <c r="H83" s="360"/>
      <c r="I83" s="168">
        <f>SUM(C83:H83)</f>
        <v>35.0</v>
      </c>
    </row>
    <row r="84" spans="8:8">
      <c r="A84" s="543" t="s">
        <v>90</v>
      </c>
      <c r="B84" s="585" t="s">
        <v>65</v>
      </c>
      <c r="C84" s="93">
        <v>1.0</v>
      </c>
      <c r="D84" s="93">
        <v>29.0</v>
      </c>
      <c r="E84" s="372">
        <v>2.0</v>
      </c>
      <c r="F84" s="372">
        <v>2.0</v>
      </c>
      <c r="G84" s="370">
        <v>6.0</v>
      </c>
      <c r="H84" s="360"/>
      <c r="I84" s="168">
        <f>SUM(C84:H84)</f>
        <v>40.0</v>
      </c>
    </row>
    <row r="85" spans="8:8" s="49" ht="15.0" customFormat="1">
      <c r="A85" s="543" t="s">
        <v>91</v>
      </c>
      <c r="B85" s="585" t="s">
        <v>65</v>
      </c>
      <c r="C85" s="93">
        <v>1.0</v>
      </c>
      <c r="D85" s="93">
        <v>34.0</v>
      </c>
      <c r="E85" s="372">
        <v>2.0</v>
      </c>
      <c r="F85" s="372">
        <v>2.0</v>
      </c>
      <c r="G85" s="370">
        <v>6.0</v>
      </c>
      <c r="H85" s="360"/>
      <c r="I85" s="168">
        <f>SUM(C85:H85)</f>
        <v>45.0</v>
      </c>
      <c r="J85" s="39"/>
      <c r="K85" s="39"/>
      <c r="L85" s="39"/>
      <c r="M85" s="39"/>
      <c r="N85" s="39"/>
    </row>
    <row r="86" spans="8:8">
      <c r="A86" s="543" t="s">
        <v>92</v>
      </c>
      <c r="B86" s="585" t="s">
        <v>65</v>
      </c>
      <c r="C86" s="93">
        <v>1.0</v>
      </c>
      <c r="D86" s="93">
        <v>4.0</v>
      </c>
      <c r="E86" s="372">
        <v>2.0</v>
      </c>
      <c r="F86" s="372">
        <v>2.0</v>
      </c>
      <c r="G86" s="370">
        <v>6.0</v>
      </c>
      <c r="H86" s="360"/>
      <c r="I86" s="168">
        <v>15.0</v>
      </c>
    </row>
    <row r="87" spans="8:8">
      <c r="A87" s="543" t="s">
        <v>93</v>
      </c>
      <c r="B87" s="585" t="s">
        <v>65</v>
      </c>
      <c r="C87" s="93">
        <v>1.0</v>
      </c>
      <c r="D87" s="93">
        <v>9.0</v>
      </c>
      <c r="E87" s="372">
        <v>2.0</v>
      </c>
      <c r="F87" s="372">
        <v>2.0</v>
      </c>
      <c r="G87" s="370">
        <v>6.0</v>
      </c>
      <c r="H87" s="360"/>
      <c r="I87" s="168">
        <v>20.0</v>
      </c>
    </row>
    <row r="88" spans="8:8">
      <c r="A88" s="543" t="s">
        <v>94</v>
      </c>
      <c r="B88" s="585" t="s">
        <v>65</v>
      </c>
      <c r="C88" s="93">
        <v>1.0</v>
      </c>
      <c r="D88" s="93">
        <v>19.0</v>
      </c>
      <c r="E88" s="372">
        <v>2.0</v>
      </c>
      <c r="F88" s="372">
        <v>2.0</v>
      </c>
      <c r="G88" s="370">
        <v>6.0</v>
      </c>
      <c r="H88" s="360"/>
      <c r="I88" s="168">
        <v>30.0</v>
      </c>
    </row>
    <row r="89" spans="8:8">
      <c r="A89" s="543" t="s">
        <v>97</v>
      </c>
      <c r="B89" s="585" t="s">
        <v>65</v>
      </c>
      <c r="C89" s="93">
        <v>1.0</v>
      </c>
      <c r="D89" s="93">
        <v>4.0</v>
      </c>
      <c r="E89" s="372">
        <v>2.0</v>
      </c>
      <c r="F89" s="372">
        <v>2.0</v>
      </c>
      <c r="G89" s="370">
        <v>6.0</v>
      </c>
      <c r="H89" s="360"/>
      <c r="I89" s="168">
        <v>15.0</v>
      </c>
    </row>
    <row r="90" spans="8:8">
      <c r="A90" s="543" t="s">
        <v>98</v>
      </c>
      <c r="B90" s="585" t="s">
        <v>65</v>
      </c>
      <c r="C90" s="93">
        <v>1.0</v>
      </c>
      <c r="D90" s="93">
        <v>9.0</v>
      </c>
      <c r="E90" s="372">
        <v>2.0</v>
      </c>
      <c r="F90" s="372">
        <v>2.0</v>
      </c>
      <c r="G90" s="370">
        <v>6.0</v>
      </c>
      <c r="H90" s="360"/>
      <c r="I90" s="168">
        <v>20.0</v>
      </c>
    </row>
    <row r="91" spans="8:8">
      <c r="A91" s="543" t="s">
        <v>99</v>
      </c>
      <c r="B91" s="585" t="s">
        <v>65</v>
      </c>
      <c r="C91" s="93">
        <v>1.0</v>
      </c>
      <c r="D91" s="93">
        <v>19.0</v>
      </c>
      <c r="E91" s="372">
        <v>2.0</v>
      </c>
      <c r="F91" s="372">
        <v>2.0</v>
      </c>
      <c r="G91" s="370">
        <v>6.0</v>
      </c>
      <c r="H91" s="360"/>
      <c r="I91" s="168">
        <v>30.0</v>
      </c>
      <c r="J91" s="49"/>
      <c r="K91" s="49"/>
      <c r="L91" s="49"/>
      <c r="M91" s="49"/>
      <c r="N91" s="49"/>
    </row>
    <row r="92" spans="8:8">
      <c r="A92" s="543" t="s">
        <v>100</v>
      </c>
      <c r="B92" s="585" t="s">
        <v>65</v>
      </c>
      <c r="C92" s="93">
        <v>1.0</v>
      </c>
      <c r="D92" s="93">
        <v>29.0</v>
      </c>
      <c r="E92" s="372">
        <v>2.0</v>
      </c>
      <c r="F92" s="372">
        <v>2.0</v>
      </c>
      <c r="G92" s="370">
        <v>6.0</v>
      </c>
      <c r="H92" s="360"/>
      <c r="I92" s="168">
        <v>40.0</v>
      </c>
    </row>
    <row r="93" spans="8:8">
      <c r="A93" s="543" t="s">
        <v>101</v>
      </c>
      <c r="B93" s="585" t="s">
        <v>65</v>
      </c>
      <c r="C93" s="118">
        <v>1.0</v>
      </c>
      <c r="D93" s="118">
        <v>34.0</v>
      </c>
      <c r="E93" s="370">
        <v>2.0</v>
      </c>
      <c r="F93" s="370">
        <v>2.0</v>
      </c>
      <c r="G93" s="370">
        <v>6.0</v>
      </c>
      <c r="H93" s="395"/>
      <c r="I93" s="168">
        <v>45.0</v>
      </c>
    </row>
    <row r="94" spans="8:8">
      <c r="A94" s="543" t="s">
        <v>102</v>
      </c>
      <c r="B94" s="585" t="s">
        <v>65</v>
      </c>
      <c r="C94" s="93">
        <v>1.0</v>
      </c>
      <c r="D94" s="93">
        <v>9.0</v>
      </c>
      <c r="E94" s="372">
        <v>2.0</v>
      </c>
      <c r="F94" s="372">
        <v>2.0</v>
      </c>
      <c r="G94" s="370">
        <v>6.0</v>
      </c>
      <c r="H94" s="360"/>
      <c r="I94" s="168">
        <v>20.0</v>
      </c>
    </row>
    <row r="95" spans="8:8" s="49" ht="15.0" customFormat="1">
      <c r="A95" s="543" t="s">
        <v>103</v>
      </c>
      <c r="B95" s="585" t="s">
        <v>65</v>
      </c>
      <c r="C95" s="93">
        <v>1.0</v>
      </c>
      <c r="D95" s="93">
        <v>4.0</v>
      </c>
      <c r="E95" s="372">
        <v>2.0</v>
      </c>
      <c r="F95" s="372">
        <v>2.0</v>
      </c>
      <c r="G95" s="370">
        <v>6.0</v>
      </c>
      <c r="H95" s="360"/>
      <c r="I95" s="168">
        <v>15.0</v>
      </c>
      <c r="J95" s="39"/>
      <c r="K95" s="39"/>
      <c r="L95" s="39"/>
      <c r="M95" s="39"/>
      <c r="N95" s="39"/>
    </row>
    <row r="96" spans="8:8">
      <c r="A96" s="543" t="s">
        <v>104</v>
      </c>
      <c r="B96" s="585" t="s">
        <v>65</v>
      </c>
      <c r="C96" s="93">
        <v>1.0</v>
      </c>
      <c r="D96" s="93">
        <v>9.0</v>
      </c>
      <c r="E96" s="372">
        <v>2.0</v>
      </c>
      <c r="F96" s="372">
        <v>2.0</v>
      </c>
      <c r="G96" s="370">
        <v>6.0</v>
      </c>
      <c r="H96" s="360"/>
      <c r="I96" s="168">
        <v>20.0</v>
      </c>
    </row>
    <row r="97" spans="8:8">
      <c r="A97" s="526" t="s">
        <v>105</v>
      </c>
      <c r="B97" s="569" t="s">
        <v>65</v>
      </c>
      <c r="C97" s="93">
        <v>1.0</v>
      </c>
      <c r="D97" s="209">
        <v>14.0</v>
      </c>
      <c r="E97" s="372">
        <v>2.0</v>
      </c>
      <c r="F97" s="372">
        <v>2.0</v>
      </c>
      <c r="G97" s="370">
        <v>6.0</v>
      </c>
      <c r="H97" s="360"/>
      <c r="I97" s="168">
        <v>25.0</v>
      </c>
      <c r="J97" s="49"/>
      <c r="K97" s="49"/>
      <c r="L97" s="49"/>
      <c r="M97" s="49"/>
      <c r="N97" s="49"/>
    </row>
    <row r="98" spans="8:8">
      <c r="A98" s="526" t="s">
        <v>108</v>
      </c>
      <c r="B98" s="569" t="s">
        <v>65</v>
      </c>
      <c r="C98" s="93">
        <v>1.0</v>
      </c>
      <c r="D98" s="93">
        <v>9.0</v>
      </c>
      <c r="E98" s="372">
        <v>2.0</v>
      </c>
      <c r="F98" s="372">
        <v>2.0</v>
      </c>
      <c r="G98" s="370">
        <v>6.0</v>
      </c>
      <c r="H98" s="360"/>
      <c r="I98" s="168">
        <f>SUM(C98:H98)</f>
        <v>20.0</v>
      </c>
    </row>
    <row r="99" spans="8:8">
      <c r="A99" s="526" t="s">
        <v>109</v>
      </c>
      <c r="B99" s="569" t="s">
        <v>65</v>
      </c>
      <c r="C99" s="118">
        <v>1.0</v>
      </c>
      <c r="D99" s="118">
        <v>14.0</v>
      </c>
      <c r="E99" s="370">
        <v>2.0</v>
      </c>
      <c r="F99" s="370">
        <v>2.0</v>
      </c>
      <c r="G99" s="370">
        <v>6.0</v>
      </c>
      <c r="H99" s="395"/>
      <c r="I99" s="168">
        <v>25.0</v>
      </c>
    </row>
    <row r="100" spans="8:8">
      <c r="A100" s="526" t="s">
        <v>110</v>
      </c>
      <c r="B100" s="569" t="s">
        <v>65</v>
      </c>
      <c r="C100" s="93">
        <v>1.0</v>
      </c>
      <c r="D100" s="93">
        <v>9.0</v>
      </c>
      <c r="E100" s="372">
        <v>2.0</v>
      </c>
      <c r="F100" s="372">
        <v>2.0</v>
      </c>
      <c r="G100" s="370">
        <v>6.0</v>
      </c>
      <c r="H100" s="360"/>
      <c r="I100" s="168">
        <f>SUM(C100:H100)</f>
        <v>20.0</v>
      </c>
    </row>
    <row r="101" spans="8:8" s="49" ht="15.0" customFormat="1">
      <c r="A101" s="526" t="s">
        <v>111</v>
      </c>
      <c r="B101" s="569" t="s">
        <v>65</v>
      </c>
      <c r="C101" s="93">
        <v>1.0</v>
      </c>
      <c r="D101" s="93">
        <v>4.0</v>
      </c>
      <c r="E101" s="372">
        <v>2.0</v>
      </c>
      <c r="F101" s="372">
        <v>2.0</v>
      </c>
      <c r="G101" s="370">
        <v>6.0</v>
      </c>
      <c r="H101" s="360"/>
      <c r="I101" s="168">
        <v>15.0</v>
      </c>
      <c r="J101" s="39"/>
      <c r="K101" s="39"/>
      <c r="L101" s="39"/>
      <c r="M101" s="39"/>
      <c r="N101" s="39"/>
    </row>
    <row r="102" spans="8:8">
      <c r="A102" s="526" t="s">
        <v>112</v>
      </c>
      <c r="B102" s="569" t="s">
        <v>65</v>
      </c>
      <c r="C102" s="93">
        <v>1.0</v>
      </c>
      <c r="D102" s="93">
        <v>9.0</v>
      </c>
      <c r="E102" s="372">
        <v>2.0</v>
      </c>
      <c r="F102" s="372">
        <v>2.0</v>
      </c>
      <c r="G102" s="370">
        <v>6.0</v>
      </c>
      <c r="H102" s="360"/>
      <c r="I102" s="168">
        <v>20.0</v>
      </c>
    </row>
    <row r="103" spans="8:8">
      <c r="A103" s="526" t="s">
        <v>113</v>
      </c>
      <c r="B103" s="569" t="s">
        <v>65</v>
      </c>
      <c r="C103" s="93">
        <v>1.0</v>
      </c>
      <c r="D103" s="93">
        <v>14.0</v>
      </c>
      <c r="E103" s="372">
        <v>2.0</v>
      </c>
      <c r="F103" s="372">
        <v>2.0</v>
      </c>
      <c r="G103" s="370">
        <v>6.0</v>
      </c>
      <c r="H103" s="360"/>
      <c r="I103" s="168">
        <v>25.0</v>
      </c>
    </row>
    <row r="104" spans="8:8">
      <c r="A104" s="526" t="s">
        <v>114</v>
      </c>
      <c r="B104" s="569" t="s">
        <v>65</v>
      </c>
      <c r="C104" s="93">
        <v>1.0</v>
      </c>
      <c r="D104" s="93">
        <v>4.0</v>
      </c>
      <c r="E104" s="372">
        <v>2.0</v>
      </c>
      <c r="F104" s="372">
        <v>2.0</v>
      </c>
      <c r="G104" s="370">
        <v>6.0</v>
      </c>
      <c r="H104" s="360"/>
      <c r="I104" s="168">
        <v>15.0</v>
      </c>
    </row>
    <row r="105" spans="8:8">
      <c r="A105" s="526" t="s">
        <v>115</v>
      </c>
      <c r="B105" s="569" t="s">
        <v>65</v>
      </c>
      <c r="C105" s="118">
        <v>1.0</v>
      </c>
      <c r="D105" s="118">
        <v>9.0</v>
      </c>
      <c r="E105" s="370">
        <v>2.0</v>
      </c>
      <c r="F105" s="370">
        <v>2.0</v>
      </c>
      <c r="G105" s="370">
        <v>6.0</v>
      </c>
      <c r="H105" s="395"/>
      <c r="I105" s="168">
        <v>20.0</v>
      </c>
    </row>
    <row r="106" spans="8:8">
      <c r="A106" s="526" t="s">
        <v>116</v>
      </c>
      <c r="B106" s="569" t="s">
        <v>65</v>
      </c>
      <c r="C106" s="93">
        <v>1.0</v>
      </c>
      <c r="D106" s="93">
        <v>14.0</v>
      </c>
      <c r="E106" s="372">
        <v>2.0</v>
      </c>
      <c r="F106" s="372">
        <v>2.0</v>
      </c>
      <c r="G106" s="370">
        <v>6.0</v>
      </c>
      <c r="H106" s="360"/>
      <c r="I106" s="168">
        <v>25.0</v>
      </c>
    </row>
    <row r="107" spans="8:8">
      <c r="A107" s="526" t="s">
        <v>117</v>
      </c>
      <c r="B107" s="569" t="s">
        <v>65</v>
      </c>
      <c r="C107" s="93">
        <v>1.0</v>
      </c>
      <c r="D107" s="93">
        <v>9.0</v>
      </c>
      <c r="E107" s="372">
        <v>2.0</v>
      </c>
      <c r="F107" s="372">
        <v>2.0</v>
      </c>
      <c r="G107" s="370">
        <v>6.0</v>
      </c>
      <c r="H107" s="360"/>
      <c r="I107" s="168">
        <v>20.0</v>
      </c>
    </row>
    <row r="108" spans="8:8">
      <c r="A108" s="526" t="s">
        <v>118</v>
      </c>
      <c r="B108" s="569" t="s">
        <v>65</v>
      </c>
      <c r="C108" s="118">
        <v>1.0</v>
      </c>
      <c r="D108" s="118">
        <v>4.0</v>
      </c>
      <c r="E108" s="370">
        <v>2.0</v>
      </c>
      <c r="F108" s="370">
        <v>2.0</v>
      </c>
      <c r="G108" s="370">
        <v>6.0</v>
      </c>
      <c r="H108" s="395"/>
      <c r="I108" s="168">
        <v>15.0</v>
      </c>
    </row>
    <row r="109" spans="8:8">
      <c r="A109" s="526" t="s">
        <v>119</v>
      </c>
      <c r="B109" s="569" t="s">
        <v>65</v>
      </c>
      <c r="C109" s="93">
        <v>1.0</v>
      </c>
      <c r="D109" s="93">
        <v>9.0</v>
      </c>
      <c r="E109" s="372">
        <v>2.0</v>
      </c>
      <c r="F109" s="372">
        <v>2.0</v>
      </c>
      <c r="G109" s="370">
        <v>6.0</v>
      </c>
      <c r="H109" s="360"/>
      <c r="I109" s="168">
        <v>20.0</v>
      </c>
    </row>
    <row r="110" spans="8:8">
      <c r="A110" s="526" t="s">
        <v>120</v>
      </c>
      <c r="B110" s="569" t="s">
        <v>65</v>
      </c>
      <c r="C110" s="93">
        <v>1.0</v>
      </c>
      <c r="D110" s="93">
        <v>19.0</v>
      </c>
      <c r="E110" s="372">
        <v>2.0</v>
      </c>
      <c r="F110" s="372">
        <v>2.0</v>
      </c>
      <c r="G110" s="370">
        <v>6.0</v>
      </c>
      <c r="H110" s="360"/>
      <c r="I110" s="168">
        <v>30.0</v>
      </c>
    </row>
    <row r="111" spans="8:8">
      <c r="A111" s="526" t="s">
        <v>121</v>
      </c>
      <c r="B111" s="569" t="s">
        <v>65</v>
      </c>
      <c r="C111" s="93">
        <v>1.0</v>
      </c>
      <c r="D111" s="93">
        <v>29.0</v>
      </c>
      <c r="E111" s="372">
        <v>2.0</v>
      </c>
      <c r="F111" s="372">
        <v>2.0</v>
      </c>
      <c r="G111" s="370">
        <v>6.0</v>
      </c>
      <c r="H111" s="360"/>
      <c r="I111" s="168">
        <v>40.0</v>
      </c>
    </row>
    <row r="112" spans="8:8">
      <c r="A112" s="526" t="s">
        <v>122</v>
      </c>
      <c r="B112" s="569" t="s">
        <v>65</v>
      </c>
      <c r="C112" s="118">
        <v>1.0</v>
      </c>
      <c r="D112" s="118">
        <v>4.0</v>
      </c>
      <c r="E112" s="370">
        <v>2.0</v>
      </c>
      <c r="F112" s="370">
        <v>2.0</v>
      </c>
      <c r="G112" s="370">
        <v>6.0</v>
      </c>
      <c r="H112" s="395"/>
      <c r="I112" s="168">
        <v>15.0</v>
      </c>
    </row>
    <row r="113" spans="8:8">
      <c r="A113" s="526" t="s">
        <v>123</v>
      </c>
      <c r="B113" s="569" t="s">
        <v>65</v>
      </c>
      <c r="C113" s="93">
        <v>1.0</v>
      </c>
      <c r="D113" s="93">
        <v>9.0</v>
      </c>
      <c r="E113" s="372">
        <v>2.0</v>
      </c>
      <c r="F113" s="372">
        <v>2.0</v>
      </c>
      <c r="G113" s="370">
        <v>6.0</v>
      </c>
      <c r="H113" s="360"/>
      <c r="I113" s="168">
        <v>20.0</v>
      </c>
    </row>
    <row r="114" spans="8:8">
      <c r="A114" s="526" t="s">
        <v>124</v>
      </c>
      <c r="B114" s="569" t="s">
        <v>65</v>
      </c>
      <c r="C114" s="93">
        <v>1.0</v>
      </c>
      <c r="D114" s="93">
        <v>14.0</v>
      </c>
      <c r="E114" s="372">
        <v>2.0</v>
      </c>
      <c r="F114" s="372">
        <v>2.0</v>
      </c>
      <c r="G114" s="370">
        <v>6.0</v>
      </c>
      <c r="H114" s="360"/>
      <c r="I114" s="168">
        <v>25.0</v>
      </c>
    </row>
    <row r="115" spans="8:8">
      <c r="A115" s="526" t="s">
        <v>125</v>
      </c>
      <c r="B115" s="569" t="s">
        <v>65</v>
      </c>
      <c r="C115" s="93">
        <v>1.0</v>
      </c>
      <c r="D115" s="93">
        <v>19.0</v>
      </c>
      <c r="E115" s="372">
        <v>2.0</v>
      </c>
      <c r="F115" s="372">
        <v>2.0</v>
      </c>
      <c r="G115" s="370">
        <v>6.0</v>
      </c>
      <c r="H115" s="360"/>
      <c r="I115" s="168">
        <v>30.0</v>
      </c>
    </row>
    <row r="116" spans="8:8">
      <c r="A116" s="526" t="s">
        <v>126</v>
      </c>
      <c r="B116" s="569" t="s">
        <v>65</v>
      </c>
      <c r="C116" s="118">
        <v>1.0</v>
      </c>
      <c r="D116" s="118">
        <v>24.0</v>
      </c>
      <c r="E116" s="370">
        <v>2.0</v>
      </c>
      <c r="F116" s="370">
        <v>2.0</v>
      </c>
      <c r="G116" s="370">
        <v>6.0</v>
      </c>
      <c r="H116" s="395"/>
      <c r="I116" s="168">
        <v>35.0</v>
      </c>
    </row>
    <row r="117" spans="8:8">
      <c r="A117" s="526" t="s">
        <v>127</v>
      </c>
      <c r="B117" s="569" t="s">
        <v>65</v>
      </c>
      <c r="C117" s="93">
        <v>1.0</v>
      </c>
      <c r="D117" s="93">
        <v>19.0</v>
      </c>
      <c r="E117" s="372">
        <v>2.0</v>
      </c>
      <c r="F117" s="372">
        <v>2.0</v>
      </c>
      <c r="G117" s="370">
        <v>6.0</v>
      </c>
      <c r="H117" s="360"/>
      <c r="I117" s="168">
        <v>30.0</v>
      </c>
    </row>
    <row r="118" spans="8:8">
      <c r="A118" s="526" t="s">
        <v>128</v>
      </c>
      <c r="B118" s="569" t="s">
        <v>65</v>
      </c>
      <c r="C118" s="93">
        <v>1.0</v>
      </c>
      <c r="D118" s="93">
        <v>29.0</v>
      </c>
      <c r="E118" s="372">
        <v>2.0</v>
      </c>
      <c r="F118" s="372">
        <v>2.0</v>
      </c>
      <c r="G118" s="370">
        <v>6.0</v>
      </c>
      <c r="H118" s="360"/>
      <c r="I118" s="168">
        <v>40.0</v>
      </c>
    </row>
    <row r="119" spans="8:8">
      <c r="A119" s="526" t="s">
        <v>129</v>
      </c>
      <c r="B119" s="569" t="s">
        <v>65</v>
      </c>
      <c r="C119" s="93">
        <v>1.0</v>
      </c>
      <c r="D119" s="93">
        <v>39.0</v>
      </c>
      <c r="E119" s="372">
        <v>2.0</v>
      </c>
      <c r="F119" s="372">
        <v>2.0</v>
      </c>
      <c r="G119" s="370">
        <v>6.0</v>
      </c>
      <c r="H119" s="360"/>
      <c r="I119" s="168">
        <f>SUM(C119:H119)</f>
        <v>50.0</v>
      </c>
    </row>
    <row r="120" spans="8:8">
      <c r="A120" s="526" t="s">
        <v>130</v>
      </c>
      <c r="B120" s="569" t="s">
        <v>65</v>
      </c>
      <c r="C120" s="93">
        <v>1.0</v>
      </c>
      <c r="D120" s="93">
        <v>49.0</v>
      </c>
      <c r="E120" s="372">
        <v>2.0</v>
      </c>
      <c r="F120" s="372">
        <v>2.0</v>
      </c>
      <c r="G120" s="370">
        <v>6.0</v>
      </c>
      <c r="H120" s="360"/>
      <c r="I120" s="168">
        <f>SUM(C120:H120)</f>
        <v>60.0</v>
      </c>
    </row>
    <row r="121" spans="8:8">
      <c r="A121" s="526" t="s">
        <v>131</v>
      </c>
      <c r="B121" s="569" t="s">
        <v>65</v>
      </c>
      <c r="C121" s="93">
        <v>1.0</v>
      </c>
      <c r="D121" s="93">
        <v>59.0</v>
      </c>
      <c r="E121" s="372">
        <v>2.0</v>
      </c>
      <c r="F121" s="372">
        <v>2.0</v>
      </c>
      <c r="G121" s="370">
        <v>6.0</v>
      </c>
      <c r="H121" s="360"/>
      <c r="I121" s="168">
        <f>SUM(C121:H121)</f>
        <v>70.0</v>
      </c>
    </row>
    <row r="122" spans="8:8" s="595" ht="18.0" customFormat="1" customHeight="1">
      <c r="A122" s="596" t="s">
        <v>132</v>
      </c>
      <c r="B122" s="569" t="s">
        <v>65</v>
      </c>
      <c r="C122" s="597">
        <v>1.0</v>
      </c>
      <c r="D122" s="597">
        <v>4.0</v>
      </c>
      <c r="E122" s="598">
        <v>2.0</v>
      </c>
      <c r="F122" s="598">
        <v>2.0</v>
      </c>
      <c r="G122" s="599">
        <v>6.0</v>
      </c>
      <c r="H122" s="598"/>
      <c r="I122" s="599">
        <v>15.0</v>
      </c>
    </row>
    <row r="123" spans="8:8">
      <c r="A123" s="526" t="s">
        <v>133</v>
      </c>
      <c r="B123" s="569" t="s">
        <v>65</v>
      </c>
      <c r="C123" s="93">
        <v>1.0</v>
      </c>
      <c r="D123" s="93">
        <v>9.0</v>
      </c>
      <c r="E123" s="372">
        <v>2.0</v>
      </c>
      <c r="F123" s="372">
        <v>2.0</v>
      </c>
      <c r="G123" s="370">
        <v>6.0</v>
      </c>
      <c r="H123" s="360"/>
      <c r="I123" s="168">
        <v>20.0</v>
      </c>
    </row>
    <row r="124" spans="8:8">
      <c r="A124" s="526" t="s">
        <v>134</v>
      </c>
      <c r="B124" s="569" t="s">
        <v>65</v>
      </c>
      <c r="C124" s="93">
        <v>1.0</v>
      </c>
      <c r="D124" s="93">
        <v>14.0</v>
      </c>
      <c r="E124" s="372">
        <v>2.0</v>
      </c>
      <c r="F124" s="372">
        <v>2.0</v>
      </c>
      <c r="G124" s="370">
        <v>6.0</v>
      </c>
      <c r="H124" s="360"/>
      <c r="I124" s="168">
        <v>25.0</v>
      </c>
    </row>
    <row r="125" spans="8:8">
      <c r="A125" s="526" t="s">
        <v>135</v>
      </c>
      <c r="B125" s="569" t="s">
        <v>65</v>
      </c>
      <c r="C125" s="93">
        <v>1.0</v>
      </c>
      <c r="D125" s="93">
        <v>4.0</v>
      </c>
      <c r="E125" s="372">
        <v>2.0</v>
      </c>
      <c r="F125" s="372">
        <v>2.0</v>
      </c>
      <c r="G125" s="370">
        <v>6.0</v>
      </c>
      <c r="H125" s="360"/>
      <c r="I125" s="168">
        <v>15.0</v>
      </c>
    </row>
    <row r="126" spans="8:8">
      <c r="A126" s="526" t="s">
        <v>136</v>
      </c>
      <c r="B126" s="569" t="s">
        <v>65</v>
      </c>
      <c r="C126" s="118">
        <v>1.0</v>
      </c>
      <c r="D126" s="118">
        <v>9.0</v>
      </c>
      <c r="E126" s="370">
        <v>2.0</v>
      </c>
      <c r="F126" s="370">
        <v>2.0</v>
      </c>
      <c r="G126" s="370">
        <v>6.0</v>
      </c>
      <c r="H126" s="395"/>
      <c r="I126" s="168">
        <v>20.0</v>
      </c>
    </row>
    <row r="127" spans="8:8">
      <c r="A127" s="526" t="s">
        <v>137</v>
      </c>
      <c r="B127" s="569" t="s">
        <v>65</v>
      </c>
      <c r="C127" s="93">
        <v>1.0</v>
      </c>
      <c r="D127" s="93">
        <v>19.0</v>
      </c>
      <c r="E127" s="372">
        <v>2.0</v>
      </c>
      <c r="F127" s="372">
        <v>2.0</v>
      </c>
      <c r="G127" s="370">
        <v>6.0</v>
      </c>
      <c r="H127" s="360"/>
      <c r="I127" s="168">
        <v>30.0</v>
      </c>
    </row>
    <row r="128" spans="8:8">
      <c r="A128" s="526" t="s">
        <v>138</v>
      </c>
      <c r="B128" s="569" t="s">
        <v>65</v>
      </c>
      <c r="C128" s="93">
        <v>1.0</v>
      </c>
      <c r="D128" s="93">
        <v>29.0</v>
      </c>
      <c r="E128" s="372">
        <v>2.0</v>
      </c>
      <c r="F128" s="372">
        <v>2.0</v>
      </c>
      <c r="G128" s="370">
        <v>6.0</v>
      </c>
      <c r="H128" s="360"/>
      <c r="I128" s="168">
        <v>40.0</v>
      </c>
    </row>
    <row r="129" spans="8:8">
      <c r="A129" s="526" t="s">
        <v>139</v>
      </c>
      <c r="B129" s="569" t="s">
        <v>65</v>
      </c>
      <c r="C129" s="118">
        <v>1.0</v>
      </c>
      <c r="D129" s="118">
        <v>4.0</v>
      </c>
      <c r="E129" s="370">
        <v>2.0</v>
      </c>
      <c r="F129" s="370">
        <v>2.0</v>
      </c>
      <c r="G129" s="370">
        <v>6.0</v>
      </c>
      <c r="H129" s="395"/>
      <c r="I129" s="168">
        <v>15.0</v>
      </c>
    </row>
    <row r="130" spans="8:8">
      <c r="A130" s="526" t="s">
        <v>140</v>
      </c>
      <c r="B130" s="569" t="s">
        <v>65</v>
      </c>
      <c r="C130" s="93">
        <v>1.0</v>
      </c>
      <c r="D130" s="93">
        <v>9.0</v>
      </c>
      <c r="E130" s="372">
        <v>2.0</v>
      </c>
      <c r="F130" s="372">
        <v>2.0</v>
      </c>
      <c r="G130" s="370">
        <v>6.0</v>
      </c>
      <c r="H130" s="360"/>
      <c r="I130" s="168">
        <v>20.0</v>
      </c>
    </row>
    <row r="131" spans="8:8">
      <c r="A131" s="526" t="s">
        <v>141</v>
      </c>
      <c r="B131" s="569" t="s">
        <v>65</v>
      </c>
      <c r="C131" s="93">
        <v>1.0</v>
      </c>
      <c r="D131" s="93">
        <v>14.0</v>
      </c>
      <c r="E131" s="372">
        <v>2.0</v>
      </c>
      <c r="F131" s="372">
        <v>2.0</v>
      </c>
      <c r="G131" s="370">
        <v>6.0</v>
      </c>
      <c r="H131" s="360"/>
      <c r="I131" s="168">
        <v>25.0</v>
      </c>
    </row>
    <row r="132" spans="8:8">
      <c r="A132" s="526" t="s">
        <v>142</v>
      </c>
      <c r="B132" s="569" t="s">
        <v>65</v>
      </c>
      <c r="C132" s="93">
        <v>1.0</v>
      </c>
      <c r="D132" s="93">
        <v>19.0</v>
      </c>
      <c r="E132" s="372">
        <v>2.0</v>
      </c>
      <c r="F132" s="372">
        <v>2.0</v>
      </c>
      <c r="G132" s="370">
        <v>6.0</v>
      </c>
      <c r="H132" s="360"/>
      <c r="I132" s="168">
        <v>30.0</v>
      </c>
    </row>
    <row r="133" spans="8:8">
      <c r="A133" s="526" t="s">
        <v>143</v>
      </c>
      <c r="B133" s="569" t="s">
        <v>65</v>
      </c>
      <c r="C133" s="118">
        <v>1.0</v>
      </c>
      <c r="D133" s="118">
        <v>29.0</v>
      </c>
      <c r="E133" s="370">
        <v>2.0</v>
      </c>
      <c r="F133" s="370">
        <v>2.0</v>
      </c>
      <c r="G133" s="370">
        <v>6.0</v>
      </c>
      <c r="H133" s="395"/>
      <c r="I133" s="168">
        <v>40.0</v>
      </c>
    </row>
    <row r="134" spans="8:8">
      <c r="A134" s="526" t="s">
        <v>144</v>
      </c>
      <c r="B134" s="569" t="s">
        <v>65</v>
      </c>
      <c r="C134" s="93">
        <v>1.0</v>
      </c>
      <c r="D134" s="93">
        <v>39.0</v>
      </c>
      <c r="E134" s="372">
        <v>2.0</v>
      </c>
      <c r="F134" s="372">
        <v>2.0</v>
      </c>
      <c r="G134" s="370">
        <v>6.0</v>
      </c>
      <c r="H134" s="360"/>
      <c r="I134" s="168">
        <v>50.0</v>
      </c>
    </row>
    <row r="135" spans="8:8">
      <c r="A135" s="526" t="s">
        <v>145</v>
      </c>
      <c r="B135" s="569" t="s">
        <v>65</v>
      </c>
      <c r="C135" s="93">
        <v>1.0</v>
      </c>
      <c r="D135" s="93">
        <v>4.0</v>
      </c>
      <c r="E135" s="372">
        <v>2.0</v>
      </c>
      <c r="F135" s="372">
        <v>2.0</v>
      </c>
      <c r="G135" s="370">
        <v>6.0</v>
      </c>
      <c r="H135" s="360"/>
      <c r="I135" s="168">
        <v>15.0</v>
      </c>
    </row>
    <row r="136" spans="8:8">
      <c r="A136" s="526" t="s">
        <v>146</v>
      </c>
      <c r="B136" s="569" t="s">
        <v>65</v>
      </c>
      <c r="C136" s="93">
        <v>1.0</v>
      </c>
      <c r="D136" s="93">
        <v>9.0</v>
      </c>
      <c r="E136" s="372">
        <v>2.0</v>
      </c>
      <c r="F136" s="372">
        <v>2.0</v>
      </c>
      <c r="G136" s="370">
        <v>6.0</v>
      </c>
      <c r="H136" s="360"/>
      <c r="I136" s="168">
        <v>20.0</v>
      </c>
    </row>
    <row r="137" spans="8:8">
      <c r="A137" s="526" t="s">
        <v>147</v>
      </c>
      <c r="B137" s="569" t="s">
        <v>65</v>
      </c>
      <c r="C137" s="93">
        <v>1.0</v>
      </c>
      <c r="D137" s="93">
        <v>14.0</v>
      </c>
      <c r="E137" s="372">
        <v>2.0</v>
      </c>
      <c r="F137" s="372">
        <v>2.0</v>
      </c>
      <c r="G137" s="370">
        <v>6.0</v>
      </c>
      <c r="H137" s="360"/>
      <c r="I137" s="168">
        <v>25.0</v>
      </c>
    </row>
    <row r="138" spans="8:8">
      <c r="A138" s="526" t="s">
        <v>148</v>
      </c>
      <c r="B138" s="569" t="s">
        <v>65</v>
      </c>
      <c r="C138" s="93">
        <v>1.0</v>
      </c>
      <c r="D138" s="93">
        <v>9.0</v>
      </c>
      <c r="E138" s="372">
        <v>2.0</v>
      </c>
      <c r="F138" s="372">
        <v>2.0</v>
      </c>
      <c r="G138" s="370">
        <v>6.0</v>
      </c>
      <c r="H138" s="360"/>
      <c r="I138" s="168">
        <f>SUM(C138:H138)</f>
        <v>20.0</v>
      </c>
    </row>
    <row r="139" spans="8:8">
      <c r="A139" s="526" t="s">
        <v>149</v>
      </c>
      <c r="B139" s="569" t="s">
        <v>65</v>
      </c>
      <c r="C139" s="118">
        <v>1.0</v>
      </c>
      <c r="D139" s="118">
        <v>14.0</v>
      </c>
      <c r="E139" s="370">
        <v>2.0</v>
      </c>
      <c r="F139" s="370">
        <v>2.0</v>
      </c>
      <c r="G139" s="370">
        <v>6.0</v>
      </c>
      <c r="H139" s="395"/>
      <c r="I139" s="168">
        <f>SUM(C139:H139)</f>
        <v>25.0</v>
      </c>
    </row>
    <row r="140" spans="8:8">
      <c r="A140" s="526" t="s">
        <v>150</v>
      </c>
      <c r="B140" s="569" t="s">
        <v>65</v>
      </c>
      <c r="C140" s="93">
        <v>1.0</v>
      </c>
      <c r="D140" s="93">
        <v>29.0</v>
      </c>
      <c r="E140" s="372">
        <v>2.0</v>
      </c>
      <c r="F140" s="372">
        <v>2.0</v>
      </c>
      <c r="G140" s="370">
        <v>6.0</v>
      </c>
      <c r="H140" s="360"/>
      <c r="I140" s="168">
        <v>40.0</v>
      </c>
    </row>
    <row r="141" spans="8:8">
      <c r="A141" s="526" t="s">
        <v>151</v>
      </c>
      <c r="B141" s="569" t="s">
        <v>65</v>
      </c>
      <c r="C141" s="93">
        <v>1.0</v>
      </c>
      <c r="D141" s="93">
        <v>29.0</v>
      </c>
      <c r="E141" s="372">
        <v>2.0</v>
      </c>
      <c r="F141" s="372">
        <v>2.0</v>
      </c>
      <c r="G141" s="370">
        <v>6.0</v>
      </c>
      <c r="H141" s="360"/>
      <c r="I141" s="168">
        <v>40.0</v>
      </c>
    </row>
    <row r="142" spans="8:8">
      <c r="A142" s="526" t="s">
        <v>152</v>
      </c>
      <c r="B142" s="569" t="s">
        <v>65</v>
      </c>
      <c r="C142" s="93">
        <v>1.0</v>
      </c>
      <c r="D142" s="93">
        <v>39.0</v>
      </c>
      <c r="E142" s="372">
        <v>2.0</v>
      </c>
      <c r="F142" s="372">
        <v>2.0</v>
      </c>
      <c r="G142" s="370">
        <v>6.0</v>
      </c>
      <c r="H142" s="360"/>
      <c r="I142" s="168">
        <v>50.0</v>
      </c>
    </row>
    <row r="143" spans="8:8">
      <c r="A143" s="526" t="s">
        <v>153</v>
      </c>
      <c r="B143" s="569" t="s">
        <v>65</v>
      </c>
      <c r="C143" s="93">
        <v>1.0</v>
      </c>
      <c r="D143" s="93">
        <v>89.0</v>
      </c>
      <c r="E143" s="372">
        <v>2.0</v>
      </c>
      <c r="F143" s="372">
        <v>2.0</v>
      </c>
      <c r="G143" s="370">
        <v>6.0</v>
      </c>
      <c r="H143" s="360"/>
      <c r="I143" s="168">
        <f>SUM(C143:H143)</f>
        <v>100.0</v>
      </c>
    </row>
    <row r="144" spans="8:8">
      <c r="A144" s="526" t="s">
        <v>154</v>
      </c>
      <c r="B144" s="569" t="s">
        <v>65</v>
      </c>
      <c r="C144" s="93">
        <v>1.0</v>
      </c>
      <c r="D144" s="93">
        <v>19.0</v>
      </c>
      <c r="E144" s="372">
        <v>2.0</v>
      </c>
      <c r="F144" s="372">
        <v>2.0</v>
      </c>
      <c r="G144" s="370">
        <v>6.0</v>
      </c>
      <c r="H144" s="360"/>
      <c r="I144" s="168">
        <f>SUM(C144:H144)</f>
        <v>30.0</v>
      </c>
    </row>
    <row r="145" spans="8:8">
      <c r="A145" s="526" t="s">
        <v>155</v>
      </c>
      <c r="B145" s="569" t="s">
        <v>65</v>
      </c>
      <c r="C145" s="93">
        <v>1.0</v>
      </c>
      <c r="D145" s="93">
        <v>4.0</v>
      </c>
      <c r="E145" s="372">
        <v>2.0</v>
      </c>
      <c r="F145" s="372">
        <v>2.0</v>
      </c>
      <c r="G145" s="370">
        <v>6.0</v>
      </c>
      <c r="H145" s="360"/>
      <c r="I145" s="168">
        <v>15.0</v>
      </c>
    </row>
    <row r="146" spans="8:8">
      <c r="A146" s="526" t="s">
        <v>156</v>
      </c>
      <c r="B146" s="569" t="s">
        <v>65</v>
      </c>
      <c r="C146" s="93">
        <v>1.0</v>
      </c>
      <c r="D146" s="93">
        <v>9.0</v>
      </c>
      <c r="E146" s="372">
        <v>2.0</v>
      </c>
      <c r="F146" s="372">
        <v>2.0</v>
      </c>
      <c r="G146" s="370">
        <v>6.0</v>
      </c>
      <c r="H146" s="360"/>
      <c r="I146" s="168">
        <v>20.0</v>
      </c>
    </row>
    <row r="147" spans="8:8">
      <c r="A147" s="526" t="s">
        <v>157</v>
      </c>
      <c r="B147" s="569" t="s">
        <v>65</v>
      </c>
      <c r="C147" s="93">
        <v>1.0</v>
      </c>
      <c r="D147" s="93">
        <v>4.0</v>
      </c>
      <c r="E147" s="372">
        <v>2.0</v>
      </c>
      <c r="F147" s="372">
        <v>2.0</v>
      </c>
      <c r="G147" s="370">
        <v>6.0</v>
      </c>
      <c r="H147" s="360"/>
      <c r="I147" s="168">
        <v>15.0</v>
      </c>
    </row>
    <row r="148" spans="8:8">
      <c r="A148" s="526" t="s">
        <v>158</v>
      </c>
      <c r="B148" s="569" t="s">
        <v>65</v>
      </c>
      <c r="C148" s="93">
        <v>1.0</v>
      </c>
      <c r="D148" s="93">
        <v>9.0</v>
      </c>
      <c r="E148" s="372">
        <v>2.0</v>
      </c>
      <c r="F148" s="372">
        <v>2.0</v>
      </c>
      <c r="G148" s="370">
        <v>6.0</v>
      </c>
      <c r="H148" s="360"/>
      <c r="I148" s="168">
        <v>20.0</v>
      </c>
    </row>
    <row r="149" spans="8:8">
      <c r="A149" s="526" t="s">
        <v>159</v>
      </c>
      <c r="B149" s="569" t="s">
        <v>65</v>
      </c>
      <c r="C149" s="118">
        <v>1.0</v>
      </c>
      <c r="D149" s="118">
        <v>14.0</v>
      </c>
      <c r="E149" s="370">
        <v>2.0</v>
      </c>
      <c r="F149" s="370">
        <v>2.0</v>
      </c>
      <c r="G149" s="370">
        <v>6.0</v>
      </c>
      <c r="H149" s="395"/>
      <c r="I149" s="168">
        <v>25.0</v>
      </c>
    </row>
    <row r="150" spans="8:8">
      <c r="A150" s="526" t="s">
        <v>160</v>
      </c>
      <c r="B150" s="569" t="s">
        <v>65</v>
      </c>
      <c r="C150" s="93">
        <v>1.0</v>
      </c>
      <c r="D150" s="93">
        <v>9.0</v>
      </c>
      <c r="E150" s="372">
        <v>2.0</v>
      </c>
      <c r="F150" s="372">
        <v>2.0</v>
      </c>
      <c r="G150" s="370">
        <v>6.0</v>
      </c>
      <c r="H150" s="360"/>
      <c r="I150" s="168">
        <v>20.0</v>
      </c>
    </row>
    <row r="151" spans="8:8">
      <c r="A151" s="543" t="s">
        <v>161</v>
      </c>
      <c r="B151" s="585" t="s">
        <v>65</v>
      </c>
      <c r="C151" s="118">
        <v>1.0</v>
      </c>
      <c r="D151" s="118">
        <v>14.0</v>
      </c>
      <c r="E151" s="370">
        <v>2.0</v>
      </c>
      <c r="F151" s="370">
        <v>2.0</v>
      </c>
      <c r="G151" s="370">
        <v>6.0</v>
      </c>
      <c r="H151" s="395"/>
      <c r="I151" s="168">
        <v>25.0</v>
      </c>
    </row>
    <row r="152" spans="8:8">
      <c r="A152" s="543" t="s">
        <v>162</v>
      </c>
      <c r="B152" s="585" t="s">
        <v>65</v>
      </c>
      <c r="C152" s="93">
        <v>1.0</v>
      </c>
      <c r="D152" s="93">
        <v>29.0</v>
      </c>
      <c r="E152" s="372">
        <v>2.0</v>
      </c>
      <c r="F152" s="372">
        <v>2.0</v>
      </c>
      <c r="G152" s="370">
        <v>5.0</v>
      </c>
      <c r="H152" s="360"/>
      <c r="I152" s="168">
        <v>40.0</v>
      </c>
    </row>
    <row r="153" spans="8:8">
      <c r="A153" s="543" t="s">
        <v>163</v>
      </c>
      <c r="B153" s="585" t="s">
        <v>65</v>
      </c>
      <c r="C153" s="93">
        <v>1.0</v>
      </c>
      <c r="D153" s="93">
        <v>39.0</v>
      </c>
      <c r="E153" s="372">
        <v>2.0</v>
      </c>
      <c r="F153" s="372">
        <v>2.0</v>
      </c>
      <c r="G153" s="370">
        <v>6.0</v>
      </c>
      <c r="H153" s="360"/>
      <c r="I153" s="168">
        <v>50.0</v>
      </c>
    </row>
    <row r="154" spans="8:8">
      <c r="A154" s="526" t="s">
        <v>164</v>
      </c>
      <c r="B154" s="569" t="s">
        <v>65</v>
      </c>
      <c r="C154" s="93">
        <v>1.0</v>
      </c>
      <c r="D154" s="93">
        <v>19.0</v>
      </c>
      <c r="E154" s="372">
        <v>2.0</v>
      </c>
      <c r="F154" s="372">
        <v>2.0</v>
      </c>
      <c r="G154" s="370">
        <v>6.0</v>
      </c>
      <c r="H154" s="360"/>
      <c r="I154" s="168">
        <f>SUM(C154:H154)</f>
        <v>30.0</v>
      </c>
    </row>
    <row r="155" spans="8:8" ht="30.0">
      <c r="A155" s="539" t="s">
        <v>468</v>
      </c>
      <c r="B155" s="569" t="s">
        <v>65</v>
      </c>
      <c r="C155" s="93">
        <v>1.0</v>
      </c>
      <c r="D155" s="93">
        <v>9.0</v>
      </c>
      <c r="E155" s="372">
        <v>2.0</v>
      </c>
      <c r="F155" s="372">
        <v>2.0</v>
      </c>
      <c r="G155" s="370">
        <v>6.0</v>
      </c>
      <c r="H155" s="360"/>
      <c r="I155" s="568">
        <v>20.0</v>
      </c>
    </row>
    <row r="156" spans="8:8">
      <c r="A156" s="526" t="s">
        <v>166</v>
      </c>
      <c r="B156" s="569" t="s">
        <v>65</v>
      </c>
      <c r="C156" s="93">
        <v>1.0</v>
      </c>
      <c r="D156" s="93">
        <v>4.0</v>
      </c>
      <c r="E156" s="372">
        <v>2.0</v>
      </c>
      <c r="F156" s="372">
        <v>2.0</v>
      </c>
      <c r="G156" s="370">
        <v>6.0</v>
      </c>
      <c r="H156" s="360"/>
      <c r="I156" s="168">
        <v>15.0</v>
      </c>
    </row>
    <row r="157" spans="8:8">
      <c r="A157" s="526" t="s">
        <v>167</v>
      </c>
      <c r="B157" s="569" t="s">
        <v>65</v>
      </c>
      <c r="C157" s="93">
        <v>1.0</v>
      </c>
      <c r="D157" s="93">
        <v>9.0</v>
      </c>
      <c r="E157" s="372">
        <v>2.0</v>
      </c>
      <c r="F157" s="372">
        <v>2.0</v>
      </c>
      <c r="G157" s="370">
        <v>6.0</v>
      </c>
      <c r="H157" s="360"/>
      <c r="I157" s="168">
        <v>20.0</v>
      </c>
    </row>
    <row r="158" spans="8:8">
      <c r="A158" s="526" t="s">
        <v>168</v>
      </c>
      <c r="B158" s="569" t="s">
        <v>65</v>
      </c>
      <c r="C158" s="93">
        <v>1.0</v>
      </c>
      <c r="D158" s="93">
        <v>19.0</v>
      </c>
      <c r="E158" s="372">
        <v>2.0</v>
      </c>
      <c r="F158" s="372">
        <v>2.0</v>
      </c>
      <c r="G158" s="370">
        <v>6.0</v>
      </c>
      <c r="H158" s="360"/>
      <c r="I158" s="168">
        <v>30.0</v>
      </c>
    </row>
    <row r="159" spans="8:8">
      <c r="A159" s="526" t="s">
        <v>169</v>
      </c>
      <c r="B159" s="569" t="s">
        <v>65</v>
      </c>
      <c r="C159" s="93">
        <v>1.0</v>
      </c>
      <c r="D159" s="93">
        <v>29.0</v>
      </c>
      <c r="E159" s="372">
        <v>2.0</v>
      </c>
      <c r="F159" s="372">
        <v>2.0</v>
      </c>
      <c r="G159" s="370">
        <v>6.0</v>
      </c>
      <c r="H159" s="360"/>
      <c r="I159" s="168">
        <v>40.0</v>
      </c>
    </row>
    <row r="160" spans="8:8">
      <c r="A160" s="526" t="s">
        <v>170</v>
      </c>
      <c r="B160" s="569" t="s">
        <v>65</v>
      </c>
      <c r="C160" s="118">
        <v>1.0</v>
      </c>
      <c r="D160" s="118">
        <v>4.0</v>
      </c>
      <c r="E160" s="370">
        <v>2.0</v>
      </c>
      <c r="F160" s="370">
        <v>2.0</v>
      </c>
      <c r="G160" s="370">
        <v>6.0</v>
      </c>
      <c r="H160" s="395"/>
      <c r="I160" s="168">
        <v>15.0</v>
      </c>
    </row>
    <row r="161" spans="8:8">
      <c r="A161" s="526" t="s">
        <v>171</v>
      </c>
      <c r="B161" s="569" t="s">
        <v>65</v>
      </c>
      <c r="C161" s="93">
        <v>1.0</v>
      </c>
      <c r="D161" s="93">
        <v>9.0</v>
      </c>
      <c r="E161" s="372">
        <v>2.0</v>
      </c>
      <c r="F161" s="372">
        <v>2.0</v>
      </c>
      <c r="G161" s="370">
        <v>6.0</v>
      </c>
      <c r="H161" s="360"/>
      <c r="I161" s="168">
        <v>20.0</v>
      </c>
    </row>
    <row r="162" spans="8:8">
      <c r="A162" s="526" t="s">
        <v>172</v>
      </c>
      <c r="B162" s="569" t="s">
        <v>65</v>
      </c>
      <c r="C162" s="93">
        <v>1.0</v>
      </c>
      <c r="D162" s="93">
        <v>14.0</v>
      </c>
      <c r="E162" s="372">
        <v>2.0</v>
      </c>
      <c r="F162" s="372">
        <v>2.0</v>
      </c>
      <c r="G162" s="370">
        <v>6.0</v>
      </c>
      <c r="H162" s="360"/>
      <c r="I162" s="168">
        <v>25.0</v>
      </c>
    </row>
    <row r="163" spans="8:8">
      <c r="A163" s="526" t="s">
        <v>173</v>
      </c>
      <c r="B163" s="569" t="s">
        <v>65</v>
      </c>
      <c r="C163" s="93">
        <v>1.0</v>
      </c>
      <c r="D163" s="93">
        <v>19.0</v>
      </c>
      <c r="E163" s="372">
        <v>2.0</v>
      </c>
      <c r="F163" s="372">
        <v>2.0</v>
      </c>
      <c r="G163" s="370">
        <v>6.0</v>
      </c>
      <c r="H163" s="360"/>
      <c r="I163" s="168">
        <f>SUM(C163:H163)</f>
        <v>30.0</v>
      </c>
    </row>
    <row r="164" spans="8:8">
      <c r="A164" s="526" t="s">
        <v>174</v>
      </c>
      <c r="B164" s="569" t="s">
        <v>65</v>
      </c>
      <c r="C164" s="118">
        <v>1.0</v>
      </c>
      <c r="D164" s="118">
        <v>29.0</v>
      </c>
      <c r="E164" s="370">
        <v>2.0</v>
      </c>
      <c r="F164" s="370">
        <v>2.0</v>
      </c>
      <c r="G164" s="370">
        <v>6.0</v>
      </c>
      <c r="H164" s="395"/>
      <c r="I164" s="168">
        <v>40.0</v>
      </c>
    </row>
    <row r="165" spans="8:8">
      <c r="A165" s="526" t="s">
        <v>175</v>
      </c>
      <c r="B165" s="569" t="s">
        <v>65</v>
      </c>
      <c r="C165" s="93">
        <v>1.0</v>
      </c>
      <c r="D165" s="93">
        <v>39.0</v>
      </c>
      <c r="E165" s="372">
        <v>2.0</v>
      </c>
      <c r="F165" s="372">
        <v>2.0</v>
      </c>
      <c r="G165" s="370">
        <v>6.0</v>
      </c>
      <c r="H165" s="360"/>
      <c r="I165" s="168">
        <v>50.0</v>
      </c>
    </row>
    <row r="166" spans="8:8">
      <c r="A166" s="526" t="s">
        <v>176</v>
      </c>
      <c r="B166" s="569" t="s">
        <v>65</v>
      </c>
      <c r="C166" s="93">
        <v>1.0</v>
      </c>
      <c r="D166" s="93">
        <v>19.0</v>
      </c>
      <c r="E166" s="372">
        <v>2.0</v>
      </c>
      <c r="F166" s="372">
        <v>2.0</v>
      </c>
      <c r="G166" s="370">
        <v>6.0</v>
      </c>
      <c r="H166" s="360"/>
      <c r="I166" s="168">
        <f>SUM(C166:H166)</f>
        <v>30.0</v>
      </c>
    </row>
    <row r="167" spans="8:8">
      <c r="A167" s="526" t="s">
        <v>177</v>
      </c>
      <c r="B167" s="569" t="s">
        <v>65</v>
      </c>
      <c r="C167" s="93">
        <v>1.0</v>
      </c>
      <c r="D167" s="93">
        <v>14.0</v>
      </c>
      <c r="E167" s="372">
        <v>2.0</v>
      </c>
      <c r="F167" s="372">
        <v>2.0</v>
      </c>
      <c r="G167" s="370">
        <v>6.0</v>
      </c>
      <c r="H167" s="360"/>
      <c r="I167" s="168">
        <v>25.0</v>
      </c>
    </row>
    <row r="168" spans="8:8">
      <c r="A168" s="526" t="s">
        <v>178</v>
      </c>
      <c r="B168" s="569" t="s">
        <v>65</v>
      </c>
      <c r="C168" s="93">
        <v>1.0</v>
      </c>
      <c r="D168" s="93">
        <v>169.0</v>
      </c>
      <c r="E168" s="372">
        <v>2.0</v>
      </c>
      <c r="F168" s="372">
        <v>2.0</v>
      </c>
      <c r="G168" s="370">
        <v>6.0</v>
      </c>
      <c r="H168" s="360"/>
      <c r="I168" s="168">
        <f>SUM(C168:H168)</f>
        <v>180.0</v>
      </c>
    </row>
    <row r="169" spans="8:8" ht="15.75" customHeight="1">
      <c r="A169" s="526" t="s">
        <v>179</v>
      </c>
      <c r="B169" s="569" t="s">
        <v>65</v>
      </c>
      <c r="C169" s="93">
        <v>1.0</v>
      </c>
      <c r="D169" s="93">
        <v>44.0</v>
      </c>
      <c r="E169" s="372">
        <v>2.0</v>
      </c>
      <c r="F169" s="372">
        <v>2.0</v>
      </c>
      <c r="G169" s="370">
        <v>6.0</v>
      </c>
      <c r="H169" s="360"/>
      <c r="I169" s="168">
        <f>SUM(C169:H169)</f>
        <v>55.0</v>
      </c>
    </row>
    <row r="170" spans="8:8">
      <c r="A170" s="526" t="s">
        <v>180</v>
      </c>
      <c r="B170" s="569" t="s">
        <v>65</v>
      </c>
      <c r="C170" s="93">
        <v>1.0</v>
      </c>
      <c r="D170" s="93">
        <v>9.0</v>
      </c>
      <c r="E170" s="372">
        <v>2.0</v>
      </c>
      <c r="F170" s="372">
        <v>2.0</v>
      </c>
      <c r="G170" s="370">
        <v>6.0</v>
      </c>
      <c r="H170" s="360"/>
      <c r="I170" s="168">
        <v>20.0</v>
      </c>
    </row>
    <row r="171" spans="8:8">
      <c r="A171" s="526" t="s">
        <v>181</v>
      </c>
      <c r="B171" s="569" t="s">
        <v>65</v>
      </c>
      <c r="C171" s="93">
        <v>1.0</v>
      </c>
      <c r="D171" s="93">
        <v>29.0</v>
      </c>
      <c r="E171" s="372">
        <v>2.0</v>
      </c>
      <c r="F171" s="372">
        <v>2.0</v>
      </c>
      <c r="G171" s="370">
        <v>6.0</v>
      </c>
      <c r="H171" s="360"/>
      <c r="I171" s="168">
        <f>SUM(C171:H171)</f>
        <v>40.0</v>
      </c>
    </row>
    <row r="172" spans="8:8">
      <c r="A172" s="526" t="s">
        <v>182</v>
      </c>
      <c r="B172" s="569" t="s">
        <v>65</v>
      </c>
      <c r="C172" s="93">
        <v>1.0</v>
      </c>
      <c r="D172" s="93">
        <v>4.0</v>
      </c>
      <c r="E172" s="372">
        <v>2.0</v>
      </c>
      <c r="F172" s="372">
        <v>2.0</v>
      </c>
      <c r="G172" s="370">
        <v>6.0</v>
      </c>
      <c r="H172" s="360"/>
      <c r="I172" s="168">
        <v>15.0</v>
      </c>
    </row>
    <row r="173" spans="8:8">
      <c r="A173" s="526" t="s">
        <v>183</v>
      </c>
      <c r="B173" s="569" t="s">
        <v>65</v>
      </c>
      <c r="C173" s="93">
        <v>1.0</v>
      </c>
      <c r="D173" s="93">
        <v>9.0</v>
      </c>
      <c r="E173" s="372">
        <v>2.0</v>
      </c>
      <c r="F173" s="372">
        <v>2.0</v>
      </c>
      <c r="G173" s="370">
        <v>6.0</v>
      </c>
      <c r="H173" s="360"/>
      <c r="I173" s="168">
        <v>20.0</v>
      </c>
    </row>
    <row r="174" spans="8:8">
      <c r="A174" s="526" t="s">
        <v>184</v>
      </c>
      <c r="B174" s="569" t="s">
        <v>65</v>
      </c>
      <c r="C174" s="93">
        <v>1.0</v>
      </c>
      <c r="D174" s="93">
        <v>14.0</v>
      </c>
      <c r="E174" s="372">
        <v>2.0</v>
      </c>
      <c r="F174" s="372">
        <v>2.0</v>
      </c>
      <c r="G174" s="370">
        <v>6.0</v>
      </c>
      <c r="H174" s="360"/>
      <c r="I174" s="168">
        <v>25.0</v>
      </c>
    </row>
    <row r="175" spans="8:8">
      <c r="A175" s="526" t="s">
        <v>185</v>
      </c>
      <c r="B175" s="569" t="s">
        <v>65</v>
      </c>
      <c r="C175" s="93">
        <v>1.0</v>
      </c>
      <c r="D175" s="93">
        <v>19.0</v>
      </c>
      <c r="E175" s="372">
        <v>2.0</v>
      </c>
      <c r="F175" s="372">
        <v>2.0</v>
      </c>
      <c r="G175" s="370">
        <v>6.0</v>
      </c>
      <c r="H175" s="360"/>
      <c r="I175" s="168">
        <v>30.0</v>
      </c>
    </row>
    <row r="176" spans="8:8">
      <c r="A176" s="526" t="s">
        <v>186</v>
      </c>
      <c r="B176" s="569" t="s">
        <v>65</v>
      </c>
      <c r="C176" s="118">
        <v>1.0</v>
      </c>
      <c r="D176" s="118">
        <v>29.0</v>
      </c>
      <c r="E176" s="370">
        <v>2.0</v>
      </c>
      <c r="F176" s="370">
        <v>2.0</v>
      </c>
      <c r="G176" s="370">
        <v>6.0</v>
      </c>
      <c r="H176" s="395"/>
      <c r="I176" s="168">
        <v>40.0</v>
      </c>
    </row>
    <row r="177" spans="8:8">
      <c r="A177" s="526" t="s">
        <v>187</v>
      </c>
      <c r="B177" s="569" t="s">
        <v>65</v>
      </c>
      <c r="C177" s="93">
        <v>1.0</v>
      </c>
      <c r="D177" s="93">
        <v>39.0</v>
      </c>
      <c r="E177" s="372">
        <v>2.0</v>
      </c>
      <c r="F177" s="372">
        <v>2.0</v>
      </c>
      <c r="G177" s="370">
        <v>6.0</v>
      </c>
      <c r="H177" s="360"/>
      <c r="I177" s="168">
        <v>50.0</v>
      </c>
    </row>
    <row r="178" spans="8:8">
      <c r="A178" s="543" t="s">
        <v>188</v>
      </c>
      <c r="B178" s="585" t="s">
        <v>65</v>
      </c>
      <c r="C178" s="93">
        <v>1.0</v>
      </c>
      <c r="D178" s="93">
        <v>4.0</v>
      </c>
      <c r="E178" s="372">
        <v>2.0</v>
      </c>
      <c r="F178" s="372">
        <v>2.0</v>
      </c>
      <c r="G178" s="370">
        <v>6.0</v>
      </c>
      <c r="H178" s="360"/>
      <c r="I178" s="168">
        <f>SUM(C178:H178)</f>
        <v>15.0</v>
      </c>
      <c r="J178" s="49"/>
      <c r="K178" s="49"/>
      <c r="L178" s="49"/>
      <c r="M178" s="49"/>
      <c r="N178" s="49"/>
    </row>
    <row r="179" spans="8:8">
      <c r="A179" s="543" t="s">
        <v>189</v>
      </c>
      <c r="B179" s="585" t="s">
        <v>65</v>
      </c>
      <c r="C179" s="93">
        <v>1.0</v>
      </c>
      <c r="D179" s="93">
        <v>9.0</v>
      </c>
      <c r="E179" s="372">
        <v>2.0</v>
      </c>
      <c r="F179" s="372">
        <v>2.0</v>
      </c>
      <c r="G179" s="370">
        <v>6.0</v>
      </c>
      <c r="H179" s="360"/>
      <c r="I179" s="168">
        <f>SUM(C179:H179)</f>
        <v>20.0</v>
      </c>
      <c r="J179" s="49"/>
      <c r="K179" s="49"/>
      <c r="L179" s="49"/>
      <c r="M179" s="49"/>
      <c r="N179" s="49"/>
    </row>
    <row r="180" spans="8:8">
      <c r="A180" s="526" t="s">
        <v>190</v>
      </c>
      <c r="B180" s="585" t="s">
        <v>65</v>
      </c>
      <c r="C180" s="93">
        <v>1.0</v>
      </c>
      <c r="D180" s="93">
        <v>4.0</v>
      </c>
      <c r="E180" s="372">
        <v>2.0</v>
      </c>
      <c r="F180" s="372">
        <v>2.0</v>
      </c>
      <c r="G180" s="370">
        <v>6.0</v>
      </c>
      <c r="H180" s="360"/>
      <c r="I180" s="168">
        <v>15.0</v>
      </c>
    </row>
    <row r="181" spans="8:8">
      <c r="A181" s="526" t="s">
        <v>191</v>
      </c>
      <c r="B181" s="569" t="s">
        <v>65</v>
      </c>
      <c r="C181" s="93">
        <v>1.0</v>
      </c>
      <c r="D181" s="93">
        <v>9.0</v>
      </c>
      <c r="E181" s="372">
        <v>2.0</v>
      </c>
      <c r="F181" s="372">
        <v>2.0</v>
      </c>
      <c r="G181" s="370">
        <v>6.0</v>
      </c>
      <c r="H181" s="360"/>
      <c r="I181" s="168">
        <v>20.0</v>
      </c>
      <c r="J181" s="49"/>
      <c r="K181" s="49"/>
      <c r="L181" s="49"/>
      <c r="M181" s="49"/>
      <c r="N181" s="49"/>
    </row>
    <row r="182" spans="8:8" s="49" ht="15.0" customFormat="1">
      <c r="A182" s="526" t="s">
        <v>192</v>
      </c>
      <c r="B182" s="569" t="s">
        <v>65</v>
      </c>
      <c r="C182" s="118">
        <v>1.0</v>
      </c>
      <c r="D182" s="118">
        <v>14.0</v>
      </c>
      <c r="E182" s="370">
        <v>2.0</v>
      </c>
      <c r="F182" s="370">
        <v>2.0</v>
      </c>
      <c r="G182" s="370">
        <v>6.0</v>
      </c>
      <c r="H182" s="395"/>
      <c r="I182" s="168">
        <v>25.0</v>
      </c>
      <c r="J182" s="39"/>
      <c r="K182" s="39"/>
      <c r="L182" s="39"/>
      <c r="M182" s="39"/>
      <c r="N182" s="39"/>
    </row>
    <row r="183" spans="8:8" s="49" ht="15.0" customFormat="1">
      <c r="A183" s="526" t="s">
        <v>193</v>
      </c>
      <c r="B183" s="569" t="s">
        <v>65</v>
      </c>
      <c r="C183" s="118">
        <v>1.0</v>
      </c>
      <c r="D183" s="118">
        <v>4.0</v>
      </c>
      <c r="E183" s="370">
        <v>2.0</v>
      </c>
      <c r="F183" s="370">
        <v>2.0</v>
      </c>
      <c r="G183" s="370">
        <v>6.0</v>
      </c>
      <c r="H183" s="395"/>
      <c r="I183" s="168">
        <v>15.0</v>
      </c>
      <c r="J183" s="39"/>
      <c r="K183" s="39"/>
      <c r="L183" s="39"/>
      <c r="M183" s="39"/>
      <c r="N183" s="39"/>
    </row>
    <row r="184" spans="8:8" ht="15.75">
      <c r="A184" s="527" t="s">
        <v>194</v>
      </c>
      <c r="B184" s="570" t="s">
        <v>65</v>
      </c>
      <c r="C184" s="109">
        <v>1.0</v>
      </c>
      <c r="D184" s="109">
        <v>9.0</v>
      </c>
      <c r="E184" s="463">
        <v>2.0</v>
      </c>
      <c r="F184" s="463">
        <v>2.0</v>
      </c>
      <c r="G184" s="463">
        <v>6.0</v>
      </c>
      <c r="H184" s="545"/>
      <c r="I184" s="529">
        <v>20.0</v>
      </c>
    </row>
    <row r="185" spans="8:8" ht="41.25" customHeight="1">
      <c r="A185" s="553" t="s">
        <v>463</v>
      </c>
      <c r="B185" s="554"/>
      <c r="C185" s="554"/>
      <c r="D185" s="554"/>
      <c r="E185" s="554"/>
      <c r="F185" s="554"/>
      <c r="G185" s="554"/>
      <c r="H185" s="554"/>
      <c r="I185" s="555"/>
    </row>
    <row r="186" spans="8:8">
      <c r="A186" s="600" t="s">
        <v>474</v>
      </c>
      <c r="B186" s="587" t="s">
        <v>282</v>
      </c>
      <c r="C186" s="442">
        <v>70.0</v>
      </c>
      <c r="D186" s="442">
        <v>0.0</v>
      </c>
      <c r="E186" s="372"/>
      <c r="F186" s="372"/>
      <c r="G186" s="360"/>
      <c r="H186" s="360"/>
      <c r="I186" s="225">
        <f>SUM(C186:H186)</f>
        <v>70.0</v>
      </c>
    </row>
    <row r="187" spans="8:8" s="49" ht="18.0" customFormat="1" customHeight="1">
      <c r="A187" s="525" t="s">
        <v>197</v>
      </c>
      <c r="B187" s="567" t="s">
        <v>196</v>
      </c>
      <c r="C187" s="93">
        <v>1.0</v>
      </c>
      <c r="D187" s="93">
        <v>65.0</v>
      </c>
      <c r="E187" s="372">
        <v>2.0</v>
      </c>
      <c r="F187" s="372">
        <v>2.0</v>
      </c>
      <c r="G187" s="395"/>
      <c r="H187" s="395"/>
      <c r="I187" s="168">
        <f t="shared" si="3" ref="I187:I254">SUM(C187:H187)</f>
        <v>70.0</v>
      </c>
      <c r="J187" s="39"/>
      <c r="K187" s="39"/>
      <c r="L187" s="39"/>
      <c r="M187" s="39"/>
      <c r="N187" s="39"/>
    </row>
    <row r="188" spans="8:8">
      <c r="A188" s="526" t="s">
        <v>198</v>
      </c>
      <c r="B188" s="569" t="s">
        <v>196</v>
      </c>
      <c r="C188" s="93">
        <v>1.0</v>
      </c>
      <c r="D188" s="93">
        <v>255.0</v>
      </c>
      <c r="E188" s="372">
        <v>2.0</v>
      </c>
      <c r="F188" s="372">
        <v>2.0</v>
      </c>
      <c r="G188" s="395"/>
      <c r="H188" s="360"/>
      <c r="I188" s="168">
        <f t="shared" si="3"/>
        <v>260.0</v>
      </c>
    </row>
    <row r="189" spans="8:8">
      <c r="A189" s="526" t="s">
        <v>199</v>
      </c>
      <c r="B189" s="569" t="s">
        <v>196</v>
      </c>
      <c r="C189" s="93">
        <v>1.0</v>
      </c>
      <c r="D189" s="93">
        <v>65.0</v>
      </c>
      <c r="E189" s="372">
        <v>2.0</v>
      </c>
      <c r="F189" s="372">
        <v>2.0</v>
      </c>
      <c r="G189" s="395"/>
      <c r="H189" s="395"/>
      <c r="I189" s="168">
        <f t="shared" si="3"/>
        <v>70.0</v>
      </c>
    </row>
    <row r="190" spans="8:8">
      <c r="A190" s="539" t="s">
        <v>478</v>
      </c>
      <c r="B190" s="569" t="s">
        <v>196</v>
      </c>
      <c r="C190" s="93">
        <v>1.0</v>
      </c>
      <c r="D190" s="93">
        <v>115.0</v>
      </c>
      <c r="E190" s="372">
        <v>2.0</v>
      </c>
      <c r="F190" s="372">
        <v>2.0</v>
      </c>
      <c r="G190" s="395"/>
      <c r="H190" s="395"/>
      <c r="I190" s="168">
        <f t="shared" si="4" ref="I190">SUM(C190:H190)</f>
        <v>120.0</v>
      </c>
    </row>
    <row r="191" spans="8:8">
      <c r="A191" s="526" t="s">
        <v>201</v>
      </c>
      <c r="B191" s="569" t="s">
        <v>196</v>
      </c>
      <c r="C191" s="93">
        <v>1.0</v>
      </c>
      <c r="D191" s="93">
        <v>65.0</v>
      </c>
      <c r="E191" s="372">
        <v>2.0</v>
      </c>
      <c r="F191" s="372">
        <v>2.0</v>
      </c>
      <c r="G191" s="395"/>
      <c r="H191" s="360"/>
      <c r="I191" s="168">
        <f t="shared" si="3"/>
        <v>70.0</v>
      </c>
    </row>
    <row r="192" spans="8:8">
      <c r="A192" s="525" t="s">
        <v>202</v>
      </c>
      <c r="B192" s="584" t="s">
        <v>196</v>
      </c>
      <c r="C192" s="93">
        <v>1.0</v>
      </c>
      <c r="D192" s="93">
        <v>65.0</v>
      </c>
      <c r="E192" s="372">
        <v>2.0</v>
      </c>
      <c r="F192" s="372">
        <v>2.0</v>
      </c>
      <c r="G192" s="395"/>
      <c r="H192" s="395"/>
      <c r="I192" s="168">
        <f t="shared" si="3"/>
        <v>70.0</v>
      </c>
    </row>
    <row r="193" spans="8:8">
      <c r="A193" s="526" t="s">
        <v>203</v>
      </c>
      <c r="B193" s="569" t="s">
        <v>196</v>
      </c>
      <c r="C193" s="93">
        <v>1.0</v>
      </c>
      <c r="D193" s="93">
        <v>65.0</v>
      </c>
      <c r="E193" s="372">
        <v>2.0</v>
      </c>
      <c r="F193" s="372">
        <v>2.0</v>
      </c>
      <c r="G193" s="360"/>
      <c r="H193" s="360"/>
      <c r="I193" s="168">
        <f t="shared" si="3"/>
        <v>70.0</v>
      </c>
    </row>
    <row r="194" spans="8:8">
      <c r="A194" s="526" t="s">
        <v>204</v>
      </c>
      <c r="B194" s="569" t="s">
        <v>196</v>
      </c>
      <c r="C194" s="93">
        <v>1.0</v>
      </c>
      <c r="D194" s="93">
        <v>65.0</v>
      </c>
      <c r="E194" s="372">
        <v>2.0</v>
      </c>
      <c r="F194" s="372">
        <v>2.0</v>
      </c>
      <c r="G194" s="360"/>
      <c r="H194" s="360"/>
      <c r="I194" s="168">
        <f t="shared" si="3"/>
        <v>70.0</v>
      </c>
    </row>
    <row r="195" spans="8:8">
      <c r="A195" s="526" t="s">
        <v>206</v>
      </c>
      <c r="B195" s="569" t="s">
        <v>196</v>
      </c>
      <c r="C195" s="93">
        <v>1.0</v>
      </c>
      <c r="D195" s="93">
        <v>65.0</v>
      </c>
      <c r="E195" s="372">
        <v>2.0</v>
      </c>
      <c r="F195" s="372">
        <v>2.0</v>
      </c>
      <c r="G195" s="360"/>
      <c r="H195" s="360"/>
      <c r="I195" s="168">
        <f t="shared" si="3"/>
        <v>70.0</v>
      </c>
    </row>
    <row r="196" spans="8:8">
      <c r="A196" s="526" t="s">
        <v>207</v>
      </c>
      <c r="B196" s="569" t="s">
        <v>196</v>
      </c>
      <c r="C196" s="93">
        <v>1.0</v>
      </c>
      <c r="D196" s="93">
        <v>65.0</v>
      </c>
      <c r="E196" s="372">
        <v>2.0</v>
      </c>
      <c r="F196" s="372">
        <v>2.0</v>
      </c>
      <c r="G196" s="360"/>
      <c r="H196" s="360"/>
      <c r="I196" s="168">
        <f t="shared" si="3"/>
        <v>70.0</v>
      </c>
    </row>
    <row r="197" spans="8:8">
      <c r="A197" s="526" t="s">
        <v>208</v>
      </c>
      <c r="B197" s="569" t="s">
        <v>196</v>
      </c>
      <c r="C197" s="93">
        <v>1.0</v>
      </c>
      <c r="D197" s="93">
        <v>65.0</v>
      </c>
      <c r="E197" s="372">
        <v>2.0</v>
      </c>
      <c r="F197" s="372">
        <v>2.0</v>
      </c>
      <c r="G197" s="360"/>
      <c r="H197" s="360"/>
      <c r="I197" s="168">
        <f t="shared" si="3"/>
        <v>70.0</v>
      </c>
    </row>
    <row r="198" spans="8:8">
      <c r="A198" s="526" t="s">
        <v>209</v>
      </c>
      <c r="B198" s="569" t="s">
        <v>196</v>
      </c>
      <c r="C198" s="93">
        <v>1.0</v>
      </c>
      <c r="D198" s="93">
        <v>65.0</v>
      </c>
      <c r="E198" s="372">
        <v>2.0</v>
      </c>
      <c r="F198" s="372">
        <v>2.0</v>
      </c>
      <c r="G198" s="360"/>
      <c r="H198" s="360"/>
      <c r="I198" s="168">
        <f t="shared" si="3"/>
        <v>70.0</v>
      </c>
    </row>
    <row r="199" spans="8:8">
      <c r="A199" s="526" t="s">
        <v>210</v>
      </c>
      <c r="B199" s="569" t="s">
        <v>196</v>
      </c>
      <c r="C199" s="93">
        <v>1.0</v>
      </c>
      <c r="D199" s="93">
        <v>65.0</v>
      </c>
      <c r="E199" s="372">
        <v>2.0</v>
      </c>
      <c r="F199" s="372">
        <v>2.0</v>
      </c>
      <c r="G199" s="360"/>
      <c r="H199" s="360"/>
      <c r="I199" s="168">
        <f t="shared" si="3"/>
        <v>70.0</v>
      </c>
    </row>
    <row r="200" spans="8:8">
      <c r="A200" s="526" t="s">
        <v>211</v>
      </c>
      <c r="B200" s="569" t="s">
        <v>196</v>
      </c>
      <c r="C200" s="93">
        <v>1.0</v>
      </c>
      <c r="D200" s="93">
        <v>65.0</v>
      </c>
      <c r="E200" s="372">
        <v>2.0</v>
      </c>
      <c r="F200" s="372">
        <v>2.0</v>
      </c>
      <c r="G200" s="360"/>
      <c r="H200" s="360"/>
      <c r="I200" s="168">
        <f t="shared" si="3"/>
        <v>70.0</v>
      </c>
    </row>
    <row r="201" spans="8:8">
      <c r="A201" s="539" t="s">
        <v>477</v>
      </c>
      <c r="B201" s="569" t="s">
        <v>196</v>
      </c>
      <c r="C201" s="93">
        <v>1.0</v>
      </c>
      <c r="D201" s="93">
        <v>65.0</v>
      </c>
      <c r="E201" s="372">
        <v>2.0</v>
      </c>
      <c r="F201" s="372">
        <v>2.0</v>
      </c>
      <c r="G201" s="360"/>
      <c r="H201" s="360"/>
      <c r="I201" s="168">
        <f t="shared" si="5" ref="I201">SUM(C201:H201)</f>
        <v>70.0</v>
      </c>
    </row>
    <row r="202" spans="8:8">
      <c r="A202" s="539" t="s">
        <v>476</v>
      </c>
      <c r="B202" s="569" t="s">
        <v>196</v>
      </c>
      <c r="C202" s="93">
        <v>1.0</v>
      </c>
      <c r="D202" s="93">
        <v>65.0</v>
      </c>
      <c r="E202" s="372">
        <v>2.0</v>
      </c>
      <c r="F202" s="372">
        <v>2.0</v>
      </c>
      <c r="G202" s="360"/>
      <c r="H202" s="360"/>
      <c r="I202" s="168">
        <f t="shared" si="3"/>
        <v>70.0</v>
      </c>
    </row>
    <row r="203" spans="8:8">
      <c r="A203" s="539" t="s">
        <v>475</v>
      </c>
      <c r="B203" s="569" t="s">
        <v>196</v>
      </c>
      <c r="C203" s="93">
        <v>1.0</v>
      </c>
      <c r="D203" s="93">
        <v>65.0</v>
      </c>
      <c r="E203" s="372">
        <v>2.0</v>
      </c>
      <c r="F203" s="372">
        <v>2.0</v>
      </c>
      <c r="G203" s="360"/>
      <c r="H203" s="360"/>
      <c r="I203" s="168">
        <f t="shared" si="6" ref="I203">SUM(C203:H203)</f>
        <v>70.0</v>
      </c>
    </row>
    <row r="204" spans="8:8">
      <c r="A204" s="526" t="s">
        <v>212</v>
      </c>
      <c r="B204" s="569" t="s">
        <v>196</v>
      </c>
      <c r="C204" s="93">
        <v>1.0</v>
      </c>
      <c r="D204" s="93">
        <v>65.0</v>
      </c>
      <c r="E204" s="372">
        <v>2.0</v>
      </c>
      <c r="F204" s="372">
        <v>2.0</v>
      </c>
      <c r="G204" s="360"/>
      <c r="H204" s="360"/>
      <c r="I204" s="168">
        <f t="shared" si="3"/>
        <v>70.0</v>
      </c>
    </row>
    <row r="205" spans="8:8">
      <c r="A205" s="526" t="s">
        <v>214</v>
      </c>
      <c r="B205" s="569" t="s">
        <v>196</v>
      </c>
      <c r="C205" s="93">
        <v>1.0</v>
      </c>
      <c r="D205" s="93">
        <v>65.0</v>
      </c>
      <c r="E205" s="372">
        <v>2.0</v>
      </c>
      <c r="F205" s="372">
        <v>2.0</v>
      </c>
      <c r="G205" s="360"/>
      <c r="H205" s="360"/>
      <c r="I205" s="168">
        <f t="shared" si="3"/>
        <v>70.0</v>
      </c>
    </row>
    <row r="206" spans="8:8">
      <c r="A206" s="526" t="s">
        <v>215</v>
      </c>
      <c r="B206" s="569" t="s">
        <v>196</v>
      </c>
      <c r="C206" s="93">
        <v>1.0</v>
      </c>
      <c r="D206" s="93">
        <v>65.0</v>
      </c>
      <c r="E206" s="372">
        <v>2.0</v>
      </c>
      <c r="F206" s="372">
        <v>2.0</v>
      </c>
      <c r="G206" s="360"/>
      <c r="H206" s="360"/>
      <c r="I206" s="168">
        <f t="shared" si="3"/>
        <v>70.0</v>
      </c>
    </row>
    <row r="207" spans="8:8">
      <c r="A207" s="526" t="s">
        <v>216</v>
      </c>
      <c r="B207" s="569" t="s">
        <v>196</v>
      </c>
      <c r="C207" s="93">
        <v>1.0</v>
      </c>
      <c r="D207" s="93">
        <v>65.0</v>
      </c>
      <c r="E207" s="372">
        <v>2.0</v>
      </c>
      <c r="F207" s="372">
        <v>2.0</v>
      </c>
      <c r="G207" s="360"/>
      <c r="H207" s="360"/>
      <c r="I207" s="168">
        <f t="shared" si="3"/>
        <v>70.0</v>
      </c>
    </row>
    <row r="208" spans="8:8">
      <c r="A208" s="526" t="s">
        <v>217</v>
      </c>
      <c r="B208" s="569" t="s">
        <v>196</v>
      </c>
      <c r="C208" s="93">
        <v>1.0</v>
      </c>
      <c r="D208" s="93">
        <v>65.0</v>
      </c>
      <c r="E208" s="372">
        <v>2.0</v>
      </c>
      <c r="F208" s="372">
        <v>2.0</v>
      </c>
      <c r="G208" s="360"/>
      <c r="H208" s="360"/>
      <c r="I208" s="168">
        <f t="shared" si="3"/>
        <v>70.0</v>
      </c>
    </row>
    <row r="209" spans="8:8">
      <c r="A209" s="526" t="s">
        <v>218</v>
      </c>
      <c r="B209" s="569" t="s">
        <v>196</v>
      </c>
      <c r="C209" s="93">
        <v>1.0</v>
      </c>
      <c r="D209" s="93">
        <v>65.0</v>
      </c>
      <c r="E209" s="372">
        <v>2.0</v>
      </c>
      <c r="F209" s="372">
        <v>2.0</v>
      </c>
      <c r="G209" s="360"/>
      <c r="H209" s="360"/>
      <c r="I209" s="168">
        <f t="shared" si="3"/>
        <v>70.0</v>
      </c>
    </row>
    <row r="210" spans="8:8">
      <c r="A210" s="526" t="s">
        <v>219</v>
      </c>
      <c r="B210" s="569" t="s">
        <v>196</v>
      </c>
      <c r="C210" s="93">
        <v>1.0</v>
      </c>
      <c r="D210" s="93">
        <v>65.0</v>
      </c>
      <c r="E210" s="372">
        <v>2.0</v>
      </c>
      <c r="F210" s="372">
        <v>2.0</v>
      </c>
      <c r="G210" s="360"/>
      <c r="H210" s="360"/>
      <c r="I210" s="168">
        <f t="shared" si="3"/>
        <v>70.0</v>
      </c>
    </row>
    <row r="211" spans="8:8">
      <c r="A211" s="526" t="s">
        <v>220</v>
      </c>
      <c r="B211" s="569" t="s">
        <v>196</v>
      </c>
      <c r="C211" s="93">
        <v>1.0</v>
      </c>
      <c r="D211" s="93">
        <v>65.0</v>
      </c>
      <c r="E211" s="372">
        <v>2.0</v>
      </c>
      <c r="F211" s="372">
        <v>2.0</v>
      </c>
      <c r="G211" s="360"/>
      <c r="H211" s="360"/>
      <c r="I211" s="168">
        <f t="shared" si="3"/>
        <v>70.0</v>
      </c>
    </row>
    <row r="212" spans="8:8">
      <c r="A212" s="543" t="s">
        <v>221</v>
      </c>
      <c r="B212" s="569" t="s">
        <v>196</v>
      </c>
      <c r="C212" s="93">
        <v>1.0</v>
      </c>
      <c r="D212" s="93">
        <v>65.0</v>
      </c>
      <c r="E212" s="372">
        <v>2.0</v>
      </c>
      <c r="F212" s="372">
        <v>2.0</v>
      </c>
      <c r="G212" s="360"/>
      <c r="H212" s="360"/>
      <c r="I212" s="168">
        <f t="shared" si="3"/>
        <v>70.0</v>
      </c>
    </row>
    <row r="213" spans="8:8">
      <c r="A213" s="526" t="s">
        <v>223</v>
      </c>
      <c r="B213" s="569" t="s">
        <v>196</v>
      </c>
      <c r="C213" s="93">
        <v>1.0</v>
      </c>
      <c r="D213" s="93">
        <v>75.0</v>
      </c>
      <c r="E213" s="372">
        <v>2.0</v>
      </c>
      <c r="F213" s="372">
        <v>2.0</v>
      </c>
      <c r="G213" s="360"/>
      <c r="H213" s="360"/>
      <c r="I213" s="168">
        <f t="shared" si="3"/>
        <v>80.0</v>
      </c>
    </row>
    <row r="214" spans="8:8">
      <c r="A214" s="526" t="s">
        <v>224</v>
      </c>
      <c r="B214" s="569" t="s">
        <v>196</v>
      </c>
      <c r="C214" s="93">
        <v>1.0</v>
      </c>
      <c r="D214" s="93">
        <v>65.0</v>
      </c>
      <c r="E214" s="372">
        <v>2.0</v>
      </c>
      <c r="F214" s="372">
        <v>2.0</v>
      </c>
      <c r="G214" s="360"/>
      <c r="H214" s="360"/>
      <c r="I214" s="168">
        <f t="shared" si="3"/>
        <v>70.0</v>
      </c>
    </row>
    <row r="215" spans="8:8">
      <c r="A215" s="526" t="s">
        <v>225</v>
      </c>
      <c r="B215" s="569" t="s">
        <v>196</v>
      </c>
      <c r="C215" s="93">
        <v>1.0</v>
      </c>
      <c r="D215" s="93">
        <v>65.0</v>
      </c>
      <c r="E215" s="372">
        <v>2.0</v>
      </c>
      <c r="F215" s="372">
        <v>2.0</v>
      </c>
      <c r="G215" s="360"/>
      <c r="H215" s="360"/>
      <c r="I215" s="168">
        <f t="shared" si="3"/>
        <v>70.0</v>
      </c>
    </row>
    <row r="216" spans="8:8">
      <c r="A216" s="596" t="s">
        <v>226</v>
      </c>
      <c r="B216" s="569" t="s">
        <v>196</v>
      </c>
      <c r="C216" s="93">
        <v>1.0</v>
      </c>
      <c r="D216" s="93">
        <v>65.0</v>
      </c>
      <c r="E216" s="372">
        <v>2.0</v>
      </c>
      <c r="F216" s="372">
        <v>2.0</v>
      </c>
      <c r="G216" s="360"/>
      <c r="H216" s="360"/>
      <c r="I216" s="568">
        <f t="shared" si="3"/>
        <v>70.0</v>
      </c>
    </row>
    <row r="217" spans="8:8">
      <c r="A217" s="526" t="s">
        <v>228</v>
      </c>
      <c r="B217" s="569" t="s">
        <v>196</v>
      </c>
      <c r="C217" s="93">
        <v>1.0</v>
      </c>
      <c r="D217" s="93">
        <v>65.0</v>
      </c>
      <c r="E217" s="372">
        <v>2.0</v>
      </c>
      <c r="F217" s="372">
        <v>2.0</v>
      </c>
      <c r="G217" s="360"/>
      <c r="H217" s="360"/>
      <c r="I217" s="168">
        <f t="shared" si="3"/>
        <v>70.0</v>
      </c>
    </row>
    <row r="218" spans="8:8">
      <c r="A218" s="526" t="s">
        <v>229</v>
      </c>
      <c r="B218" s="569" t="s">
        <v>196</v>
      </c>
      <c r="C218" s="93">
        <v>1.0</v>
      </c>
      <c r="D218" s="93">
        <v>65.0</v>
      </c>
      <c r="E218" s="372">
        <v>2.0</v>
      </c>
      <c r="F218" s="372">
        <v>2.0</v>
      </c>
      <c r="G218" s="360"/>
      <c r="H218" s="360"/>
      <c r="I218" s="168">
        <f t="shared" si="3"/>
        <v>70.0</v>
      </c>
    </row>
    <row r="219" spans="8:8">
      <c r="A219" s="526" t="s">
        <v>230</v>
      </c>
      <c r="B219" s="569" t="s">
        <v>196</v>
      </c>
      <c r="C219" s="93">
        <v>1.0</v>
      </c>
      <c r="D219" s="93">
        <v>65.0</v>
      </c>
      <c r="E219" s="372">
        <v>2.0</v>
      </c>
      <c r="F219" s="372">
        <v>2.0</v>
      </c>
      <c r="G219" s="360"/>
      <c r="H219" s="360"/>
      <c r="I219" s="168">
        <f t="shared" si="3"/>
        <v>70.0</v>
      </c>
    </row>
    <row r="220" spans="8:8">
      <c r="A220" s="526" t="s">
        <v>231</v>
      </c>
      <c r="B220" s="569" t="s">
        <v>196</v>
      </c>
      <c r="C220" s="93">
        <v>1.0</v>
      </c>
      <c r="D220" s="93">
        <v>65.0</v>
      </c>
      <c r="E220" s="372">
        <v>2.0</v>
      </c>
      <c r="F220" s="372">
        <v>2.0</v>
      </c>
      <c r="G220" s="360"/>
      <c r="H220" s="360"/>
      <c r="I220" s="168">
        <f t="shared" si="3"/>
        <v>70.0</v>
      </c>
    </row>
    <row r="221" spans="8:8">
      <c r="A221" s="526" t="s">
        <v>232</v>
      </c>
      <c r="B221" s="569" t="s">
        <v>196</v>
      </c>
      <c r="C221" s="93">
        <v>1.0</v>
      </c>
      <c r="D221" s="93">
        <v>65.0</v>
      </c>
      <c r="E221" s="372">
        <v>2.0</v>
      </c>
      <c r="F221" s="372">
        <v>2.0</v>
      </c>
      <c r="G221" s="360"/>
      <c r="H221" s="360"/>
      <c r="I221" s="168">
        <f t="shared" si="3"/>
        <v>70.0</v>
      </c>
    </row>
    <row r="222" spans="8:8">
      <c r="A222" s="526" t="s">
        <v>233</v>
      </c>
      <c r="B222" s="569" t="s">
        <v>196</v>
      </c>
      <c r="C222" s="93">
        <v>1.0</v>
      </c>
      <c r="D222" s="93">
        <v>65.0</v>
      </c>
      <c r="E222" s="372">
        <v>2.0</v>
      </c>
      <c r="F222" s="372">
        <v>2.0</v>
      </c>
      <c r="G222" s="360"/>
      <c r="H222" s="360"/>
      <c r="I222" s="168">
        <f t="shared" si="3"/>
        <v>70.0</v>
      </c>
    </row>
    <row r="223" spans="8:8">
      <c r="A223" s="526" t="s">
        <v>234</v>
      </c>
      <c r="B223" s="569" t="s">
        <v>196</v>
      </c>
      <c r="C223" s="93">
        <v>1.0</v>
      </c>
      <c r="D223" s="93">
        <v>65.0</v>
      </c>
      <c r="E223" s="372">
        <v>2.0</v>
      </c>
      <c r="F223" s="372">
        <v>2.0</v>
      </c>
      <c r="G223" s="360"/>
      <c r="H223" s="360"/>
      <c r="I223" s="168">
        <f t="shared" si="3"/>
        <v>70.0</v>
      </c>
    </row>
    <row r="224" spans="8:8">
      <c r="A224" s="526" t="s">
        <v>235</v>
      </c>
      <c r="B224" s="569" t="s">
        <v>196</v>
      </c>
      <c r="C224" s="93">
        <v>1.0</v>
      </c>
      <c r="D224" s="93">
        <v>65.0</v>
      </c>
      <c r="E224" s="372">
        <v>2.0</v>
      </c>
      <c r="F224" s="372">
        <v>2.0</v>
      </c>
      <c r="G224" s="360"/>
      <c r="H224" s="360"/>
      <c r="I224" s="168">
        <f t="shared" si="3"/>
        <v>70.0</v>
      </c>
    </row>
    <row r="225" spans="8:8">
      <c r="A225" s="526" t="s">
        <v>236</v>
      </c>
      <c r="B225" s="569" t="s">
        <v>196</v>
      </c>
      <c r="C225" s="93">
        <v>1.0</v>
      </c>
      <c r="D225" s="93">
        <v>65.0</v>
      </c>
      <c r="E225" s="372">
        <v>2.0</v>
      </c>
      <c r="F225" s="372">
        <v>2.0</v>
      </c>
      <c r="G225" s="360"/>
      <c r="H225" s="360"/>
      <c r="I225" s="168">
        <f t="shared" si="3"/>
        <v>70.0</v>
      </c>
    </row>
    <row r="226" spans="8:8">
      <c r="A226" s="526" t="s">
        <v>237</v>
      </c>
      <c r="B226" s="569" t="s">
        <v>196</v>
      </c>
      <c r="C226" s="93">
        <v>1.0</v>
      </c>
      <c r="D226" s="93">
        <v>65.0</v>
      </c>
      <c r="E226" s="372">
        <v>2.0</v>
      </c>
      <c r="F226" s="372">
        <v>2.0</v>
      </c>
      <c r="G226" s="360"/>
      <c r="H226" s="360"/>
      <c r="I226" s="168">
        <f t="shared" si="3"/>
        <v>70.0</v>
      </c>
    </row>
    <row r="227" spans="8:8">
      <c r="A227" s="526" t="s">
        <v>238</v>
      </c>
      <c r="B227" s="569" t="s">
        <v>196</v>
      </c>
      <c r="C227" s="93">
        <v>1.0</v>
      </c>
      <c r="D227" s="93">
        <v>65.0</v>
      </c>
      <c r="E227" s="372">
        <v>2.0</v>
      </c>
      <c r="F227" s="372">
        <v>2.0</v>
      </c>
      <c r="G227" s="360"/>
      <c r="H227" s="360"/>
      <c r="I227" s="168">
        <f t="shared" si="3"/>
        <v>70.0</v>
      </c>
    </row>
    <row r="228" spans="8:8">
      <c r="A228" s="526" t="s">
        <v>239</v>
      </c>
      <c r="B228" s="569" t="s">
        <v>196</v>
      </c>
      <c r="C228" s="93">
        <v>1.0</v>
      </c>
      <c r="D228" s="93">
        <v>65.0</v>
      </c>
      <c r="E228" s="372">
        <v>2.0</v>
      </c>
      <c r="F228" s="372">
        <v>2.0</v>
      </c>
      <c r="G228" s="360"/>
      <c r="H228" s="360"/>
      <c r="I228" s="168">
        <f t="shared" si="3"/>
        <v>70.0</v>
      </c>
    </row>
    <row r="229" spans="8:8">
      <c r="A229" s="526" t="s">
        <v>240</v>
      </c>
      <c r="B229" s="569" t="s">
        <v>196</v>
      </c>
      <c r="C229" s="93">
        <v>1.0</v>
      </c>
      <c r="D229" s="93">
        <v>65.0</v>
      </c>
      <c r="E229" s="372">
        <v>2.0</v>
      </c>
      <c r="F229" s="372">
        <v>2.0</v>
      </c>
      <c r="G229" s="360"/>
      <c r="H229" s="360"/>
      <c r="I229" s="168">
        <f t="shared" si="3"/>
        <v>70.0</v>
      </c>
    </row>
    <row r="230" spans="8:8">
      <c r="A230" s="526" t="s">
        <v>241</v>
      </c>
      <c r="B230" s="585" t="s">
        <v>196</v>
      </c>
      <c r="C230" s="93">
        <v>1.0</v>
      </c>
      <c r="D230" s="93">
        <v>65.0</v>
      </c>
      <c r="E230" s="372">
        <v>2.0</v>
      </c>
      <c r="F230" s="372">
        <v>2.0</v>
      </c>
      <c r="G230" s="360"/>
      <c r="H230" s="360"/>
      <c r="I230" s="168">
        <f t="shared" si="3"/>
        <v>70.0</v>
      </c>
    </row>
    <row r="231" spans="8:8">
      <c r="A231" s="526" t="s">
        <v>242</v>
      </c>
      <c r="B231" s="569" t="s">
        <v>196</v>
      </c>
      <c r="C231" s="93">
        <v>1.0</v>
      </c>
      <c r="D231" s="93">
        <v>65.0</v>
      </c>
      <c r="E231" s="372">
        <v>2.0</v>
      </c>
      <c r="F231" s="372">
        <v>2.0</v>
      </c>
      <c r="G231" s="360"/>
      <c r="H231" s="360"/>
      <c r="I231" s="168">
        <f t="shared" si="3"/>
        <v>70.0</v>
      </c>
    </row>
    <row r="232" spans="8:8">
      <c r="A232" s="526" t="s">
        <v>243</v>
      </c>
      <c r="B232" s="569" t="s">
        <v>196</v>
      </c>
      <c r="C232" s="93">
        <v>1.0</v>
      </c>
      <c r="D232" s="93">
        <v>65.0</v>
      </c>
      <c r="E232" s="372">
        <v>2.0</v>
      </c>
      <c r="F232" s="372">
        <v>2.0</v>
      </c>
      <c r="G232" s="360"/>
      <c r="H232" s="360"/>
      <c r="I232" s="168">
        <f t="shared" si="3"/>
        <v>70.0</v>
      </c>
    </row>
    <row r="233" spans="8:8">
      <c r="A233" s="526" t="s">
        <v>244</v>
      </c>
      <c r="B233" s="569" t="s">
        <v>196</v>
      </c>
      <c r="C233" s="93">
        <v>1.0</v>
      </c>
      <c r="D233" s="93">
        <v>65.0</v>
      </c>
      <c r="E233" s="372">
        <v>2.0</v>
      </c>
      <c r="F233" s="372">
        <v>2.0</v>
      </c>
      <c r="G233" s="360"/>
      <c r="H233" s="360"/>
      <c r="I233" s="168">
        <f t="shared" si="3"/>
        <v>70.0</v>
      </c>
      <c r="J233" s="49"/>
      <c r="K233" s="49"/>
      <c r="L233" s="49"/>
      <c r="M233" s="49"/>
      <c r="N233" s="49"/>
    </row>
    <row r="234" spans="8:8">
      <c r="A234" s="526" t="s">
        <v>246</v>
      </c>
      <c r="B234" s="569" t="s">
        <v>196</v>
      </c>
      <c r="C234" s="93">
        <v>1.0</v>
      </c>
      <c r="D234" s="93">
        <v>65.0</v>
      </c>
      <c r="E234" s="372">
        <v>2.0</v>
      </c>
      <c r="F234" s="372">
        <v>2.0</v>
      </c>
      <c r="G234" s="360"/>
      <c r="H234" s="360"/>
      <c r="I234" s="168">
        <f t="shared" si="3"/>
        <v>70.0</v>
      </c>
    </row>
    <row r="235" spans="8:8">
      <c r="A235" s="526" t="s">
        <v>247</v>
      </c>
      <c r="B235" s="569" t="s">
        <v>196</v>
      </c>
      <c r="C235" s="93">
        <v>1.0</v>
      </c>
      <c r="D235" s="93">
        <v>65.0</v>
      </c>
      <c r="E235" s="372">
        <v>2.0</v>
      </c>
      <c r="F235" s="372">
        <v>2.0</v>
      </c>
      <c r="G235" s="360"/>
      <c r="H235" s="360"/>
      <c r="I235" s="168">
        <f t="shared" si="3"/>
        <v>70.0</v>
      </c>
    </row>
    <row r="236" spans="8:8">
      <c r="A236" s="526" t="s">
        <v>248</v>
      </c>
      <c r="B236" s="569" t="s">
        <v>196</v>
      </c>
      <c r="C236" s="93">
        <v>1.0</v>
      </c>
      <c r="D236" s="93">
        <v>65.0</v>
      </c>
      <c r="E236" s="372">
        <v>2.0</v>
      </c>
      <c r="F236" s="372">
        <v>2.0</v>
      </c>
      <c r="G236" s="360"/>
      <c r="H236" s="360"/>
      <c r="I236" s="168">
        <f t="shared" si="3"/>
        <v>70.0</v>
      </c>
    </row>
    <row r="237" spans="8:8">
      <c r="A237" s="526" t="s">
        <v>249</v>
      </c>
      <c r="B237" s="569" t="s">
        <v>196</v>
      </c>
      <c r="C237" s="93">
        <v>1.0</v>
      </c>
      <c r="D237" s="93">
        <v>65.0</v>
      </c>
      <c r="E237" s="372">
        <v>2.0</v>
      </c>
      <c r="F237" s="372">
        <v>2.0</v>
      </c>
      <c r="G237" s="360"/>
      <c r="H237" s="360"/>
      <c r="I237" s="168">
        <f t="shared" si="3"/>
        <v>70.0</v>
      </c>
    </row>
    <row r="238" spans="8:8" s="49" ht="15.0" customFormat="1">
      <c r="A238" s="526" t="s">
        <v>250</v>
      </c>
      <c r="B238" s="569" t="s">
        <v>196</v>
      </c>
      <c r="C238" s="93">
        <v>1.0</v>
      </c>
      <c r="D238" s="93">
        <v>65.0</v>
      </c>
      <c r="E238" s="372">
        <v>2.0</v>
      </c>
      <c r="F238" s="372">
        <v>2.0</v>
      </c>
      <c r="G238" s="360"/>
      <c r="H238" s="360"/>
      <c r="I238" s="168">
        <f t="shared" si="3"/>
        <v>70.0</v>
      </c>
      <c r="J238" s="39"/>
      <c r="K238" s="39"/>
      <c r="L238" s="39"/>
      <c r="M238" s="39"/>
      <c r="N238" s="39"/>
    </row>
    <row r="239" spans="8:8">
      <c r="A239" s="526" t="s">
        <v>251</v>
      </c>
      <c r="B239" s="569" t="s">
        <v>196</v>
      </c>
      <c r="C239" s="93">
        <v>1.0</v>
      </c>
      <c r="D239" s="93">
        <v>65.0</v>
      </c>
      <c r="E239" s="372">
        <v>2.0</v>
      </c>
      <c r="F239" s="372">
        <v>2.0</v>
      </c>
      <c r="G239" s="360"/>
      <c r="H239" s="360"/>
      <c r="I239" s="168">
        <f t="shared" si="3"/>
        <v>70.0</v>
      </c>
    </row>
    <row r="240" spans="8:8">
      <c r="A240" s="526" t="s">
        <v>252</v>
      </c>
      <c r="B240" s="569" t="s">
        <v>196</v>
      </c>
      <c r="C240" s="93">
        <v>1.0</v>
      </c>
      <c r="D240" s="93">
        <v>65.0</v>
      </c>
      <c r="E240" s="372">
        <v>2.0</v>
      </c>
      <c r="F240" s="372">
        <v>2.0</v>
      </c>
      <c r="G240" s="360"/>
      <c r="H240" s="360"/>
      <c r="I240" s="168">
        <f t="shared" si="3"/>
        <v>70.0</v>
      </c>
    </row>
    <row r="241" spans="8:8">
      <c r="A241" s="526" t="s">
        <v>253</v>
      </c>
      <c r="B241" s="569" t="s">
        <v>196</v>
      </c>
      <c r="C241" s="93">
        <v>1.0</v>
      </c>
      <c r="D241" s="93">
        <v>65.0</v>
      </c>
      <c r="E241" s="372">
        <v>2.0</v>
      </c>
      <c r="F241" s="372">
        <v>2.0</v>
      </c>
      <c r="G241" s="360"/>
      <c r="H241" s="360"/>
      <c r="I241" s="168">
        <f t="shared" si="3"/>
        <v>70.0</v>
      </c>
    </row>
    <row r="242" spans="8:8">
      <c r="A242" s="526" t="s">
        <v>254</v>
      </c>
      <c r="B242" s="569" t="s">
        <v>196</v>
      </c>
      <c r="C242" s="93">
        <v>1.0</v>
      </c>
      <c r="D242" s="93">
        <v>65.0</v>
      </c>
      <c r="E242" s="372">
        <v>2.0</v>
      </c>
      <c r="F242" s="372">
        <v>2.0</v>
      </c>
      <c r="G242" s="360"/>
      <c r="H242" s="360"/>
      <c r="I242" s="168">
        <f t="shared" si="3"/>
        <v>70.0</v>
      </c>
    </row>
    <row r="243" spans="8:8">
      <c r="A243" s="526" t="s">
        <v>255</v>
      </c>
      <c r="B243" s="569" t="s">
        <v>196</v>
      </c>
      <c r="C243" s="93">
        <v>1.0</v>
      </c>
      <c r="D243" s="93">
        <v>65.0</v>
      </c>
      <c r="E243" s="372">
        <v>2.0</v>
      </c>
      <c r="F243" s="372">
        <v>2.0</v>
      </c>
      <c r="G243" s="360"/>
      <c r="H243" s="360"/>
      <c r="I243" s="168">
        <f t="shared" si="3"/>
        <v>70.0</v>
      </c>
    </row>
    <row r="244" spans="8:8">
      <c r="A244" s="526" t="s">
        <v>256</v>
      </c>
      <c r="B244" s="569" t="s">
        <v>196</v>
      </c>
      <c r="C244" s="93">
        <v>1.0</v>
      </c>
      <c r="D244" s="93">
        <v>65.0</v>
      </c>
      <c r="E244" s="372">
        <v>2.0</v>
      </c>
      <c r="F244" s="372">
        <v>2.0</v>
      </c>
      <c r="G244" s="360"/>
      <c r="H244" s="360"/>
      <c r="I244" s="168">
        <f t="shared" si="3"/>
        <v>70.0</v>
      </c>
    </row>
    <row r="245" spans="8:8">
      <c r="A245" s="526" t="s">
        <v>257</v>
      </c>
      <c r="B245" s="569" t="s">
        <v>196</v>
      </c>
      <c r="C245" s="93">
        <v>1.0</v>
      </c>
      <c r="D245" s="93">
        <v>65.0</v>
      </c>
      <c r="E245" s="372">
        <v>2.0</v>
      </c>
      <c r="F245" s="372">
        <v>2.0</v>
      </c>
      <c r="G245" s="360"/>
      <c r="H245" s="360"/>
      <c r="I245" s="168">
        <f t="shared" si="3"/>
        <v>70.0</v>
      </c>
    </row>
    <row r="246" spans="8:8">
      <c r="A246" s="526" t="s">
        <v>258</v>
      </c>
      <c r="B246" s="569" t="s">
        <v>196</v>
      </c>
      <c r="C246" s="93">
        <v>1.0</v>
      </c>
      <c r="D246" s="93">
        <v>65.0</v>
      </c>
      <c r="E246" s="372">
        <v>2.0</v>
      </c>
      <c r="F246" s="372">
        <v>2.0</v>
      </c>
      <c r="G246" s="360"/>
      <c r="H246" s="360"/>
      <c r="I246" s="168">
        <f t="shared" si="3"/>
        <v>70.0</v>
      </c>
    </row>
    <row r="247" spans="8:8">
      <c r="A247" s="526" t="s">
        <v>259</v>
      </c>
      <c r="B247" s="569" t="s">
        <v>196</v>
      </c>
      <c r="C247" s="93">
        <v>1.0</v>
      </c>
      <c r="D247" s="93">
        <v>65.0</v>
      </c>
      <c r="E247" s="372">
        <v>2.0</v>
      </c>
      <c r="F247" s="372">
        <v>2.0</v>
      </c>
      <c r="G247" s="360"/>
      <c r="H247" s="360"/>
      <c r="I247" s="168">
        <f t="shared" si="3"/>
        <v>70.0</v>
      </c>
    </row>
    <row r="248" spans="8:8">
      <c r="A248" s="526" t="s">
        <v>260</v>
      </c>
      <c r="B248" s="569" t="s">
        <v>196</v>
      </c>
      <c r="C248" s="93">
        <v>1.0</v>
      </c>
      <c r="D248" s="93">
        <v>125.0</v>
      </c>
      <c r="E248" s="372">
        <v>2.0</v>
      </c>
      <c r="F248" s="372">
        <v>2.0</v>
      </c>
      <c r="G248" s="360"/>
      <c r="H248" s="360"/>
      <c r="I248" s="168">
        <f t="shared" si="3"/>
        <v>130.0</v>
      </c>
    </row>
    <row r="249" spans="8:8">
      <c r="A249" s="526" t="s">
        <v>262</v>
      </c>
      <c r="B249" s="569" t="s">
        <v>196</v>
      </c>
      <c r="C249" s="93">
        <v>1.0</v>
      </c>
      <c r="D249" s="93">
        <v>105.0</v>
      </c>
      <c r="E249" s="372">
        <v>2.0</v>
      </c>
      <c r="F249" s="372">
        <v>2.0</v>
      </c>
      <c r="G249" s="360"/>
      <c r="H249" s="360"/>
      <c r="I249" s="168">
        <f t="shared" si="3"/>
        <v>110.0</v>
      </c>
    </row>
    <row r="250" spans="8:8">
      <c r="A250" s="526" t="s">
        <v>265</v>
      </c>
      <c r="B250" s="569" t="s">
        <v>196</v>
      </c>
      <c r="C250" s="93">
        <v>1.0</v>
      </c>
      <c r="D250" s="93">
        <v>65.0</v>
      </c>
      <c r="E250" s="372">
        <v>2.0</v>
      </c>
      <c r="F250" s="372">
        <v>2.0</v>
      </c>
      <c r="G250" s="360"/>
      <c r="H250" s="360"/>
      <c r="I250" s="168">
        <f t="shared" si="3"/>
        <v>70.0</v>
      </c>
    </row>
    <row r="251" spans="8:8">
      <c r="A251" s="526" t="s">
        <v>266</v>
      </c>
      <c r="B251" s="569" t="s">
        <v>196</v>
      </c>
      <c r="C251" s="93">
        <v>1.0</v>
      </c>
      <c r="D251" s="93">
        <v>65.0</v>
      </c>
      <c r="E251" s="372">
        <v>2.0</v>
      </c>
      <c r="F251" s="372">
        <v>2.0</v>
      </c>
      <c r="G251" s="360"/>
      <c r="H251" s="360"/>
      <c r="I251" s="168">
        <f t="shared" si="3"/>
        <v>70.0</v>
      </c>
    </row>
    <row r="252" spans="8:8">
      <c r="A252" s="526" t="s">
        <v>267</v>
      </c>
      <c r="B252" s="569" t="s">
        <v>196</v>
      </c>
      <c r="C252" s="93">
        <v>1.0</v>
      </c>
      <c r="D252" s="93">
        <v>95.0</v>
      </c>
      <c r="E252" s="372">
        <v>2.0</v>
      </c>
      <c r="F252" s="372">
        <v>2.0</v>
      </c>
      <c r="G252" s="360"/>
      <c r="H252" s="360"/>
      <c r="I252" s="168">
        <f t="shared" si="3"/>
        <v>100.0</v>
      </c>
    </row>
    <row r="253" spans="8:8">
      <c r="A253" s="526" t="s">
        <v>268</v>
      </c>
      <c r="B253" s="569" t="s">
        <v>196</v>
      </c>
      <c r="C253" s="93">
        <v>1.0</v>
      </c>
      <c r="D253" s="93">
        <v>95.0</v>
      </c>
      <c r="E253" s="372">
        <v>2.0</v>
      </c>
      <c r="F253" s="372">
        <v>2.0</v>
      </c>
      <c r="G253" s="360"/>
      <c r="H253" s="360"/>
      <c r="I253" s="168">
        <f t="shared" si="3"/>
        <v>100.0</v>
      </c>
    </row>
    <row r="254" spans="8:8">
      <c r="A254" s="526" t="s">
        <v>269</v>
      </c>
      <c r="B254" s="569" t="s">
        <v>196</v>
      </c>
      <c r="C254" s="93">
        <v>1.0</v>
      </c>
      <c r="D254" s="93">
        <v>95.0</v>
      </c>
      <c r="E254" s="372">
        <v>2.0</v>
      </c>
      <c r="F254" s="372">
        <v>2.0</v>
      </c>
      <c r="G254" s="360"/>
      <c r="H254" s="360"/>
      <c r="I254" s="168">
        <f t="shared" si="3"/>
        <v>100.0</v>
      </c>
    </row>
    <row r="255" spans="8:8">
      <c r="A255" s="526" t="s">
        <v>270</v>
      </c>
      <c r="B255" s="569" t="s">
        <v>196</v>
      </c>
      <c r="C255" s="93">
        <v>1.0</v>
      </c>
      <c r="D255" s="93">
        <v>95.0</v>
      </c>
      <c r="E255" s="372">
        <v>2.0</v>
      </c>
      <c r="F255" s="372">
        <v>2.0</v>
      </c>
      <c r="G255" s="360"/>
      <c r="H255" s="360"/>
      <c r="I255" s="168">
        <f t="shared" si="7" ref="I255:I262">SUM(C255:H255)</f>
        <v>100.0</v>
      </c>
    </row>
    <row r="256" spans="8:8">
      <c r="A256" s="526" t="s">
        <v>271</v>
      </c>
      <c r="B256" s="569" t="s">
        <v>196</v>
      </c>
      <c r="C256" s="93">
        <v>1.0</v>
      </c>
      <c r="D256" s="93">
        <v>95.0</v>
      </c>
      <c r="E256" s="372">
        <v>2.0</v>
      </c>
      <c r="F256" s="372">
        <v>2.0</v>
      </c>
      <c r="G256" s="360"/>
      <c r="H256" s="360"/>
      <c r="I256" s="168">
        <f t="shared" si="7"/>
        <v>100.0</v>
      </c>
    </row>
    <row r="257" spans="8:8">
      <c r="A257" s="526" t="s">
        <v>272</v>
      </c>
      <c r="B257" s="569" t="s">
        <v>196</v>
      </c>
      <c r="C257" s="93">
        <v>1.0</v>
      </c>
      <c r="D257" s="93">
        <v>95.0</v>
      </c>
      <c r="E257" s="372">
        <v>2.0</v>
      </c>
      <c r="F257" s="372">
        <v>2.0</v>
      </c>
      <c r="G257" s="360"/>
      <c r="H257" s="360"/>
      <c r="I257" s="168">
        <f t="shared" si="7"/>
        <v>100.0</v>
      </c>
    </row>
    <row r="258" spans="8:8">
      <c r="A258" s="526" t="s">
        <v>273</v>
      </c>
      <c r="B258" s="569" t="s">
        <v>196</v>
      </c>
      <c r="C258" s="93">
        <v>1.0</v>
      </c>
      <c r="D258" s="93">
        <v>95.0</v>
      </c>
      <c r="E258" s="372">
        <v>2.0</v>
      </c>
      <c r="F258" s="372">
        <v>2.0</v>
      </c>
      <c r="G258" s="360"/>
      <c r="H258" s="360"/>
      <c r="I258" s="168">
        <f t="shared" si="7"/>
        <v>100.0</v>
      </c>
    </row>
    <row r="259" spans="8:8">
      <c r="A259" s="526" t="s">
        <v>274</v>
      </c>
      <c r="B259" s="569" t="s">
        <v>196</v>
      </c>
      <c r="C259" s="93">
        <v>1.0</v>
      </c>
      <c r="D259" s="93">
        <v>65.0</v>
      </c>
      <c r="E259" s="372">
        <v>2.0</v>
      </c>
      <c r="F259" s="372">
        <v>2.0</v>
      </c>
      <c r="G259" s="360"/>
      <c r="H259" s="360"/>
      <c r="I259" s="168">
        <f t="shared" si="7"/>
        <v>70.0</v>
      </c>
    </row>
    <row r="260" spans="8:8">
      <c r="A260" s="526" t="s">
        <v>275</v>
      </c>
      <c r="B260" s="569" t="s">
        <v>196</v>
      </c>
      <c r="C260" s="93">
        <v>1.0</v>
      </c>
      <c r="D260" s="93">
        <v>65.0</v>
      </c>
      <c r="E260" s="372">
        <v>2.0</v>
      </c>
      <c r="F260" s="372">
        <v>2.0</v>
      </c>
      <c r="G260" s="360"/>
      <c r="H260" s="360"/>
      <c r="I260" s="168">
        <f t="shared" si="7"/>
        <v>70.0</v>
      </c>
    </row>
    <row r="261" spans="8:8">
      <c r="A261" s="526" t="s">
        <v>276</v>
      </c>
      <c r="B261" s="569" t="s">
        <v>196</v>
      </c>
      <c r="C261" s="93">
        <v>1.0</v>
      </c>
      <c r="D261" s="93">
        <v>105.0</v>
      </c>
      <c r="E261" s="372">
        <v>2.0</v>
      </c>
      <c r="F261" s="372">
        <v>2.0</v>
      </c>
      <c r="G261" s="360"/>
      <c r="H261" s="360"/>
      <c r="I261" s="168">
        <f t="shared" si="7"/>
        <v>110.0</v>
      </c>
    </row>
    <row r="262" spans="8:8">
      <c r="A262" s="543" t="s">
        <v>277</v>
      </c>
      <c r="B262" s="569" t="s">
        <v>196</v>
      </c>
      <c r="C262" s="93">
        <v>1.0</v>
      </c>
      <c r="D262" s="93">
        <v>65.0</v>
      </c>
      <c r="E262" s="372">
        <v>2.0</v>
      </c>
      <c r="F262" s="372">
        <v>2.0</v>
      </c>
      <c r="G262" s="360"/>
      <c r="H262" s="360"/>
      <c r="I262" s="168">
        <f t="shared" si="7"/>
        <v>70.0</v>
      </c>
    </row>
    <row r="263" spans="8:8">
      <c r="A263" s="526" t="s">
        <v>280</v>
      </c>
      <c r="B263" s="569" t="s">
        <v>196</v>
      </c>
      <c r="C263" s="93">
        <v>38.0</v>
      </c>
      <c r="D263" s="93">
        <v>58.0</v>
      </c>
      <c r="E263" s="372">
        <v>2.0</v>
      </c>
      <c r="F263" s="372">
        <v>2.0</v>
      </c>
      <c r="G263" s="360"/>
      <c r="H263" s="360"/>
      <c r="I263" s="168">
        <f>C263+D263+E263+F263</f>
        <v>100.0</v>
      </c>
    </row>
    <row r="264" spans="8:8">
      <c r="A264" s="547" t="s">
        <v>283</v>
      </c>
      <c r="B264" s="587" t="s">
        <v>282</v>
      </c>
      <c r="C264" s="442">
        <v>250.0</v>
      </c>
      <c r="D264" s="442">
        <v>0.0</v>
      </c>
      <c r="E264" s="372"/>
      <c r="F264" s="372"/>
      <c r="G264" s="360"/>
      <c r="H264" s="360"/>
      <c r="I264" s="225">
        <f t="shared" si="8" ref="I264:I273">SUM(C264:H264)</f>
        <v>250.0</v>
      </c>
    </row>
    <row r="265" spans="8:8">
      <c r="A265" s="547" t="s">
        <v>284</v>
      </c>
      <c r="B265" s="587" t="s">
        <v>285</v>
      </c>
      <c r="C265" s="442">
        <v>2.0</v>
      </c>
      <c r="D265" s="442">
        <v>0.0</v>
      </c>
      <c r="E265" s="372"/>
      <c r="F265" s="372"/>
      <c r="G265" s="360"/>
      <c r="H265" s="360"/>
      <c r="I265" s="210">
        <f t="shared" si="8"/>
        <v>2.0</v>
      </c>
    </row>
    <row r="266" spans="8:8">
      <c r="A266" s="547" t="s">
        <v>286</v>
      </c>
      <c r="B266" s="587" t="s">
        <v>285</v>
      </c>
      <c r="C266" s="442">
        <v>2.0</v>
      </c>
      <c r="D266" s="442">
        <v>0.0</v>
      </c>
      <c r="E266" s="372"/>
      <c r="F266" s="372"/>
      <c r="G266" s="360"/>
      <c r="H266" s="360"/>
      <c r="I266" s="210">
        <f t="shared" si="8"/>
        <v>2.0</v>
      </c>
    </row>
    <row r="267" spans="8:8">
      <c r="A267" s="543" t="s">
        <v>4</v>
      </c>
      <c r="B267" s="585" t="s">
        <v>285</v>
      </c>
      <c r="C267" s="442">
        <v>2.0</v>
      </c>
      <c r="D267" s="442">
        <v>0.0</v>
      </c>
      <c r="E267" s="372"/>
      <c r="F267" s="372"/>
      <c r="G267" s="360"/>
      <c r="H267" s="360"/>
      <c r="I267" s="210">
        <f t="shared" si="8"/>
        <v>2.0</v>
      </c>
    </row>
    <row r="268" spans="8:8">
      <c r="A268" s="543" t="s">
        <v>406</v>
      </c>
      <c r="B268" s="585" t="s">
        <v>285</v>
      </c>
      <c r="C268" s="442">
        <v>5.0</v>
      </c>
      <c r="D268" s="440">
        <v>0.0</v>
      </c>
      <c r="E268" s="372"/>
      <c r="F268" s="372"/>
      <c r="G268" s="360"/>
      <c r="H268" s="360"/>
      <c r="I268" s="210">
        <f t="shared" si="8"/>
        <v>5.0</v>
      </c>
    </row>
    <row r="269" spans="8:8">
      <c r="A269" s="543" t="s">
        <v>5</v>
      </c>
      <c r="B269" s="585" t="s">
        <v>285</v>
      </c>
      <c r="C269" s="442">
        <v>2.0</v>
      </c>
      <c r="D269" s="440">
        <v>0.0</v>
      </c>
      <c r="E269" s="372"/>
      <c r="F269" s="372"/>
      <c r="G269" s="360"/>
      <c r="H269" s="360"/>
      <c r="I269" s="210">
        <f t="shared" si="8"/>
        <v>2.0</v>
      </c>
    </row>
    <row r="270" spans="8:8">
      <c r="A270" s="543" t="s">
        <v>288</v>
      </c>
      <c r="B270" s="585" t="s">
        <v>285</v>
      </c>
      <c r="C270" s="442">
        <v>6.0</v>
      </c>
      <c r="D270" s="440">
        <v>0.0</v>
      </c>
      <c r="E270" s="372"/>
      <c r="F270" s="372"/>
      <c r="G270" s="360"/>
      <c r="H270" s="360"/>
      <c r="I270" s="210">
        <f t="shared" si="8"/>
        <v>6.0</v>
      </c>
    </row>
    <row r="271" spans="8:8" ht="15.75" customHeight="1">
      <c r="A271" s="547" t="s">
        <v>291</v>
      </c>
      <c r="B271" s="587" t="s">
        <v>290</v>
      </c>
      <c r="C271" s="442">
        <v>20.0</v>
      </c>
      <c r="D271" s="440">
        <v>36.0</v>
      </c>
      <c r="E271" s="372">
        <v>2.0</v>
      </c>
      <c r="F271" s="372">
        <v>2.0</v>
      </c>
      <c r="G271" s="360"/>
      <c r="H271" s="360"/>
      <c r="I271" s="210">
        <f t="shared" si="8"/>
        <v>60.0</v>
      </c>
    </row>
    <row r="272" spans="8:8">
      <c r="A272" s="543" t="s">
        <v>319</v>
      </c>
      <c r="B272" s="585" t="s">
        <v>285</v>
      </c>
      <c r="C272" s="442">
        <v>3.0</v>
      </c>
      <c r="D272" s="440">
        <v>0.0</v>
      </c>
      <c r="E272" s="372"/>
      <c r="F272" s="372"/>
      <c r="G272" s="360"/>
      <c r="H272" s="360"/>
      <c r="I272" s="210">
        <f t="shared" si="8"/>
        <v>3.0</v>
      </c>
    </row>
    <row r="273" spans="8:8">
      <c r="A273" s="547" t="s">
        <v>287</v>
      </c>
      <c r="B273" s="585" t="s">
        <v>285</v>
      </c>
      <c r="C273" s="442">
        <v>4.0</v>
      </c>
      <c r="D273" s="440">
        <v>0.0</v>
      </c>
      <c r="E273" s="372"/>
      <c r="F273" s="372"/>
      <c r="G273" s="360"/>
      <c r="H273" s="360"/>
      <c r="I273" s="210">
        <f t="shared" si="8"/>
        <v>4.0</v>
      </c>
    </row>
    <row r="275" spans="8:8">
      <c r="A275" s="523" t="s">
        <v>351</v>
      </c>
    </row>
    <row r="284" spans="8:8" s="49" ht="15.0" customFormat="1">
      <c r="A284" s="523"/>
      <c r="B284" s="192"/>
      <c r="C284" s="40"/>
      <c r="D284" s="163"/>
      <c r="E284" s="163"/>
      <c r="F284" s="163"/>
      <c r="G284" s="314"/>
      <c r="H284" s="351"/>
      <c r="I284" s="39"/>
    </row>
    <row r="285" spans="8:8">
      <c r="H285" s="351"/>
      <c r="I285" s="49"/>
    </row>
    <row r="292" spans="8:8" s="49" ht="15.0" customFormat="1">
      <c r="A292" s="523"/>
      <c r="B292" s="192"/>
      <c r="C292" s="40"/>
      <c r="D292" s="163"/>
      <c r="E292" s="163"/>
      <c r="F292" s="163"/>
      <c r="G292" s="314"/>
      <c r="H292" s="244"/>
      <c r="I292" s="39"/>
    </row>
    <row r="293" spans="8:8">
      <c r="H293" s="351"/>
      <c r="I293" s="49"/>
    </row>
    <row r="295" spans="8:8" s="49" ht="15.0" customFormat="1">
      <c r="A295" s="523"/>
      <c r="B295" s="192"/>
      <c r="C295" s="40"/>
      <c r="D295" s="163"/>
      <c r="E295" s="163"/>
      <c r="F295" s="163"/>
      <c r="G295" s="314"/>
      <c r="H295" s="244"/>
      <c r="I295" s="39"/>
    </row>
    <row r="296" spans="8:8" s="49" ht="15.0" customFormat="1">
      <c r="A296" s="523"/>
      <c r="B296" s="192"/>
      <c r="C296" s="40"/>
      <c r="D296" s="163"/>
      <c r="E296" s="163"/>
      <c r="F296" s="163"/>
      <c r="G296" s="314"/>
      <c r="H296" s="351"/>
    </row>
    <row r="297" spans="8:8">
      <c r="H297" s="351"/>
      <c r="I297" s="49"/>
    </row>
    <row r="298" spans="8:8">
      <c r="H298" s="248"/>
    </row>
    <row r="299" spans="8:8">
      <c r="H299" s="248"/>
    </row>
  </sheetData>
  <mergeCells count="2">
    <mergeCell ref="A185:I185"/>
    <mergeCell ref="A79:I79"/>
  </mergeCells>
  <pageMargins left="0.61" right="0.18" top="0.43" bottom="0.37" header="0.2" footer="0.17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sochoa</dc:creator>
  <cp:lastModifiedBy>Solange Ochoa</cp:lastModifiedBy>
  <dcterms:created xsi:type="dcterms:W3CDTF">2018-02-20T21:35:31Z</dcterms:created>
  <dcterms:modified xsi:type="dcterms:W3CDTF">2026-09-28T12:23:08Z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1757b8d9d3384712bfa7dbb7245a007a</vt:lpwstr>
  </property>
</Properties>
</file>